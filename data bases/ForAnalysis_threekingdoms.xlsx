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<sst xmlns="http://schemas.openxmlformats.org/spreadsheetml/2006/main" count="19697" uniqueCount="3412">
  <si>
    <t xml:space="preserve">year</t>
  </si>
  <si>
    <t xml:space="preserve">number</t>
  </si>
  <si>
    <t xml:space="preserve">constituency</t>
  </si>
  <si>
    <t xml:space="preserve">district</t>
  </si>
  <si>
    <t xml:space="preserve">region</t>
  </si>
  <si>
    <t xml:space="preserve">subregion</t>
  </si>
  <si>
    <t xml:space="preserve">urbanism</t>
  </si>
  <si>
    <t xml:space="preserve">reserved</t>
  </si>
  <si>
    <t xml:space="preserve">special</t>
  </si>
  <si>
    <t xml:space="preserve">leader</t>
  </si>
  <si>
    <t xml:space="preserve">satrapy</t>
  </si>
  <si>
    <t xml:space="preserve">lsatrapy</t>
  </si>
  <si>
    <t xml:space="preserve">kottai</t>
  </si>
  <si>
    <t xml:space="preserve">lkottai</t>
  </si>
  <si>
    <t xml:space="preserve">heritage</t>
  </si>
  <si>
    <t xml:space="preserve">electorate</t>
  </si>
  <si>
    <t xml:space="preserve">turnout</t>
  </si>
  <si>
    <t xml:space="preserve">turnoutp</t>
  </si>
  <si>
    <t xml:space="preserve">margin</t>
  </si>
  <si>
    <t xml:space="preserve">marginp</t>
  </si>
  <si>
    <t xml:space="preserve">ai</t>
  </si>
  <si>
    <t xml:space="preserve">alliance_one</t>
  </si>
  <si>
    <t xml:space="preserve">party_one</t>
  </si>
  <si>
    <t xml:space="preserve">name_one</t>
  </si>
  <si>
    <t xml:space="preserve">vote_one</t>
  </si>
  <si>
    <t xml:space="preserve">vshare_one</t>
  </si>
  <si>
    <t xml:space="preserve">alliance_two</t>
  </si>
  <si>
    <t xml:space="preserve">party_two</t>
  </si>
  <si>
    <t xml:space="preserve">name_two</t>
  </si>
  <si>
    <t xml:space="preserve">vote_two</t>
  </si>
  <si>
    <t xml:space="preserve">vshare_two</t>
  </si>
  <si>
    <t xml:space="preserve">alliance_three</t>
  </si>
  <si>
    <t xml:space="preserve">party_three</t>
  </si>
  <si>
    <t xml:space="preserve">name_three</t>
  </si>
  <si>
    <t xml:space="preserve">vote_three</t>
  </si>
  <si>
    <t xml:space="preserve">vshare_three</t>
  </si>
  <si>
    <t xml:space="preserve">alliance_four</t>
  </si>
  <si>
    <t xml:space="preserve">party_four</t>
  </si>
  <si>
    <t xml:space="preserve">name_four</t>
  </si>
  <si>
    <t xml:space="preserve">vote_four</t>
  </si>
  <si>
    <t xml:space="preserve">vshare_four</t>
  </si>
  <si>
    <t xml:space="preserve">alliance_five</t>
  </si>
  <si>
    <t xml:space="preserve">party_five</t>
  </si>
  <si>
    <t xml:space="preserve">name_five</t>
  </si>
  <si>
    <t xml:space="preserve">vote_five</t>
  </si>
  <si>
    <t xml:space="preserve">vshare_five</t>
  </si>
  <si>
    <t xml:space="preserve">Gummidipoondi</t>
  </si>
  <si>
    <t xml:space="preserve">Tiruvallur</t>
  </si>
  <si>
    <t xml:space="preserve">North</t>
  </si>
  <si>
    <t xml:space="preserve">Peri Chennai</t>
  </si>
  <si>
    <t xml:space="preserve">Rural</t>
  </si>
  <si>
    <t xml:space="preserve">No</t>
  </si>
  <si>
    <t xml:space="preserve">DMK+</t>
  </si>
  <si>
    <t xml:space="preserve">DMK</t>
  </si>
  <si>
    <t xml:space="preserve">TJ Govindrajan</t>
  </si>
  <si>
    <t xml:space="preserve">AIADMK+</t>
  </si>
  <si>
    <t xml:space="preserve">PMK</t>
  </si>
  <si>
    <t xml:space="preserve">M Prakash</t>
  </si>
  <si>
    <t xml:space="preserve">NTK</t>
  </si>
  <si>
    <t xml:space="preserve">Usha</t>
  </si>
  <si>
    <t xml:space="preserve">PF</t>
  </si>
  <si>
    <t xml:space="preserve">DMDK</t>
  </si>
  <si>
    <t xml:space="preserve">KM Dilliy</t>
  </si>
  <si>
    <t xml:space="preserve">NOTA</t>
  </si>
  <si>
    <t xml:space="preserve">Ponneri</t>
  </si>
  <si>
    <t xml:space="preserve">SC</t>
  </si>
  <si>
    <t xml:space="preserve">INC</t>
  </si>
  <si>
    <t xml:space="preserve">Durai Chandrasekar</t>
  </si>
  <si>
    <t xml:space="preserve">AIADMK</t>
  </si>
  <si>
    <t xml:space="preserve">P Balaraman</t>
  </si>
  <si>
    <t xml:space="preserve">A Maheshwari</t>
  </si>
  <si>
    <t xml:space="preserve">PFA</t>
  </si>
  <si>
    <t xml:space="preserve">MNM</t>
  </si>
  <si>
    <t xml:space="preserve">D Desingurajan</t>
  </si>
  <si>
    <t xml:space="preserve">AMMK</t>
  </si>
  <si>
    <t xml:space="preserve">Pon Raja</t>
  </si>
  <si>
    <t xml:space="preserve">Tiruttani</t>
  </si>
  <si>
    <t xml:space="preserve">Town</t>
  </si>
  <si>
    <t xml:space="preserve">S Chandran</t>
  </si>
  <si>
    <t xml:space="preserve">G Hari</t>
  </si>
  <si>
    <t xml:space="preserve">L Akila</t>
  </si>
  <si>
    <t xml:space="preserve">D Krishnamoorthi</t>
  </si>
  <si>
    <t xml:space="preserve">VG Raajendran</t>
  </si>
  <si>
    <t xml:space="preserve">Be Vee Ramanah</t>
  </si>
  <si>
    <t xml:space="preserve">P Pasupathy</t>
  </si>
  <si>
    <t xml:space="preserve">BSP</t>
  </si>
  <si>
    <t xml:space="preserve">D Doss</t>
  </si>
  <si>
    <t xml:space="preserve">Poonamallee</t>
  </si>
  <si>
    <t xml:space="preserve">City</t>
  </si>
  <si>
    <t xml:space="preserve">A Krishnaswamy</t>
  </si>
  <si>
    <t xml:space="preserve">SX Rajamannar</t>
  </si>
  <si>
    <t xml:space="preserve">A Manimekalai</t>
  </si>
  <si>
    <t xml:space="preserve">J Revathi Manimegalai</t>
  </si>
  <si>
    <t xml:space="preserve">TA Elumalai</t>
  </si>
  <si>
    <t xml:space="preserve">Avadi</t>
  </si>
  <si>
    <t xml:space="preserve">SM Nasar</t>
  </si>
  <si>
    <t xml:space="preserve">K Pandiarajan</t>
  </si>
  <si>
    <t xml:space="preserve">G Vijayalakshmi</t>
  </si>
  <si>
    <t xml:space="preserve">V Udhayakumar</t>
  </si>
  <si>
    <t xml:space="preserve">Maduravoyal</t>
  </si>
  <si>
    <t xml:space="preserve">Chennai</t>
  </si>
  <si>
    <t xml:space="preserve">K Ganapathy</t>
  </si>
  <si>
    <t xml:space="preserve">P Benjamin</t>
  </si>
  <si>
    <t xml:space="preserve">S Padma Priya</t>
  </si>
  <si>
    <t xml:space="preserve">G Ganeshkumar</t>
  </si>
  <si>
    <t xml:space="preserve">E Lucky Murugan</t>
  </si>
  <si>
    <t xml:space="preserve">Ambattur</t>
  </si>
  <si>
    <t xml:space="preserve">Joseph Samuel</t>
  </si>
  <si>
    <t xml:space="preserve">V Alexander</t>
  </si>
  <si>
    <t xml:space="preserve">H Mahendran</t>
  </si>
  <si>
    <t xml:space="preserve">S Vaitheswaran</t>
  </si>
  <si>
    <t xml:space="preserve">S Vedachalam</t>
  </si>
  <si>
    <t xml:space="preserve">Madavaram</t>
  </si>
  <si>
    <t xml:space="preserve">S Sudharsanam</t>
  </si>
  <si>
    <t xml:space="preserve">V Moorthy</t>
  </si>
  <si>
    <t xml:space="preserve">R Elumalai</t>
  </si>
  <si>
    <t xml:space="preserve">Ramesh</t>
  </si>
  <si>
    <t xml:space="preserve">D Dhakshnamoorthy</t>
  </si>
  <si>
    <t xml:space="preserve">Tiruvottiyur</t>
  </si>
  <si>
    <t xml:space="preserve">KP Shankar</t>
  </si>
  <si>
    <t xml:space="preserve">K Kuppan</t>
  </si>
  <si>
    <t xml:space="preserve">Seeman</t>
  </si>
  <si>
    <t xml:space="preserve">D Mohan</t>
  </si>
  <si>
    <t xml:space="preserve">M Soundara Pandian</t>
  </si>
  <si>
    <t xml:space="preserve">Radhakrishnan Nagar</t>
  </si>
  <si>
    <t xml:space="preserve">Metro</t>
  </si>
  <si>
    <t xml:space="preserve">Amma</t>
  </si>
  <si>
    <t xml:space="preserve">J John Ebenezer</t>
  </si>
  <si>
    <t xml:space="preserve">RS Raajesh</t>
  </si>
  <si>
    <t xml:space="preserve">K Gowrishankar</t>
  </si>
  <si>
    <t xml:space="preserve">Fazil A</t>
  </si>
  <si>
    <t xml:space="preserve">P Kalidas</t>
  </si>
  <si>
    <t xml:space="preserve">Perambur</t>
  </si>
  <si>
    <t xml:space="preserve">RD Sekar</t>
  </si>
  <si>
    <t xml:space="preserve">NR Dhanapalan</t>
  </si>
  <si>
    <t xml:space="preserve">S Merlin Suganthi</t>
  </si>
  <si>
    <t xml:space="preserve">A Ponnusamy</t>
  </si>
  <si>
    <t xml:space="preserve">E Lakshmi Narayanan</t>
  </si>
  <si>
    <t xml:space="preserve">Kolathur</t>
  </si>
  <si>
    <t xml:space="preserve">MK Stalin</t>
  </si>
  <si>
    <t xml:space="preserve">Aadi Rajaram</t>
  </si>
  <si>
    <t xml:space="preserve">A Jagadish Kumar</t>
  </si>
  <si>
    <t xml:space="preserve">Camilus Selva</t>
  </si>
  <si>
    <t xml:space="preserve">Villivakkam</t>
  </si>
  <si>
    <t xml:space="preserve">Central</t>
  </si>
  <si>
    <t xml:space="preserve">A Vetriazhagan</t>
  </si>
  <si>
    <t xml:space="preserve">JCD Prabhakar</t>
  </si>
  <si>
    <t xml:space="preserve">Sriharan</t>
  </si>
  <si>
    <t xml:space="preserve">R Sridar</t>
  </si>
  <si>
    <t xml:space="preserve">Thiru ViKa Nagar</t>
  </si>
  <si>
    <t xml:space="preserve">P Sivakumar</t>
  </si>
  <si>
    <t xml:space="preserve">PL Kalyani</t>
  </si>
  <si>
    <t xml:space="preserve">R Illavanji</t>
  </si>
  <si>
    <t xml:space="preserve">S Obath</t>
  </si>
  <si>
    <t xml:space="preserve">MP Sekar</t>
  </si>
  <si>
    <t xml:space="preserve">Egmore</t>
  </si>
  <si>
    <t xml:space="preserve">I Paranthamen</t>
  </si>
  <si>
    <t xml:space="preserve">B John Pandian</t>
  </si>
  <si>
    <t xml:space="preserve">U Priyadarsini</t>
  </si>
  <si>
    <t xml:space="preserve">P Geetha Lakshmi</t>
  </si>
  <si>
    <t xml:space="preserve">T Prabhu</t>
  </si>
  <si>
    <t xml:space="preserve">Royapuram</t>
  </si>
  <si>
    <t xml:space="preserve">AIADMKDMK</t>
  </si>
  <si>
    <t xml:space="preserve">Idreams Murthy</t>
  </si>
  <si>
    <t xml:space="preserve">D Jayakumar</t>
  </si>
  <si>
    <t xml:space="preserve">S Gunasekaran</t>
  </si>
  <si>
    <t xml:space="preserve">S Kamali</t>
  </si>
  <si>
    <t xml:space="preserve">C Ramajayam</t>
  </si>
  <si>
    <t xml:space="preserve">Harbour</t>
  </si>
  <si>
    <t xml:space="preserve">Kalignar</t>
  </si>
  <si>
    <t xml:space="preserve">Sekar Babu</t>
  </si>
  <si>
    <t xml:space="preserve">BJP</t>
  </si>
  <si>
    <t xml:space="preserve">Vinoj P Selvam</t>
  </si>
  <si>
    <t xml:space="preserve">A Ramesh</t>
  </si>
  <si>
    <t xml:space="preserve">A Ahamed Fazil</t>
  </si>
  <si>
    <t xml:space="preserve">Chepauk Tiruvallikeni</t>
  </si>
  <si>
    <t xml:space="preserve">Udhayanidhi Stalin</t>
  </si>
  <si>
    <t xml:space="preserve">Kassali</t>
  </si>
  <si>
    <t xml:space="preserve">Jayasimmaraja SM</t>
  </si>
  <si>
    <t xml:space="preserve">IJK</t>
  </si>
  <si>
    <t xml:space="preserve">Mohammed Idris K</t>
  </si>
  <si>
    <t xml:space="preserve">Thousand Lights</t>
  </si>
  <si>
    <t xml:space="preserve">Ezhilan Naganathan</t>
  </si>
  <si>
    <t xml:space="preserve">Khushbu</t>
  </si>
  <si>
    <t xml:space="preserve">KM Shariff</t>
  </si>
  <si>
    <t xml:space="preserve">AJ Sherine</t>
  </si>
  <si>
    <t xml:space="preserve">Anna Nagar</t>
  </si>
  <si>
    <t xml:space="preserve">MK Mohan</t>
  </si>
  <si>
    <t xml:space="preserve">S Gokula Indira</t>
  </si>
  <si>
    <t xml:space="preserve">V Ponraj</t>
  </si>
  <si>
    <t xml:space="preserve">S Shankar</t>
  </si>
  <si>
    <t xml:space="preserve">Virugampakkam</t>
  </si>
  <si>
    <t xml:space="preserve">South</t>
  </si>
  <si>
    <t xml:space="preserve">AMV Prabhakara Raja</t>
  </si>
  <si>
    <t xml:space="preserve">VN Ravi</t>
  </si>
  <si>
    <t xml:space="preserve">Senegan</t>
  </si>
  <si>
    <t xml:space="preserve">TS Rajendran</t>
  </si>
  <si>
    <t xml:space="preserve">Independant</t>
  </si>
  <si>
    <t xml:space="preserve">Star M Gunasekaran</t>
  </si>
  <si>
    <t xml:space="preserve">Saidapet</t>
  </si>
  <si>
    <t xml:space="preserve">Ma Subramanian</t>
  </si>
  <si>
    <t xml:space="preserve">Saidai Duraisamy</t>
  </si>
  <si>
    <t xml:space="preserve">Snegapriya</t>
  </si>
  <si>
    <t xml:space="preserve">B Sureshkumar</t>
  </si>
  <si>
    <t xml:space="preserve">G Senthamizhan</t>
  </si>
  <si>
    <t xml:space="preserve">Thiyagaraya Nagar</t>
  </si>
  <si>
    <t xml:space="preserve">J Karunanithi</t>
  </si>
  <si>
    <t xml:space="preserve">B Sathiyanarayanan</t>
  </si>
  <si>
    <t xml:space="preserve">Pala Karuppiah</t>
  </si>
  <si>
    <t xml:space="preserve">S Sivasankari</t>
  </si>
  <si>
    <t xml:space="preserve">Mylapore</t>
  </si>
  <si>
    <t xml:space="preserve">Dha Velu</t>
  </si>
  <si>
    <t xml:space="preserve">R Nataraj</t>
  </si>
  <si>
    <t xml:space="preserve">Sripriya</t>
  </si>
  <si>
    <t xml:space="preserve">K Mahalakshmi</t>
  </si>
  <si>
    <t xml:space="preserve">Velachery</t>
  </si>
  <si>
    <t xml:space="preserve">JMH Aassan Maulaana</t>
  </si>
  <si>
    <t xml:space="preserve">MK Ashok</t>
  </si>
  <si>
    <t xml:space="preserve">Santosh Babu</t>
  </si>
  <si>
    <t xml:space="preserve">M Keerthana</t>
  </si>
  <si>
    <t xml:space="preserve">M Chandrabose</t>
  </si>
  <si>
    <t xml:space="preserve">Sholinganallur</t>
  </si>
  <si>
    <t xml:space="preserve">S Aravind Ramesh</t>
  </si>
  <si>
    <t xml:space="preserve">KP Kandan</t>
  </si>
  <si>
    <t xml:space="preserve">S Michael</t>
  </si>
  <si>
    <t xml:space="preserve">Rajiv Kumar</t>
  </si>
  <si>
    <t xml:space="preserve">R Murugan</t>
  </si>
  <si>
    <t xml:space="preserve">Alandur</t>
  </si>
  <si>
    <t xml:space="preserve">MGR</t>
  </si>
  <si>
    <t xml:space="preserve">TM Anbarasan</t>
  </si>
  <si>
    <t xml:space="preserve">B Valarmathi</t>
  </si>
  <si>
    <t xml:space="preserve">Sarathbabu</t>
  </si>
  <si>
    <t xml:space="preserve">R Karthikeyan</t>
  </si>
  <si>
    <t xml:space="preserve">Sriperumbudur</t>
  </si>
  <si>
    <t xml:space="preserve">Kanchipuram</t>
  </si>
  <si>
    <t xml:space="preserve">K Selvaperunthagai</t>
  </si>
  <si>
    <t xml:space="preserve">Palani</t>
  </si>
  <si>
    <t xml:space="preserve">Pushparaj</t>
  </si>
  <si>
    <t xml:space="preserve">Thanigaivel</t>
  </si>
  <si>
    <t xml:space="preserve">Vairamuthu</t>
  </si>
  <si>
    <t xml:space="preserve">Pallavaram</t>
  </si>
  <si>
    <t xml:space="preserve">Chengalpattu</t>
  </si>
  <si>
    <t xml:space="preserve">I Karunanithi</t>
  </si>
  <si>
    <t xml:space="preserve">S Rajendran</t>
  </si>
  <si>
    <t xml:space="preserve">Senthil Arumugam</t>
  </si>
  <si>
    <t xml:space="preserve">Minishree Kanagaraj</t>
  </si>
  <si>
    <t xml:space="preserve">Tambaram</t>
  </si>
  <si>
    <t xml:space="preserve">SR Raja</t>
  </si>
  <si>
    <t xml:space="preserve">TKM Chinnayya</t>
  </si>
  <si>
    <t xml:space="preserve">Elango Silva</t>
  </si>
  <si>
    <t xml:space="preserve">T Sureshkumar</t>
  </si>
  <si>
    <t xml:space="preserve">M Karikalan</t>
  </si>
  <si>
    <t xml:space="preserve">M Varalakshmi</t>
  </si>
  <si>
    <t xml:space="preserve">Gajendran M</t>
  </si>
  <si>
    <t xml:space="preserve">Sanjeevinathan</t>
  </si>
  <si>
    <t xml:space="preserve">Muthamilselvan</t>
  </si>
  <si>
    <t xml:space="preserve">Thiruporur</t>
  </si>
  <si>
    <t xml:space="preserve">VCK</t>
  </si>
  <si>
    <t xml:space="preserve">SS Balaji</t>
  </si>
  <si>
    <t xml:space="preserve">K Arumugam</t>
  </si>
  <si>
    <t xml:space="preserve">S Mohana Sundari</t>
  </si>
  <si>
    <t xml:space="preserve">Lavanya N</t>
  </si>
  <si>
    <t xml:space="preserve">Kothandapani M</t>
  </si>
  <si>
    <t xml:space="preserve">Cheyyur</t>
  </si>
  <si>
    <t xml:space="preserve">M Babu</t>
  </si>
  <si>
    <t xml:space="preserve">S Kanitha</t>
  </si>
  <si>
    <t xml:space="preserve">R Rajesh</t>
  </si>
  <si>
    <t xml:space="preserve">A Siva</t>
  </si>
  <si>
    <t xml:space="preserve">P Anbu Tamilsekaran</t>
  </si>
  <si>
    <t xml:space="preserve">Maduranthakam</t>
  </si>
  <si>
    <t xml:space="preserve">K Maragatham</t>
  </si>
  <si>
    <t xml:space="preserve">MDMK</t>
  </si>
  <si>
    <t xml:space="preserve">CE Satya</t>
  </si>
  <si>
    <t xml:space="preserve">P Sumitha</t>
  </si>
  <si>
    <t xml:space="preserve">N Moorthi</t>
  </si>
  <si>
    <t xml:space="preserve">K Dinesh</t>
  </si>
  <si>
    <t xml:space="preserve">Uthiramerur</t>
  </si>
  <si>
    <t xml:space="preserve">K Sundar</t>
  </si>
  <si>
    <t xml:space="preserve">V Somasundari</t>
  </si>
  <si>
    <t xml:space="preserve">S Kamatchi</t>
  </si>
  <si>
    <t xml:space="preserve">RV Ranjithkumar</t>
  </si>
  <si>
    <t xml:space="preserve">A Susaiappar</t>
  </si>
  <si>
    <t xml:space="preserve">Anna</t>
  </si>
  <si>
    <t xml:space="preserve">CVMP Ezhilarasan</t>
  </si>
  <si>
    <t xml:space="preserve">P Magesh Kumar</t>
  </si>
  <si>
    <t xml:space="preserve">S Saldin</t>
  </si>
  <si>
    <t xml:space="preserve">B Gopinath</t>
  </si>
  <si>
    <t xml:space="preserve">Arakkonam</t>
  </si>
  <si>
    <t xml:space="preserve">Ranipet</t>
  </si>
  <si>
    <t xml:space="preserve">North Arcot</t>
  </si>
  <si>
    <t xml:space="preserve">S Ravi</t>
  </si>
  <si>
    <t xml:space="preserve">J Gowthama Sannah</t>
  </si>
  <si>
    <t xml:space="preserve">E. Abirami</t>
  </si>
  <si>
    <t xml:space="preserve">KC Manivannan</t>
  </si>
  <si>
    <t xml:space="preserve">S Baskaran</t>
  </si>
  <si>
    <t xml:space="preserve">Sholingur</t>
  </si>
  <si>
    <t xml:space="preserve">AM Munirathinam</t>
  </si>
  <si>
    <t xml:space="preserve">AM Krishnan</t>
  </si>
  <si>
    <t xml:space="preserve">NG Parthiban</t>
  </si>
  <si>
    <t xml:space="preserve">YR Pavendhan</t>
  </si>
  <si>
    <t xml:space="preserve">R Jawahar</t>
  </si>
  <si>
    <t xml:space="preserve">R Gandhi</t>
  </si>
  <si>
    <t xml:space="preserve">SM Sugumar</t>
  </si>
  <si>
    <t xml:space="preserve">V Shylaja</t>
  </si>
  <si>
    <t xml:space="preserve">M Atham Basha</t>
  </si>
  <si>
    <t xml:space="preserve">Arcot</t>
  </si>
  <si>
    <t xml:space="preserve">JL Eswarappan</t>
  </si>
  <si>
    <t xml:space="preserve">KL Elavazhagan</t>
  </si>
  <si>
    <t xml:space="preserve">R Kathiravan</t>
  </si>
  <si>
    <t xml:space="preserve">AR Mohamed Raffi</t>
  </si>
  <si>
    <t xml:space="preserve">Katpadi</t>
  </si>
  <si>
    <t xml:space="preserve">Vellore</t>
  </si>
  <si>
    <t xml:space="preserve">Durai Murugan</t>
  </si>
  <si>
    <t xml:space="preserve">V Ramu</t>
  </si>
  <si>
    <t xml:space="preserve">S Tirukkumaran</t>
  </si>
  <si>
    <t xml:space="preserve">AS Raja</t>
  </si>
  <si>
    <t xml:space="preserve">Root</t>
  </si>
  <si>
    <t xml:space="preserve">INCDMK</t>
  </si>
  <si>
    <t xml:space="preserve">P Karthikeyan</t>
  </si>
  <si>
    <t xml:space="preserve">SRK Appu</t>
  </si>
  <si>
    <t xml:space="preserve">N Poonkundran</t>
  </si>
  <si>
    <t xml:space="preserve">G Vikram Chakravarthy</t>
  </si>
  <si>
    <t xml:space="preserve">Anaicut</t>
  </si>
  <si>
    <t xml:space="preserve">AP Nandakumar</t>
  </si>
  <si>
    <t xml:space="preserve">D Velazhagan</t>
  </si>
  <si>
    <t xml:space="preserve">A Sumithra</t>
  </si>
  <si>
    <t xml:space="preserve">M Senthil Kumar</t>
  </si>
  <si>
    <t xml:space="preserve">Kilvaithinankuppam</t>
  </si>
  <si>
    <t xml:space="preserve">PBK</t>
  </si>
  <si>
    <t xml:space="preserve">M Jagan Moorthy</t>
  </si>
  <si>
    <t xml:space="preserve">K Seetharaman</t>
  </si>
  <si>
    <t xml:space="preserve">J Divya Rani</t>
  </si>
  <si>
    <t xml:space="preserve">P Dhanaseelan</t>
  </si>
  <si>
    <t xml:space="preserve">Gudiyatham</t>
  </si>
  <si>
    <t xml:space="preserve">Kamarajar</t>
  </si>
  <si>
    <t xml:space="preserve">V Amulu</t>
  </si>
  <si>
    <t xml:space="preserve">G Paritha</t>
  </si>
  <si>
    <t xml:space="preserve">R Kalaiyenthiri</t>
  </si>
  <si>
    <t xml:space="preserve">C Jayanthi Padmanabhan</t>
  </si>
  <si>
    <t xml:space="preserve">Vaniyambadi</t>
  </si>
  <si>
    <t xml:space="preserve">Tirupattur</t>
  </si>
  <si>
    <t xml:space="preserve">G Sendhil Kumar</t>
  </si>
  <si>
    <t xml:space="preserve">IUML</t>
  </si>
  <si>
    <t xml:space="preserve">N Mohammed Nayeem</t>
  </si>
  <si>
    <t xml:space="preserve">AJ Devendhiran</t>
  </si>
  <si>
    <t xml:space="preserve">AIMIM</t>
  </si>
  <si>
    <t xml:space="preserve">TS Vakeel Ahmed</t>
  </si>
  <si>
    <t xml:space="preserve">M Gnana Doss</t>
  </si>
  <si>
    <t xml:space="preserve">Ambur</t>
  </si>
  <si>
    <t xml:space="preserve">AC Vilwanathan</t>
  </si>
  <si>
    <t xml:space="preserve">Nazar Mohamed K</t>
  </si>
  <si>
    <t xml:space="preserve">Maharunnisha</t>
  </si>
  <si>
    <t xml:space="preserve">SDPI</t>
  </si>
  <si>
    <t xml:space="preserve">Umar Farook Asa</t>
  </si>
  <si>
    <t xml:space="preserve">Raja S</t>
  </si>
  <si>
    <t xml:space="preserve">Jolarpet</t>
  </si>
  <si>
    <t xml:space="preserve">K Devaraji</t>
  </si>
  <si>
    <t xml:space="preserve">KC Veeramani</t>
  </si>
  <si>
    <t xml:space="preserve">R Karunanidhi</t>
  </si>
  <si>
    <t xml:space="preserve">A Nallathambi</t>
  </si>
  <si>
    <t xml:space="preserve">TK Raja</t>
  </si>
  <si>
    <t xml:space="preserve">M Sumathi</t>
  </si>
  <si>
    <t xml:space="preserve">A Gnanasekar</t>
  </si>
  <si>
    <t xml:space="preserve">Uthangarai</t>
  </si>
  <si>
    <t xml:space="preserve">Krishnagiri</t>
  </si>
  <si>
    <t xml:space="preserve">Baramahal</t>
  </si>
  <si>
    <t xml:space="preserve">TM Tamilelvam</t>
  </si>
  <si>
    <t xml:space="preserve">S Arumugam</t>
  </si>
  <si>
    <t xml:space="preserve">Elangovan</t>
  </si>
  <si>
    <t xml:space="preserve">R Bakyaraj</t>
  </si>
  <si>
    <t xml:space="preserve">Bargur</t>
  </si>
  <si>
    <t xml:space="preserve">D Mathiazhagan</t>
  </si>
  <si>
    <t xml:space="preserve">A Krishnan</t>
  </si>
  <si>
    <t xml:space="preserve">K Karunakaran</t>
  </si>
  <si>
    <t xml:space="preserve">S Ganesa Kumar</t>
  </si>
  <si>
    <t xml:space="preserve">K Ashok Kumar</t>
  </si>
  <si>
    <t xml:space="preserve">T Senguttavan</t>
  </si>
  <si>
    <t xml:space="preserve">V Nirandari</t>
  </si>
  <si>
    <t xml:space="preserve">RK Ravishankar</t>
  </si>
  <si>
    <t xml:space="preserve">Veppanahalli</t>
  </si>
  <si>
    <t xml:space="preserve">KP Munusamy</t>
  </si>
  <si>
    <t xml:space="preserve">P Murugan</t>
  </si>
  <si>
    <t xml:space="preserve">M Sakthivel</t>
  </si>
  <si>
    <t xml:space="preserve">SM Murugesan</t>
  </si>
  <si>
    <t xml:space="preserve">Abdul Azeez Amanullah</t>
  </si>
  <si>
    <t xml:space="preserve">Hosur</t>
  </si>
  <si>
    <t xml:space="preserve">INC </t>
  </si>
  <si>
    <t xml:space="preserve">Y Prakaash</t>
  </si>
  <si>
    <t xml:space="preserve">S Jyothi</t>
  </si>
  <si>
    <t xml:space="preserve">S Geetha Lakshmi</t>
  </si>
  <si>
    <t xml:space="preserve">S Masood</t>
  </si>
  <si>
    <t xml:space="preserve">Thalli</t>
  </si>
  <si>
    <t xml:space="preserve">CPI</t>
  </si>
  <si>
    <t xml:space="preserve">T Ramachandran</t>
  </si>
  <si>
    <t xml:space="preserve">C Nagesh Kumar</t>
  </si>
  <si>
    <t xml:space="preserve">R Mary Selvarani</t>
  </si>
  <si>
    <t xml:space="preserve">Ashok Kumar V</t>
  </si>
  <si>
    <t xml:space="preserve">Palacode</t>
  </si>
  <si>
    <t xml:space="preserve">Dharmapuri</t>
  </si>
  <si>
    <t xml:space="preserve">KP Anbalagan</t>
  </si>
  <si>
    <t xml:space="preserve">PK Murugan</t>
  </si>
  <si>
    <t xml:space="preserve">G Kalaiselvi</t>
  </si>
  <si>
    <t xml:space="preserve">P Vijayasankar</t>
  </si>
  <si>
    <t xml:space="preserve">Pennagaram</t>
  </si>
  <si>
    <t xml:space="preserve">GK Mani</t>
  </si>
  <si>
    <t xml:space="preserve">PNP Inbasekaran</t>
  </si>
  <si>
    <t xml:space="preserve">R Tamilazhagan</t>
  </si>
  <si>
    <t xml:space="preserve">R Uthayakumar</t>
  </si>
  <si>
    <t xml:space="preserve">A Periyananjappan</t>
  </si>
  <si>
    <t xml:space="preserve">SP Venkateshwaran</t>
  </si>
  <si>
    <t xml:space="preserve">P Subramani</t>
  </si>
  <si>
    <t xml:space="preserve">DK Rajendran</t>
  </si>
  <si>
    <t xml:space="preserve">Senthil Kumar</t>
  </si>
  <si>
    <t xml:space="preserve">SK Jayavenkatesan</t>
  </si>
  <si>
    <t xml:space="preserve">Pappireddipatti</t>
  </si>
  <si>
    <t xml:space="preserve">A Govindasamy</t>
  </si>
  <si>
    <t xml:space="preserve">M Prabhu Rajasekar</t>
  </si>
  <si>
    <t xml:space="preserve">P Palaniappan</t>
  </si>
  <si>
    <t xml:space="preserve">R Ramesh</t>
  </si>
  <si>
    <t xml:space="preserve">Srinivasan</t>
  </si>
  <si>
    <t xml:space="preserve">Harur</t>
  </si>
  <si>
    <t xml:space="preserve">V Sampathkumar</t>
  </si>
  <si>
    <t xml:space="preserve">CPIM</t>
  </si>
  <si>
    <t xml:space="preserve">A Kumar</t>
  </si>
  <si>
    <t xml:space="preserve">K Keerthana</t>
  </si>
  <si>
    <t xml:space="preserve">Chengam</t>
  </si>
  <si>
    <t xml:space="preserve">Tiruvannamalai</t>
  </si>
  <si>
    <t xml:space="preserve">MP Giri</t>
  </si>
  <si>
    <t xml:space="preserve">Naninakannu MS</t>
  </si>
  <si>
    <t xml:space="preserve">Vennila S</t>
  </si>
  <si>
    <t xml:space="preserve">Anbu S</t>
  </si>
  <si>
    <t xml:space="preserve">Suganraj S</t>
  </si>
  <si>
    <t xml:space="preserve">EV Velu</t>
  </si>
  <si>
    <t xml:space="preserve">S Thanigaivel</t>
  </si>
  <si>
    <t xml:space="preserve">J Kamalakkannan</t>
  </si>
  <si>
    <t xml:space="preserve">R Arul</t>
  </si>
  <si>
    <t xml:space="preserve">Kilpennathur</t>
  </si>
  <si>
    <t xml:space="preserve">K Pitchandi</t>
  </si>
  <si>
    <t xml:space="preserve">K Selvakumar</t>
  </si>
  <si>
    <t xml:space="preserve">R Ramesh Babu</t>
  </si>
  <si>
    <t xml:space="preserve">V Suganantham</t>
  </si>
  <si>
    <t xml:space="preserve">Kalasapakkam</t>
  </si>
  <si>
    <t xml:space="preserve">PST Saravanan</t>
  </si>
  <si>
    <t xml:space="preserve">V Panneerselvam</t>
  </si>
  <si>
    <t xml:space="preserve">E Balaji</t>
  </si>
  <si>
    <t xml:space="preserve">M Nehru</t>
  </si>
  <si>
    <t xml:space="preserve">Polur</t>
  </si>
  <si>
    <t xml:space="preserve">Agri SS Krishnamurthy</t>
  </si>
  <si>
    <t xml:space="preserve">KV Sekaran</t>
  </si>
  <si>
    <t xml:space="preserve">L Lavanya</t>
  </si>
  <si>
    <t xml:space="preserve">G Kalavathi</t>
  </si>
  <si>
    <t xml:space="preserve">R Daksnamoorthy</t>
  </si>
  <si>
    <t xml:space="preserve">Arani</t>
  </si>
  <si>
    <t xml:space="preserve">Sevvoor S Ramachandran</t>
  </si>
  <si>
    <t xml:space="preserve">SS Anbalagan</t>
  </si>
  <si>
    <t xml:space="preserve">D Prakalatha</t>
  </si>
  <si>
    <t xml:space="preserve">V Manikandan</t>
  </si>
  <si>
    <t xml:space="preserve">G Baskaran</t>
  </si>
  <si>
    <t xml:space="preserve">Cheyyar</t>
  </si>
  <si>
    <t xml:space="preserve">O Jothi</t>
  </si>
  <si>
    <t xml:space="preserve">Dusi K Mohan</t>
  </si>
  <si>
    <t xml:space="preserve">Bheeman G</t>
  </si>
  <si>
    <t xml:space="preserve">Mayilvaganan</t>
  </si>
  <si>
    <t xml:space="preserve">Vandavasi</t>
  </si>
  <si>
    <t xml:space="preserve">S Ambethkumar</t>
  </si>
  <si>
    <t xml:space="preserve">S Murali</t>
  </si>
  <si>
    <t xml:space="preserve">G Prabavathi</t>
  </si>
  <si>
    <t xml:space="preserve">P Venkatesan</t>
  </si>
  <si>
    <t xml:space="preserve">Gingee</t>
  </si>
  <si>
    <t xml:space="preserve">Villupuram</t>
  </si>
  <si>
    <t xml:space="preserve">South Arcot</t>
  </si>
  <si>
    <t xml:space="preserve">KS Masthan</t>
  </si>
  <si>
    <t xml:space="preserve">P Rajendiran</t>
  </si>
  <si>
    <t xml:space="preserve">AP Sugumar</t>
  </si>
  <si>
    <t xml:space="preserve">A Gowthan Sagar</t>
  </si>
  <si>
    <t xml:space="preserve">Mailam</t>
  </si>
  <si>
    <t xml:space="preserve">C Sivakumar</t>
  </si>
  <si>
    <t xml:space="preserve">R Masilamani</t>
  </si>
  <si>
    <t xml:space="preserve">L Umamaheswari</t>
  </si>
  <si>
    <t xml:space="preserve">A Sundaresan</t>
  </si>
  <si>
    <t xml:space="preserve">Tindivanam</t>
  </si>
  <si>
    <t xml:space="preserve">P Arjunan</t>
  </si>
  <si>
    <t xml:space="preserve">P Seethapathy</t>
  </si>
  <si>
    <t xml:space="preserve">P Pachimuthu</t>
  </si>
  <si>
    <t xml:space="preserve">K Chandralekha</t>
  </si>
  <si>
    <t xml:space="preserve">Anbin S Poyyamozhi</t>
  </si>
  <si>
    <t xml:space="preserve">Vanur</t>
  </si>
  <si>
    <t xml:space="preserve">M Chakrapani</t>
  </si>
  <si>
    <t xml:space="preserve">Vanni Arasu</t>
  </si>
  <si>
    <t xml:space="preserve">M Latchoumy</t>
  </si>
  <si>
    <t xml:space="preserve">PM Ganapathi</t>
  </si>
  <si>
    <t xml:space="preserve">M Sandoshkumar</t>
  </si>
  <si>
    <t xml:space="preserve">Villipuram</t>
  </si>
  <si>
    <t xml:space="preserve">R Lakshmanan</t>
  </si>
  <si>
    <t xml:space="preserve">CV Shanmugam</t>
  </si>
  <si>
    <t xml:space="preserve">J Selvam</t>
  </si>
  <si>
    <t xml:space="preserve">K Dass</t>
  </si>
  <si>
    <t xml:space="preserve">R Balasundaram</t>
  </si>
  <si>
    <t xml:space="preserve">Vikravandi</t>
  </si>
  <si>
    <t xml:space="preserve">N Pugazhenthi</t>
  </si>
  <si>
    <t xml:space="preserve">R Muthamilselvan</t>
  </si>
  <si>
    <t xml:space="preserve">R Sheeba Ashmi</t>
  </si>
  <si>
    <t xml:space="preserve">R Iyyanar</t>
  </si>
  <si>
    <t xml:space="preserve">Tirukkoyilur</t>
  </si>
  <si>
    <t xml:space="preserve">K Ponmudy</t>
  </si>
  <si>
    <t xml:space="preserve">Vat Kalivaradhan</t>
  </si>
  <si>
    <t xml:space="preserve">L Vengadesan</t>
  </si>
  <si>
    <t xml:space="preserve">S Murugan</t>
  </si>
  <si>
    <t xml:space="preserve">Ulundurpet</t>
  </si>
  <si>
    <t xml:space="preserve">Kallakurichi</t>
  </si>
  <si>
    <t xml:space="preserve">AJ Manikannan</t>
  </si>
  <si>
    <t xml:space="preserve">R Kumaraguru</t>
  </si>
  <si>
    <t xml:space="preserve">L Pushba Mary</t>
  </si>
  <si>
    <t xml:space="preserve">KGP Rajamani</t>
  </si>
  <si>
    <t xml:space="preserve">Rishivandiyam</t>
  </si>
  <si>
    <t xml:space="preserve">Captain</t>
  </si>
  <si>
    <t xml:space="preserve">K Karthikeyan</t>
  </si>
  <si>
    <t xml:space="preserve">SA Santhosh</t>
  </si>
  <si>
    <t xml:space="preserve">R Suresh Manivannan</t>
  </si>
  <si>
    <t xml:space="preserve">S Prabhu</t>
  </si>
  <si>
    <t xml:space="preserve">Sankarapuram</t>
  </si>
  <si>
    <t xml:space="preserve">T Udhayasuriyan</t>
  </si>
  <si>
    <t xml:space="preserve">G Raja</t>
  </si>
  <si>
    <t xml:space="preserve">B Rajiyama</t>
  </si>
  <si>
    <t xml:space="preserve">P Arul</t>
  </si>
  <si>
    <t xml:space="preserve">MP Mannan</t>
  </si>
  <si>
    <t xml:space="preserve">Interest</t>
  </si>
  <si>
    <t xml:space="preserve">M Senthilkumar</t>
  </si>
  <si>
    <t xml:space="preserve">KI Manirathinem</t>
  </si>
  <si>
    <t xml:space="preserve">D Dravida Muthamilselvi</t>
  </si>
  <si>
    <t xml:space="preserve">N Vijayakumar</t>
  </si>
  <si>
    <t xml:space="preserve">Tittakudi</t>
  </si>
  <si>
    <t xml:space="preserve">Cuddalore</t>
  </si>
  <si>
    <t xml:space="preserve">CV Ganesan</t>
  </si>
  <si>
    <t xml:space="preserve">D Periyasamy</t>
  </si>
  <si>
    <t xml:space="preserve">N Kamatchi</t>
  </si>
  <si>
    <t xml:space="preserve">R Umanath</t>
  </si>
  <si>
    <t xml:space="preserve">R Prabakaran</t>
  </si>
  <si>
    <t xml:space="preserve">Virudhachalam</t>
  </si>
  <si>
    <t xml:space="preserve">R Radhakrishnan</t>
  </si>
  <si>
    <t xml:space="preserve">J Karthikeyan</t>
  </si>
  <si>
    <t xml:space="preserve">Premalatha Vijaykant</t>
  </si>
  <si>
    <t xml:space="preserve">N Amutha</t>
  </si>
  <si>
    <t xml:space="preserve">R Kesavaperumal</t>
  </si>
  <si>
    <t xml:space="preserve">Neyveli</t>
  </si>
  <si>
    <t xml:space="preserve">Saba Rajendran</t>
  </si>
  <si>
    <t xml:space="preserve">K Jagan</t>
  </si>
  <si>
    <t xml:space="preserve">K Ramesh</t>
  </si>
  <si>
    <t xml:space="preserve">R Baktharatchagan</t>
  </si>
  <si>
    <t xml:space="preserve">Panruti</t>
  </si>
  <si>
    <t xml:space="preserve">TAVK</t>
  </si>
  <si>
    <t xml:space="preserve">T Velmurugan</t>
  </si>
  <si>
    <t xml:space="preserve">R Rajendran</t>
  </si>
  <si>
    <t xml:space="preserve">R Subhashini</t>
  </si>
  <si>
    <t xml:space="preserve">P Sivakozhundu</t>
  </si>
  <si>
    <t xml:space="preserve">Jayalani</t>
  </si>
  <si>
    <t xml:space="preserve">G Iyappan</t>
  </si>
  <si>
    <t xml:space="preserve">MC Sampath</t>
  </si>
  <si>
    <t xml:space="preserve">V Jaladeepan</t>
  </si>
  <si>
    <t xml:space="preserve">K Anandraj</t>
  </si>
  <si>
    <t xml:space="preserve">A Gnanapandithan</t>
  </si>
  <si>
    <t xml:space="preserve">Kurinjipadi</t>
  </si>
  <si>
    <t xml:space="preserve">MRK Panneerselvam</t>
  </si>
  <si>
    <t xml:space="preserve">Selvi Ramajayam</t>
  </si>
  <si>
    <t xml:space="preserve">S Sumathi</t>
  </si>
  <si>
    <t xml:space="preserve">JDS</t>
  </si>
  <si>
    <t xml:space="preserve">K Chandramouli</t>
  </si>
  <si>
    <t xml:space="preserve">Bhuvanagiri</t>
  </si>
  <si>
    <t xml:space="preserve">A Arunmozhithevan</t>
  </si>
  <si>
    <t xml:space="preserve">Saravanan Durai K</t>
  </si>
  <si>
    <t xml:space="preserve">Rathinavel R</t>
  </si>
  <si>
    <t xml:space="preserve">Balamurugan KSK</t>
  </si>
  <si>
    <t xml:space="preserve">Chidambaram</t>
  </si>
  <si>
    <t xml:space="preserve">KA Pandian</t>
  </si>
  <si>
    <t xml:space="preserve">S Abdul Rahman</t>
  </si>
  <si>
    <t xml:space="preserve">Natarajan Krishnamoorthy</t>
  </si>
  <si>
    <t xml:space="preserve">G Devasagayam</t>
  </si>
  <si>
    <t xml:space="preserve">N Nanthinidevi</t>
  </si>
  <si>
    <t xml:space="preserve">Kattumannarkoil</t>
  </si>
  <si>
    <t xml:space="preserve">Sinthanai Selvan</t>
  </si>
  <si>
    <t xml:space="preserve">N Murugumaran</t>
  </si>
  <si>
    <t xml:space="preserve">P Nivedha</t>
  </si>
  <si>
    <t xml:space="preserve">S Narayanamoorthy</t>
  </si>
  <si>
    <t xml:space="preserve">Thanga Vikram</t>
  </si>
  <si>
    <t xml:space="preserve">Gangavalli</t>
  </si>
  <si>
    <t xml:space="preserve">Salem</t>
  </si>
  <si>
    <t xml:space="preserve">Kongu</t>
  </si>
  <si>
    <t xml:space="preserve">J Rekha Priyadarshini</t>
  </si>
  <si>
    <t xml:space="preserve">R Vinothini</t>
  </si>
  <si>
    <t xml:space="preserve">A Pandian</t>
  </si>
  <si>
    <t xml:space="preserve">Attur</t>
  </si>
  <si>
    <t xml:space="preserve">AP Jayasankaran</t>
  </si>
  <si>
    <t xml:space="preserve">K Chinnadurai</t>
  </si>
  <si>
    <t xml:space="preserve">S Krishnaveni</t>
  </si>
  <si>
    <t xml:space="preserve">Yercaud</t>
  </si>
  <si>
    <t xml:space="preserve">ST</t>
  </si>
  <si>
    <t xml:space="preserve">G Chitra</t>
  </si>
  <si>
    <t xml:space="preserve">C Tamilselvan</t>
  </si>
  <si>
    <t xml:space="preserve">Jothi</t>
  </si>
  <si>
    <t xml:space="preserve">C Kumar</t>
  </si>
  <si>
    <t xml:space="preserve">Omalur</t>
  </si>
  <si>
    <t xml:space="preserve">R Mani</t>
  </si>
  <si>
    <t xml:space="preserve">Rangarajan MK</t>
  </si>
  <si>
    <t xml:space="preserve">A Raja</t>
  </si>
  <si>
    <t xml:space="preserve">V Srinivasan</t>
  </si>
  <si>
    <t xml:space="preserve">Mettur</t>
  </si>
  <si>
    <t xml:space="preserve">S Sadhasivam</t>
  </si>
  <si>
    <t xml:space="preserve">S Srinivasaperumal</t>
  </si>
  <si>
    <t xml:space="preserve">C Manikandan</t>
  </si>
  <si>
    <t xml:space="preserve">P Anusuya</t>
  </si>
  <si>
    <t xml:space="preserve">Selvan</t>
  </si>
  <si>
    <t xml:space="preserve">Edappadi</t>
  </si>
  <si>
    <t xml:space="preserve">Edappadi K Palaniswami</t>
  </si>
  <si>
    <t xml:space="preserve">T Sambathkumar</t>
  </si>
  <si>
    <t xml:space="preserve">Shri Rathna</t>
  </si>
  <si>
    <t xml:space="preserve">D Thasapparaj</t>
  </si>
  <si>
    <t xml:space="preserve">Sangagiri</t>
  </si>
  <si>
    <t xml:space="preserve">S Sundararajan</t>
  </si>
  <si>
    <t xml:space="preserve">KM Rajesh</t>
  </si>
  <si>
    <t xml:space="preserve">S Shobana</t>
  </si>
  <si>
    <t xml:space="preserve">K Sengodan</t>
  </si>
  <si>
    <t xml:space="preserve">A Chellamuthu</t>
  </si>
  <si>
    <t xml:space="preserve">Salem West</t>
  </si>
  <si>
    <t xml:space="preserve">Arul Ramadas</t>
  </si>
  <si>
    <t xml:space="preserve">A Rajendran</t>
  </si>
  <si>
    <t xml:space="preserve">S Nagammal</t>
  </si>
  <si>
    <t xml:space="preserve">A Thiyagarajan</t>
  </si>
  <si>
    <t xml:space="preserve">Alagaapuram R Mohanraj</t>
  </si>
  <si>
    <t xml:space="preserve">Salem North</t>
  </si>
  <si>
    <t xml:space="preserve">G Venkatachalam</t>
  </si>
  <si>
    <t xml:space="preserve">RS Guru Chakravarthy</t>
  </si>
  <si>
    <t xml:space="preserve">N Imaya Eswaran</t>
  </si>
  <si>
    <t xml:space="preserve">Salem South</t>
  </si>
  <si>
    <t xml:space="preserve">E Balasubramanian</t>
  </si>
  <si>
    <t xml:space="preserve">AS Saravanan</t>
  </si>
  <si>
    <t xml:space="preserve">M Prabhu Manikandan</t>
  </si>
  <si>
    <t xml:space="preserve">S Mariamma</t>
  </si>
  <si>
    <t xml:space="preserve">Se Venkatajalam</t>
  </si>
  <si>
    <t xml:space="preserve">Veerapandi</t>
  </si>
  <si>
    <t xml:space="preserve">M Rajamuthu</t>
  </si>
  <si>
    <t xml:space="preserve">AK Tharun</t>
  </si>
  <si>
    <t xml:space="preserve">S Rajeshkumar</t>
  </si>
  <si>
    <t xml:space="preserve">SK Selvam</t>
  </si>
  <si>
    <t xml:space="preserve">Rasipuram</t>
  </si>
  <si>
    <t xml:space="preserve">Namakkal</t>
  </si>
  <si>
    <t xml:space="preserve">Ponni</t>
  </si>
  <si>
    <t xml:space="preserve">M Mathiventhan</t>
  </si>
  <si>
    <t xml:space="preserve">V Saroja</t>
  </si>
  <si>
    <t xml:space="preserve">K Silambarasi</t>
  </si>
  <si>
    <t xml:space="preserve">R Ramkumar</t>
  </si>
  <si>
    <t xml:space="preserve">Senthamangalam</t>
  </si>
  <si>
    <t xml:space="preserve">K Ponnusamy</t>
  </si>
  <si>
    <t xml:space="preserve">T Rohini</t>
  </si>
  <si>
    <t xml:space="preserve">C Chandrasekaran</t>
  </si>
  <si>
    <t xml:space="preserve">P Ramalingam</t>
  </si>
  <si>
    <t xml:space="preserve">KPP Baskar</t>
  </si>
  <si>
    <t xml:space="preserve">B Baskar</t>
  </si>
  <si>
    <t xml:space="preserve">S Adham Farook</t>
  </si>
  <si>
    <t xml:space="preserve">Paramathi Velur</t>
  </si>
  <si>
    <t xml:space="preserve">S Sekar</t>
  </si>
  <si>
    <t xml:space="preserve">KS Moorthy</t>
  </si>
  <si>
    <t xml:space="preserve">K Uvarani</t>
  </si>
  <si>
    <t xml:space="preserve">K Natarajan</t>
  </si>
  <si>
    <t xml:space="preserve">Tiruchengode</t>
  </si>
  <si>
    <t xml:space="preserve">KMDK</t>
  </si>
  <si>
    <t xml:space="preserve">ER Eswaran</t>
  </si>
  <si>
    <t xml:space="preserve">Pon Saraswathi</t>
  </si>
  <si>
    <t xml:space="preserve">P Natarajan</t>
  </si>
  <si>
    <t xml:space="preserve">R Janagaraj</t>
  </si>
  <si>
    <t xml:space="preserve">Kumarapalayam</t>
  </si>
  <si>
    <t xml:space="preserve">P Thangamani</t>
  </si>
  <si>
    <t xml:space="preserve">M Venkatachalam</t>
  </si>
  <si>
    <t xml:space="preserve">S Varun</t>
  </si>
  <si>
    <t xml:space="preserve">S Ommsharravana</t>
  </si>
  <si>
    <t xml:space="preserve">K Kamaraj</t>
  </si>
  <si>
    <t xml:space="preserve">Erode East</t>
  </si>
  <si>
    <t xml:space="preserve">Erode</t>
  </si>
  <si>
    <t xml:space="preserve">E Thirumagan Evera</t>
  </si>
  <si>
    <t xml:space="preserve">M Yuvaraja</t>
  </si>
  <si>
    <t xml:space="preserve">S Gomathi</t>
  </si>
  <si>
    <t xml:space="preserve">AMR Rajakumar</t>
  </si>
  <si>
    <t xml:space="preserve">SA Muthukumaran</t>
  </si>
  <si>
    <t xml:space="preserve">Erode West</t>
  </si>
  <si>
    <t xml:space="preserve">S Muthusamy</t>
  </si>
  <si>
    <t xml:space="preserve">KV Ramalingam</t>
  </si>
  <si>
    <t xml:space="preserve">Chandra Kumar P</t>
  </si>
  <si>
    <t xml:space="preserve">Durai Sevugan</t>
  </si>
  <si>
    <t xml:space="preserve">Modakkurichi</t>
  </si>
  <si>
    <t xml:space="preserve">C Saraswathi</t>
  </si>
  <si>
    <t xml:space="preserve">Subbulakshmi Jagadeesan</t>
  </si>
  <si>
    <t xml:space="preserve">G Prakash</t>
  </si>
  <si>
    <t xml:space="preserve">M Rajeshkumar</t>
  </si>
  <si>
    <t xml:space="preserve">Dharapuram</t>
  </si>
  <si>
    <t xml:space="preserve">Tiruppur</t>
  </si>
  <si>
    <t xml:space="preserve">Union</t>
  </si>
  <si>
    <t xml:space="preserve">N Kayalvizhi</t>
  </si>
  <si>
    <t xml:space="preserve">L Murugan</t>
  </si>
  <si>
    <t xml:space="preserve">K Ranjitha</t>
  </si>
  <si>
    <t xml:space="preserve">A Charli</t>
  </si>
  <si>
    <t xml:space="preserve">Kangayam</t>
  </si>
  <si>
    <t xml:space="preserve">MP Saminathan</t>
  </si>
  <si>
    <t xml:space="preserve">As Ramalingam</t>
  </si>
  <si>
    <t xml:space="preserve">K Sivanantham</t>
  </si>
  <si>
    <t xml:space="preserve">R Appasamy</t>
  </si>
  <si>
    <t xml:space="preserve">Perundurai</t>
  </si>
  <si>
    <t xml:space="preserve">S Jayakumar</t>
  </si>
  <si>
    <t xml:space="preserve">KKC Balu</t>
  </si>
  <si>
    <t xml:space="preserve">C Loganathan</t>
  </si>
  <si>
    <t xml:space="preserve">Thoppu Venkatachalam</t>
  </si>
  <si>
    <t xml:space="preserve">CK Nandhakumar</t>
  </si>
  <si>
    <t xml:space="preserve">Bhavani</t>
  </si>
  <si>
    <t xml:space="preserve">KC Karuppannan</t>
  </si>
  <si>
    <t xml:space="preserve">Durairaj KP</t>
  </si>
  <si>
    <t xml:space="preserve">Sathya M</t>
  </si>
  <si>
    <t xml:space="preserve">Sadhanandham K</t>
  </si>
  <si>
    <t xml:space="preserve">Anthiyur</t>
  </si>
  <si>
    <t xml:space="preserve">AG Venkatachalam</t>
  </si>
  <si>
    <t xml:space="preserve">Shanmugavel KS</t>
  </si>
  <si>
    <t xml:space="preserve">Saravanan M</t>
  </si>
  <si>
    <t xml:space="preserve">Gurunathan M</t>
  </si>
  <si>
    <t xml:space="preserve">AHIMSASP</t>
  </si>
  <si>
    <t xml:space="preserve">Prathaban A</t>
  </si>
  <si>
    <t xml:space="preserve">Gobichettipalayam</t>
  </si>
  <si>
    <t xml:space="preserve">KA Sengottaiyan</t>
  </si>
  <si>
    <t xml:space="preserve">GV Manimaran</t>
  </si>
  <si>
    <t xml:space="preserve">MK Seethalakshmi</t>
  </si>
  <si>
    <t xml:space="preserve">NK Prakash</t>
  </si>
  <si>
    <t xml:space="preserve">NK Thulasimani</t>
  </si>
  <si>
    <t xml:space="preserve">Bhavanisagar</t>
  </si>
  <si>
    <t xml:space="preserve">A Bannari</t>
  </si>
  <si>
    <t xml:space="preserve">PL Sundaram</t>
  </si>
  <si>
    <t xml:space="preserve">V Sangeetha</t>
  </si>
  <si>
    <t xml:space="preserve">Karthikkumar K</t>
  </si>
  <si>
    <t xml:space="preserve">Ramesh G</t>
  </si>
  <si>
    <t xml:space="preserve">Udagamandalam</t>
  </si>
  <si>
    <t xml:space="preserve">Nilgiris</t>
  </si>
  <si>
    <t xml:space="preserve">Mountain Kongudam</t>
  </si>
  <si>
    <t xml:space="preserve">R Ganesh</t>
  </si>
  <si>
    <t xml:space="preserve">M Bhojarajan</t>
  </si>
  <si>
    <t xml:space="preserve">A Jayakumar</t>
  </si>
  <si>
    <t xml:space="preserve">S Suresh Babu</t>
  </si>
  <si>
    <t xml:space="preserve">Gudalur</t>
  </si>
  <si>
    <t xml:space="preserve">Pon Jayaseelan</t>
  </si>
  <si>
    <t xml:space="preserve">S Kasilingam</t>
  </si>
  <si>
    <t xml:space="preserve">R Ketheeswaran</t>
  </si>
  <si>
    <t xml:space="preserve">A Yogeswaran</t>
  </si>
  <si>
    <t xml:space="preserve">Coonoor</t>
  </si>
  <si>
    <t xml:space="preserve">K Ramachandran</t>
  </si>
  <si>
    <t xml:space="preserve">Vinoth D</t>
  </si>
  <si>
    <t xml:space="preserve">Lavanya M</t>
  </si>
  <si>
    <t xml:space="preserve">Rajakumar HB</t>
  </si>
  <si>
    <t xml:space="preserve">Kalaiselvan S</t>
  </si>
  <si>
    <t xml:space="preserve">Mettupalayam</t>
  </si>
  <si>
    <t xml:space="preserve">Coimbatore</t>
  </si>
  <si>
    <t xml:space="preserve">Kovai</t>
  </si>
  <si>
    <t xml:space="preserve">AK Selvaraj</t>
  </si>
  <si>
    <t xml:space="preserve">TR Shanmugasundaram</t>
  </si>
  <si>
    <t xml:space="preserve">K Yasmin</t>
  </si>
  <si>
    <t xml:space="preserve">P Saravanan</t>
  </si>
  <si>
    <t xml:space="preserve">Avanashi</t>
  </si>
  <si>
    <t xml:space="preserve">P Dhanapal</t>
  </si>
  <si>
    <t xml:space="preserve">Athiyamaan Raju</t>
  </si>
  <si>
    <t xml:space="preserve">Shoba</t>
  </si>
  <si>
    <t xml:space="preserve">Venkateswaran A</t>
  </si>
  <si>
    <t xml:space="preserve">Meera K</t>
  </si>
  <si>
    <t xml:space="preserve">Tiruppur North</t>
  </si>
  <si>
    <t xml:space="preserve">KN Vijayakumar</t>
  </si>
  <si>
    <t xml:space="preserve">CPI </t>
  </si>
  <si>
    <t xml:space="preserve">M Ravi</t>
  </si>
  <si>
    <t xml:space="preserve">S Easwaran</t>
  </si>
  <si>
    <t xml:space="preserve">S Sivabalan</t>
  </si>
  <si>
    <t xml:space="preserve">M Selvakumar</t>
  </si>
  <si>
    <t xml:space="preserve">Tiruppur South</t>
  </si>
  <si>
    <t xml:space="preserve">K Selvaraj</t>
  </si>
  <si>
    <t xml:space="preserve">K Shanmugasundaram</t>
  </si>
  <si>
    <t xml:space="preserve">Anusha Ravi</t>
  </si>
  <si>
    <t xml:space="preserve">A Vishalakchi</t>
  </si>
  <si>
    <t xml:space="preserve">Palladam</t>
  </si>
  <si>
    <t xml:space="preserve">MSM Anandan</t>
  </si>
  <si>
    <t xml:space="preserve">K Muthu Rathinam</t>
  </si>
  <si>
    <t xml:space="preserve">S Subramanian</t>
  </si>
  <si>
    <t xml:space="preserve">G Mayilsamy</t>
  </si>
  <si>
    <t xml:space="preserve">R Jothimani</t>
  </si>
  <si>
    <t xml:space="preserve">Sulur</t>
  </si>
  <si>
    <t xml:space="preserve">VP Kandasamy</t>
  </si>
  <si>
    <t xml:space="preserve">Selvam Kalichamy M</t>
  </si>
  <si>
    <t xml:space="preserve">Elangovan G</t>
  </si>
  <si>
    <t xml:space="preserve">Ranganathan A</t>
  </si>
  <si>
    <t xml:space="preserve">Senthil Kumar SA</t>
  </si>
  <si>
    <t xml:space="preserve">Kavundampalayam</t>
  </si>
  <si>
    <t xml:space="preserve">PRG Arunkumar</t>
  </si>
  <si>
    <t xml:space="preserve">R Krishnan</t>
  </si>
  <si>
    <t xml:space="preserve">Pankaj Jain</t>
  </si>
  <si>
    <t xml:space="preserve">Kalamani M</t>
  </si>
  <si>
    <t xml:space="preserve">Coimbatore North</t>
  </si>
  <si>
    <t xml:space="preserve">Amman K Arjunan</t>
  </si>
  <si>
    <t xml:space="preserve">Shanmugasundaram VM</t>
  </si>
  <si>
    <t xml:space="preserve">Thangavelu R</t>
  </si>
  <si>
    <t xml:space="preserve">Balendran CB</t>
  </si>
  <si>
    <t xml:space="preserve">Thondamuthur</t>
  </si>
  <si>
    <t xml:space="preserve">SP Velumani</t>
  </si>
  <si>
    <t xml:space="preserve">Karthikeya</t>
  </si>
  <si>
    <t xml:space="preserve">S Shajahan</t>
  </si>
  <si>
    <t xml:space="preserve">S Kalaiarasi</t>
  </si>
  <si>
    <t xml:space="preserve">Coimbatore South</t>
  </si>
  <si>
    <t xml:space="preserve">Vanathi Srinivasan</t>
  </si>
  <si>
    <t xml:space="preserve">Kamal Haasan</t>
  </si>
  <si>
    <t xml:space="preserve">Mayura Jayakumar S</t>
  </si>
  <si>
    <t xml:space="preserve">Abdul Wahab</t>
  </si>
  <si>
    <t xml:space="preserve">Singanallur</t>
  </si>
  <si>
    <t xml:space="preserve">KR Jayaram</t>
  </si>
  <si>
    <t xml:space="preserve">N Karthik</t>
  </si>
  <si>
    <t xml:space="preserve">R Mahendran</t>
  </si>
  <si>
    <t xml:space="preserve">R Narmadha</t>
  </si>
  <si>
    <t xml:space="preserve">Kinathukadavu</t>
  </si>
  <si>
    <t xml:space="preserve">DMKAIADMK</t>
  </si>
  <si>
    <t xml:space="preserve">S Damodaran</t>
  </si>
  <si>
    <t xml:space="preserve">Kuruchi Prabhakaran</t>
  </si>
  <si>
    <t xml:space="preserve">M Umajagadesh</t>
  </si>
  <si>
    <t xml:space="preserve">Pollachi</t>
  </si>
  <si>
    <t xml:space="preserve">Pollachi V Jayaraman</t>
  </si>
  <si>
    <t xml:space="preserve">K Varadharajan</t>
  </si>
  <si>
    <t xml:space="preserve">VT Sathieshkumar</t>
  </si>
  <si>
    <t xml:space="preserve">N Logeswari</t>
  </si>
  <si>
    <t xml:space="preserve">Valparai</t>
  </si>
  <si>
    <t xml:space="preserve">TK Amulkandasami</t>
  </si>
  <si>
    <t xml:space="preserve">M Arumugham</t>
  </si>
  <si>
    <t xml:space="preserve">C Kohila</t>
  </si>
  <si>
    <t xml:space="preserve">D Senthilraj</t>
  </si>
  <si>
    <t xml:space="preserve">Udumalpettai</t>
  </si>
  <si>
    <t xml:space="preserve">Udumalai K Radhakrishnan</t>
  </si>
  <si>
    <t xml:space="preserve">K Thennarasu</t>
  </si>
  <si>
    <t xml:space="preserve">A Babu Ranjendra Prasad</t>
  </si>
  <si>
    <t xml:space="preserve">V Srinithi</t>
  </si>
  <si>
    <t xml:space="preserve">Madathukulam</t>
  </si>
  <si>
    <t xml:space="preserve">C Mahendran</t>
  </si>
  <si>
    <t xml:space="preserve">R Jayaramakrishnan</t>
  </si>
  <si>
    <t xml:space="preserve">C Shanmugavelu</t>
  </si>
  <si>
    <t xml:space="preserve">U Sanuja</t>
  </si>
  <si>
    <t xml:space="preserve">K Kumaresan</t>
  </si>
  <si>
    <t xml:space="preserve">Dindigul</t>
  </si>
  <si>
    <t xml:space="preserve">IP Senthil Kumar</t>
  </si>
  <si>
    <t xml:space="preserve">K Ravi Manoharan</t>
  </si>
  <si>
    <t xml:space="preserve">G Vinoth Rajasekaran</t>
  </si>
  <si>
    <t xml:space="preserve">T Poovendhan</t>
  </si>
  <si>
    <t xml:space="preserve">V Veerakumar</t>
  </si>
  <si>
    <t xml:space="preserve">Oddanchatram</t>
  </si>
  <si>
    <t xml:space="preserve">R Sakkarapani</t>
  </si>
  <si>
    <t xml:space="preserve">NP Nataraj</t>
  </si>
  <si>
    <t xml:space="preserve">T Sakti Devi</t>
  </si>
  <si>
    <t xml:space="preserve">M Siva Kumar</t>
  </si>
  <si>
    <t xml:space="preserve">Athoor</t>
  </si>
  <si>
    <t xml:space="preserve">I Periyasamy</t>
  </si>
  <si>
    <t xml:space="preserve">Thilagabama M</t>
  </si>
  <si>
    <t xml:space="preserve">Simon Justin A</t>
  </si>
  <si>
    <t xml:space="preserve">Sivasakthivel</t>
  </si>
  <si>
    <t xml:space="preserve">Selvakumar P</t>
  </si>
  <si>
    <t xml:space="preserve">Nilakottai</t>
  </si>
  <si>
    <t xml:space="preserve">S Thenmozhi</t>
  </si>
  <si>
    <t xml:space="preserve">K Murugavelrajan</t>
  </si>
  <si>
    <t xml:space="preserve">G Vasanthadevi</t>
  </si>
  <si>
    <t xml:space="preserve">K Ramasamy</t>
  </si>
  <si>
    <t xml:space="preserve">Ananth</t>
  </si>
  <si>
    <t xml:space="preserve">Natham</t>
  </si>
  <si>
    <t xml:space="preserve">DMKINC</t>
  </si>
  <si>
    <t xml:space="preserve">Natham R Viswanathan</t>
  </si>
  <si>
    <t xml:space="preserve">MA Andi Ambalam</t>
  </si>
  <si>
    <t xml:space="preserve">V Sivasankaran</t>
  </si>
  <si>
    <t xml:space="preserve">N Raja</t>
  </si>
  <si>
    <t xml:space="preserve">Dindigul C Sreenivasan</t>
  </si>
  <si>
    <t xml:space="preserve">N Pandi</t>
  </si>
  <si>
    <t xml:space="preserve">R Jayasundar</t>
  </si>
  <si>
    <t xml:space="preserve">P Ramuthevar</t>
  </si>
  <si>
    <t xml:space="preserve">Vedasandur</t>
  </si>
  <si>
    <t xml:space="preserve">S Gandhirajan</t>
  </si>
  <si>
    <t xml:space="preserve">VPB Paramasivam</t>
  </si>
  <si>
    <t xml:space="preserve">R Pothumani</t>
  </si>
  <si>
    <t xml:space="preserve">P Ramasamy</t>
  </si>
  <si>
    <t xml:space="preserve">B Palanichamy</t>
  </si>
  <si>
    <t xml:space="preserve">Aravakurichi</t>
  </si>
  <si>
    <t xml:space="preserve">Karur</t>
  </si>
  <si>
    <t xml:space="preserve">R Elango</t>
  </si>
  <si>
    <t xml:space="preserve">K Annamalai</t>
  </si>
  <si>
    <t xml:space="preserve">Anitha Parveen</t>
  </si>
  <si>
    <t xml:space="preserve">Thangavel PSN</t>
  </si>
  <si>
    <t xml:space="preserve">Mohammed Haneef Shahil KS</t>
  </si>
  <si>
    <t xml:space="preserve">V Senthil Balaji</t>
  </si>
  <si>
    <t xml:space="preserve">MR Vijayabhaskar</t>
  </si>
  <si>
    <t xml:space="preserve">R Karuppaiya</t>
  </si>
  <si>
    <t xml:space="preserve">S Mohanraj</t>
  </si>
  <si>
    <t xml:space="preserve">Krishnarayapuram</t>
  </si>
  <si>
    <t xml:space="preserve">K Sivagami Sundari</t>
  </si>
  <si>
    <t xml:space="preserve">Muthukumar</t>
  </si>
  <si>
    <t xml:space="preserve">R Ilakiya</t>
  </si>
  <si>
    <t xml:space="preserve">M Kathirvel</t>
  </si>
  <si>
    <t xml:space="preserve">V Saravanan</t>
  </si>
  <si>
    <t xml:space="preserve">Kulithalai</t>
  </si>
  <si>
    <t xml:space="preserve">R Manickam</t>
  </si>
  <si>
    <t xml:space="preserve">NR Chandrasekar</t>
  </si>
  <si>
    <t xml:space="preserve">Seeni Prakasu</t>
  </si>
  <si>
    <t xml:space="preserve">R Saravanan</t>
  </si>
  <si>
    <t xml:space="preserve">Manapaarai</t>
  </si>
  <si>
    <t xml:space="preserve">Tiruchirappalli</t>
  </si>
  <si>
    <t xml:space="preserve">Delta</t>
  </si>
  <si>
    <t xml:space="preserve">West Chola</t>
  </si>
  <si>
    <t xml:space="preserve">MMK</t>
  </si>
  <si>
    <t xml:space="preserve">P Abdul Samad</t>
  </si>
  <si>
    <t xml:space="preserve">R Chandrasekar</t>
  </si>
  <si>
    <t xml:space="preserve">P Kanimozhi</t>
  </si>
  <si>
    <t xml:space="preserve">P Krishnagopal</t>
  </si>
  <si>
    <t xml:space="preserve">V Chandrasekar</t>
  </si>
  <si>
    <t xml:space="preserve">Srirangam</t>
  </si>
  <si>
    <t xml:space="preserve">M Palaniyandi</t>
  </si>
  <si>
    <t xml:space="preserve">Ku Pa Krishnan</t>
  </si>
  <si>
    <t xml:space="preserve">K Selvarathi</t>
  </si>
  <si>
    <t xml:space="preserve">Y Jacob</t>
  </si>
  <si>
    <t xml:space="preserve">Sarubala R Thondaiman</t>
  </si>
  <si>
    <t xml:space="preserve">Tiruchirappalli West</t>
  </si>
  <si>
    <t xml:space="preserve">KN Nehru</t>
  </si>
  <si>
    <t xml:space="preserve">V Padmanathan</t>
  </si>
  <si>
    <t xml:space="preserve">V Vinodh</t>
  </si>
  <si>
    <t xml:space="preserve">M Abubacker Siddiq</t>
  </si>
  <si>
    <t xml:space="preserve">R Abdullah Hassan Faizy</t>
  </si>
  <si>
    <t xml:space="preserve">Tiruchirappalli East</t>
  </si>
  <si>
    <t xml:space="preserve">Inigo S Irudayaraj</t>
  </si>
  <si>
    <t xml:space="preserve">Vellamandi N Natarajan</t>
  </si>
  <si>
    <t xml:space="preserve">Prabhu</t>
  </si>
  <si>
    <t xml:space="preserve">D Veerasakthi</t>
  </si>
  <si>
    <t xml:space="preserve">R Manoharan</t>
  </si>
  <si>
    <t xml:space="preserve">Thiruverumbur</t>
  </si>
  <si>
    <t xml:space="preserve">Anbil Mahesh Poyyamozhi</t>
  </si>
  <si>
    <t xml:space="preserve">P Kumar</t>
  </si>
  <si>
    <t xml:space="preserve">V Cholasooran</t>
  </si>
  <si>
    <t xml:space="preserve">M Muruganandam</t>
  </si>
  <si>
    <t xml:space="preserve">S Senthilkumar</t>
  </si>
  <si>
    <t xml:space="preserve">Lalgudi</t>
  </si>
  <si>
    <t xml:space="preserve">A Soundara Pandian</t>
  </si>
  <si>
    <t xml:space="preserve">DR Dharmaraj</t>
  </si>
  <si>
    <t xml:space="preserve">I Malar Tamil Prabha</t>
  </si>
  <si>
    <t xml:space="preserve">M Vijayamurthy</t>
  </si>
  <si>
    <t xml:space="preserve">Manachanallur</t>
  </si>
  <si>
    <t xml:space="preserve">S Kathiravan</t>
  </si>
  <si>
    <t xml:space="preserve">M Paranjothi</t>
  </si>
  <si>
    <t xml:space="preserve">V Krishnasamy</t>
  </si>
  <si>
    <t xml:space="preserve">R Samson</t>
  </si>
  <si>
    <t xml:space="preserve">M Rajasekharn</t>
  </si>
  <si>
    <t xml:space="preserve">Musiri</t>
  </si>
  <si>
    <t xml:space="preserve">N Thiyagarajan</t>
  </si>
  <si>
    <t xml:space="preserve">M Selvarasu</t>
  </si>
  <si>
    <t xml:space="preserve">Sridevi Ilangovan</t>
  </si>
  <si>
    <t xml:space="preserve">KS Kumar</t>
  </si>
  <si>
    <t xml:space="preserve">S Gokul</t>
  </si>
  <si>
    <t xml:space="preserve">Thuraiyur</t>
  </si>
  <si>
    <t xml:space="preserve">S Stalinkumar</t>
  </si>
  <si>
    <t xml:space="preserve">T Indragandhi</t>
  </si>
  <si>
    <t xml:space="preserve">R Tamilzhselvi</t>
  </si>
  <si>
    <t xml:space="preserve">TN Yuvarajan</t>
  </si>
  <si>
    <t xml:space="preserve">K Subramanian</t>
  </si>
  <si>
    <t xml:space="preserve">Perambalur</t>
  </si>
  <si>
    <t xml:space="preserve">M Prabhakaran</t>
  </si>
  <si>
    <t xml:space="preserve">R Thamizhselvan</t>
  </si>
  <si>
    <t xml:space="preserve">M Maheshwari</t>
  </si>
  <si>
    <t xml:space="preserve">K Rajendran</t>
  </si>
  <si>
    <t xml:space="preserve">Kunnam</t>
  </si>
  <si>
    <t xml:space="preserve">SS Sivasankar</t>
  </si>
  <si>
    <t xml:space="preserve">RT Ramachandran</t>
  </si>
  <si>
    <t xml:space="preserve">S Kaarthikeyan</t>
  </si>
  <si>
    <t xml:space="preserve">R Selvaraju</t>
  </si>
  <si>
    <t xml:space="preserve">Ariyalur</t>
  </si>
  <si>
    <t xml:space="preserve">K Chinnappa</t>
  </si>
  <si>
    <t xml:space="preserve">Rajendran S</t>
  </si>
  <si>
    <t xml:space="preserve">Suguna Kumar</t>
  </si>
  <si>
    <t xml:space="preserve">Durai Manivel</t>
  </si>
  <si>
    <t xml:space="preserve">Jayankondam</t>
  </si>
  <si>
    <t xml:space="preserve">Ka So Ka Kannan</t>
  </si>
  <si>
    <t xml:space="preserve">K Balu</t>
  </si>
  <si>
    <t xml:space="preserve">Mahalingam Neela</t>
  </si>
  <si>
    <t xml:space="preserve">G Latha</t>
  </si>
  <si>
    <t xml:space="preserve">Sirkazhi</t>
  </si>
  <si>
    <t xml:space="preserve">Mayiladuthurai</t>
  </si>
  <si>
    <t xml:space="preserve">Coastal Chola</t>
  </si>
  <si>
    <t xml:space="preserve">M Panneerselvam</t>
  </si>
  <si>
    <t xml:space="preserve">PV Bharathi</t>
  </si>
  <si>
    <t xml:space="preserve">A Kavitha</t>
  </si>
  <si>
    <t xml:space="preserve">Pon Balu</t>
  </si>
  <si>
    <t xml:space="preserve">R Prabhhu</t>
  </si>
  <si>
    <t xml:space="preserve">S Rajakumar</t>
  </si>
  <si>
    <t xml:space="preserve">A Palanisamy</t>
  </si>
  <si>
    <t xml:space="preserve">K Kasiraman</t>
  </si>
  <si>
    <t xml:space="preserve">PK Anbarasan Komal</t>
  </si>
  <si>
    <t xml:space="preserve">N Ravichandran</t>
  </si>
  <si>
    <t xml:space="preserve">Poompuhar</t>
  </si>
  <si>
    <t xml:space="preserve">Nivedha M Murugan</t>
  </si>
  <si>
    <t xml:space="preserve">S Pavunraj</t>
  </si>
  <si>
    <t xml:space="preserve">P Kaliyammal</t>
  </si>
  <si>
    <t xml:space="preserve">S Senthamizhan</t>
  </si>
  <si>
    <t xml:space="preserve">MH Meharajdeen</t>
  </si>
  <si>
    <t xml:space="preserve">Nagapattinam</t>
  </si>
  <si>
    <t xml:space="preserve">Aloor Shanavas</t>
  </si>
  <si>
    <t xml:space="preserve">Thanka Kathiravan</t>
  </si>
  <si>
    <t xml:space="preserve">S Augustine Arputharaj</t>
  </si>
  <si>
    <t xml:space="preserve">C Manjula</t>
  </si>
  <si>
    <t xml:space="preserve">Syed Anas Mohideen Sahip</t>
  </si>
  <si>
    <t xml:space="preserve">Kilvelur</t>
  </si>
  <si>
    <t xml:space="preserve">VP Nagaimaali</t>
  </si>
  <si>
    <t xml:space="preserve">S Vadivel Ravanan</t>
  </si>
  <si>
    <t xml:space="preserve">S Ponelavazhaki</t>
  </si>
  <si>
    <t xml:space="preserve">G Sidhu</t>
  </si>
  <si>
    <t xml:space="preserve">M Neethimohan</t>
  </si>
  <si>
    <t xml:space="preserve">Vedaranyam</t>
  </si>
  <si>
    <t xml:space="preserve">OS Manian</t>
  </si>
  <si>
    <t xml:space="preserve">SK Vedarathinam</t>
  </si>
  <si>
    <t xml:space="preserve">PS Arumugam</t>
  </si>
  <si>
    <t xml:space="preserve">Thiruthuraipoondi</t>
  </si>
  <si>
    <t xml:space="preserve">Tiruvarur</t>
  </si>
  <si>
    <t xml:space="preserve">Central Chola</t>
  </si>
  <si>
    <t xml:space="preserve">K Marimuthu</t>
  </si>
  <si>
    <t xml:space="preserve">C Suresh Kumar</t>
  </si>
  <si>
    <t xml:space="preserve">A Aarthi</t>
  </si>
  <si>
    <t xml:space="preserve">S Rajanikanth</t>
  </si>
  <si>
    <t xml:space="preserve">Mannargudi</t>
  </si>
  <si>
    <t xml:space="preserve">TRB Rajaa</t>
  </si>
  <si>
    <t xml:space="preserve">Siva Rajamanickam</t>
  </si>
  <si>
    <t xml:space="preserve">S Kamaraj</t>
  </si>
  <si>
    <t xml:space="preserve">Aravindan Rama</t>
  </si>
  <si>
    <t xml:space="preserve">T Kumaresan</t>
  </si>
  <si>
    <t xml:space="preserve">K Poondi Kalaivanan</t>
  </si>
  <si>
    <t xml:space="preserve">ANR Pannerselvam</t>
  </si>
  <si>
    <t xml:space="preserve">MA Naseema Banu</t>
  </si>
  <si>
    <t xml:space="preserve">P Kabilarasan</t>
  </si>
  <si>
    <t xml:space="preserve">Nannilam</t>
  </si>
  <si>
    <t xml:space="preserve">R Kamaraj</t>
  </si>
  <si>
    <t xml:space="preserve">S Jothiraman</t>
  </si>
  <si>
    <t xml:space="preserve">S Fathima Farhana</t>
  </si>
  <si>
    <t xml:space="preserve">N Ramachandran</t>
  </si>
  <si>
    <t xml:space="preserve">Thiruvidaimarudur</t>
  </si>
  <si>
    <t xml:space="preserve">Thanjavur</t>
  </si>
  <si>
    <t xml:space="preserve">Govi Chezhian</t>
  </si>
  <si>
    <t xml:space="preserve">S Union Veeramani</t>
  </si>
  <si>
    <t xml:space="preserve">M Divya Bharathi</t>
  </si>
  <si>
    <t xml:space="preserve">M Puratchi Mani</t>
  </si>
  <si>
    <t xml:space="preserve">J Kudanthai</t>
  </si>
  <si>
    <t xml:space="preserve">Kumbakonam</t>
  </si>
  <si>
    <t xml:space="preserve">G Anbalagan</t>
  </si>
  <si>
    <t xml:space="preserve">GM Srithar Vandayar</t>
  </si>
  <si>
    <t xml:space="preserve">M Anandh</t>
  </si>
  <si>
    <t xml:space="preserve">S Balamurugan</t>
  </si>
  <si>
    <t xml:space="preserve">G Gopalakrishnan</t>
  </si>
  <si>
    <t xml:space="preserve">Papanasam</t>
  </si>
  <si>
    <t xml:space="preserve">MH Jawahirullah</t>
  </si>
  <si>
    <t xml:space="preserve">K Gopinathan</t>
  </si>
  <si>
    <t xml:space="preserve">M Rengasamy</t>
  </si>
  <si>
    <t xml:space="preserve">K Krishnakumar</t>
  </si>
  <si>
    <t xml:space="preserve">K Shantha</t>
  </si>
  <si>
    <t xml:space="preserve">Thiruvaiyaru</t>
  </si>
  <si>
    <t xml:space="preserve">Durai Chandrasekaran</t>
  </si>
  <si>
    <t xml:space="preserve">S Venkatesan</t>
  </si>
  <si>
    <t xml:space="preserve">V Karthikeyan</t>
  </si>
  <si>
    <t xml:space="preserve">D Senthilnathan</t>
  </si>
  <si>
    <t xml:space="preserve">PT</t>
  </si>
  <si>
    <t xml:space="preserve">G Uthirapathi</t>
  </si>
  <si>
    <t xml:space="preserve">TKG Neelamegam</t>
  </si>
  <si>
    <t xml:space="preserve">V Arivudainambi</t>
  </si>
  <si>
    <t xml:space="preserve">R Subadevi</t>
  </si>
  <si>
    <t xml:space="preserve">G Sundaramohan</t>
  </si>
  <si>
    <t xml:space="preserve">P Ramanathan</t>
  </si>
  <si>
    <t xml:space="preserve">Orathanadu</t>
  </si>
  <si>
    <t xml:space="preserve">R Vaithilingam</t>
  </si>
  <si>
    <t xml:space="preserve">M Ramachandran</t>
  </si>
  <si>
    <t xml:space="preserve">M Sekar</t>
  </si>
  <si>
    <t xml:space="preserve">M Kandhasamy</t>
  </si>
  <si>
    <t xml:space="preserve">V Mookkaiyan</t>
  </si>
  <si>
    <t xml:space="preserve">Pattukottai</t>
  </si>
  <si>
    <t xml:space="preserve">K Annadurai</t>
  </si>
  <si>
    <t xml:space="preserve">NR Rengarajan</t>
  </si>
  <si>
    <t xml:space="preserve">V Balakrishnan</t>
  </si>
  <si>
    <t xml:space="preserve">Keerthika Anbu</t>
  </si>
  <si>
    <t xml:space="preserve">SDS Selvam</t>
  </si>
  <si>
    <t xml:space="preserve">Peravurani</t>
  </si>
  <si>
    <t xml:space="preserve">N Ashokkumar</t>
  </si>
  <si>
    <t xml:space="preserve">SV Thirugnana Sambandam</t>
  </si>
  <si>
    <t xml:space="preserve">K Delipan</t>
  </si>
  <si>
    <t xml:space="preserve">M Sivakumar</t>
  </si>
  <si>
    <t xml:space="preserve">Gandharvakottai</t>
  </si>
  <si>
    <t xml:space="preserve">Pudukottai</t>
  </si>
  <si>
    <t xml:space="preserve">Ramnad</t>
  </si>
  <si>
    <t xml:space="preserve">M Chinnadurai</t>
  </si>
  <si>
    <t xml:space="preserve">S Jayabharathi</t>
  </si>
  <si>
    <t xml:space="preserve">P Lenin</t>
  </si>
  <si>
    <t xml:space="preserve">M Ramila</t>
  </si>
  <si>
    <t xml:space="preserve">Viralimalai</t>
  </si>
  <si>
    <t xml:space="preserve">C Vijayabaskar</t>
  </si>
  <si>
    <t xml:space="preserve">Palaniappam</t>
  </si>
  <si>
    <t xml:space="preserve">P Azhagu Meena</t>
  </si>
  <si>
    <t xml:space="preserve">O Karthi Prabhakaran</t>
  </si>
  <si>
    <t xml:space="preserve">M Dhanalakshmi</t>
  </si>
  <si>
    <t xml:space="preserve">Pudukkottai</t>
  </si>
  <si>
    <t xml:space="preserve">V Muthuraja</t>
  </si>
  <si>
    <t xml:space="preserve">VR Karthik Thondaiman</t>
  </si>
  <si>
    <t xml:space="preserve">Sasikumar</t>
  </si>
  <si>
    <t xml:space="preserve">S Moorthy</t>
  </si>
  <si>
    <t xml:space="preserve">M Subramanian</t>
  </si>
  <si>
    <t xml:space="preserve">Thirumayam</t>
  </si>
  <si>
    <t xml:space="preserve">S Regupathy</t>
  </si>
  <si>
    <t xml:space="preserve">PK Vairamuthu</t>
  </si>
  <si>
    <t xml:space="preserve">U Sivaraman</t>
  </si>
  <si>
    <t xml:space="preserve">S Muniaraju</t>
  </si>
  <si>
    <t xml:space="preserve">Alangudi</t>
  </si>
  <si>
    <t xml:space="preserve">Meyyanathan Siva V</t>
  </si>
  <si>
    <t xml:space="preserve">Dharma Thangavel</t>
  </si>
  <si>
    <t xml:space="preserve">C Thiruchelvam</t>
  </si>
  <si>
    <t xml:space="preserve">D Vidangar</t>
  </si>
  <si>
    <t xml:space="preserve">N Vairavan</t>
  </si>
  <si>
    <t xml:space="preserve">Aranthangi</t>
  </si>
  <si>
    <t xml:space="preserve">MADMK</t>
  </si>
  <si>
    <t xml:space="preserve">M Rajanayagam</t>
  </si>
  <si>
    <t xml:space="preserve">Humayun Kabir MI</t>
  </si>
  <si>
    <t xml:space="preserve">Sivashanmugam K</t>
  </si>
  <si>
    <t xml:space="preserve">Velraj KP</t>
  </si>
  <si>
    <t xml:space="preserve">Karaikudi</t>
  </si>
  <si>
    <t xml:space="preserve">Sivagangai</t>
  </si>
  <si>
    <t xml:space="preserve">S Mangudi</t>
  </si>
  <si>
    <t xml:space="preserve">H Raja</t>
  </si>
  <si>
    <t xml:space="preserve">Dherpoki V Pandi</t>
  </si>
  <si>
    <t xml:space="preserve">N Durai Manickam</t>
  </si>
  <si>
    <t xml:space="preserve">S Rajkumar</t>
  </si>
  <si>
    <t xml:space="preserve">Tiruppattur</t>
  </si>
  <si>
    <t xml:space="preserve">KR Periyakaruppan</t>
  </si>
  <si>
    <t xml:space="preserve">Marudhu Alaguraj</t>
  </si>
  <si>
    <t xml:space="preserve">Kottaikumar</t>
  </si>
  <si>
    <t xml:space="preserve">C Paramasivam</t>
  </si>
  <si>
    <t xml:space="preserve">KK Umadhevan</t>
  </si>
  <si>
    <t xml:space="preserve">PR Senthilnathan</t>
  </si>
  <si>
    <t xml:space="preserve">R Mallika</t>
  </si>
  <si>
    <t xml:space="preserve">K Anbarasan</t>
  </si>
  <si>
    <t xml:space="preserve">C Joseph</t>
  </si>
  <si>
    <t xml:space="preserve">Manamadurai</t>
  </si>
  <si>
    <t xml:space="preserve">A Tamilarasi</t>
  </si>
  <si>
    <t xml:space="preserve">S Nagarajan</t>
  </si>
  <si>
    <t xml:space="preserve">M Shanmugapriya</t>
  </si>
  <si>
    <t xml:space="preserve">S Mariappankennady</t>
  </si>
  <si>
    <t xml:space="preserve">P Sivasankari</t>
  </si>
  <si>
    <t xml:space="preserve">Melur</t>
  </si>
  <si>
    <t xml:space="preserve">Madurai</t>
  </si>
  <si>
    <t xml:space="preserve">Central Pandya</t>
  </si>
  <si>
    <t xml:space="preserve">P Selvam</t>
  </si>
  <si>
    <t xml:space="preserve">T Ravichandran</t>
  </si>
  <si>
    <t xml:space="preserve">A Selvaraj</t>
  </si>
  <si>
    <t xml:space="preserve">P Karuppusamy</t>
  </si>
  <si>
    <t xml:space="preserve">K Kathiresan</t>
  </si>
  <si>
    <t xml:space="preserve">Madurai East</t>
  </si>
  <si>
    <t xml:space="preserve">P Moorthy</t>
  </si>
  <si>
    <t xml:space="preserve">R Gopalakrishnan</t>
  </si>
  <si>
    <t xml:space="preserve">J Latha</t>
  </si>
  <si>
    <t xml:space="preserve">I Muthukrishnan</t>
  </si>
  <si>
    <t xml:space="preserve">T Saravanan</t>
  </si>
  <si>
    <t xml:space="preserve">Sholavandan</t>
  </si>
  <si>
    <t xml:space="preserve">A Venkatesan</t>
  </si>
  <si>
    <t xml:space="preserve">K Manickam</t>
  </si>
  <si>
    <t xml:space="preserve">G Sengannan</t>
  </si>
  <si>
    <t xml:space="preserve">M Jeyalakshmi</t>
  </si>
  <si>
    <t xml:space="preserve">S Yoganathan</t>
  </si>
  <si>
    <t xml:space="preserve">Madurai North</t>
  </si>
  <si>
    <t xml:space="preserve">G Thalapathi</t>
  </si>
  <si>
    <t xml:space="preserve">S Anbarasi</t>
  </si>
  <si>
    <t xml:space="preserve">M Alagar</t>
  </si>
  <si>
    <t xml:space="preserve">M Jeyapal</t>
  </si>
  <si>
    <t xml:space="preserve">Madurai South</t>
  </si>
  <si>
    <t xml:space="preserve">M Bhoominathan</t>
  </si>
  <si>
    <t xml:space="preserve">SS Saravanan</t>
  </si>
  <si>
    <t xml:space="preserve">G Eswaran</t>
  </si>
  <si>
    <t xml:space="preserve">M Abbas</t>
  </si>
  <si>
    <t xml:space="preserve">Sha Raajalingam</t>
  </si>
  <si>
    <t xml:space="preserve">Madurai Central</t>
  </si>
  <si>
    <t xml:space="preserve">Palanivel Thiagarajan</t>
  </si>
  <si>
    <t xml:space="preserve">N Jothi Muthuramalingam</t>
  </si>
  <si>
    <t xml:space="preserve">B Mani</t>
  </si>
  <si>
    <t xml:space="preserve">J Pandiammal</t>
  </si>
  <si>
    <t xml:space="preserve">Kremmer Suresh</t>
  </si>
  <si>
    <t xml:space="preserve">Madurai West</t>
  </si>
  <si>
    <t xml:space="preserve">Sellur K Raju</t>
  </si>
  <si>
    <t xml:space="preserve">C Chinnammal</t>
  </si>
  <si>
    <t xml:space="preserve">C Vetri Kumaran</t>
  </si>
  <si>
    <t xml:space="preserve">V Muniyasamy</t>
  </si>
  <si>
    <t xml:space="preserve">P Balachandran</t>
  </si>
  <si>
    <t xml:space="preserve">Thiruparankundram</t>
  </si>
  <si>
    <t xml:space="preserve">VV Rajan Chellappa</t>
  </si>
  <si>
    <t xml:space="preserve">Ponnuthai</t>
  </si>
  <si>
    <t xml:space="preserve">R Revathy</t>
  </si>
  <si>
    <t xml:space="preserve">M Bharanirajan</t>
  </si>
  <si>
    <t xml:space="preserve">K David Annadurai</t>
  </si>
  <si>
    <t xml:space="preserve">Tirumangalam</t>
  </si>
  <si>
    <t xml:space="preserve">RB Udhayakumar</t>
  </si>
  <si>
    <t xml:space="preserve">M Manimaran</t>
  </si>
  <si>
    <t xml:space="preserve">K Athi Narayanan</t>
  </si>
  <si>
    <t xml:space="preserve">M Saral</t>
  </si>
  <si>
    <t xml:space="preserve">M Ramkumar</t>
  </si>
  <si>
    <t xml:space="preserve">Usilampatti</t>
  </si>
  <si>
    <t xml:space="preserve">AIFB</t>
  </si>
  <si>
    <t xml:space="preserve">P Ayyappan</t>
  </si>
  <si>
    <t xml:space="preserve">PV Kathiravan</t>
  </si>
  <si>
    <t xml:space="preserve">I Mahendran</t>
  </si>
  <si>
    <t xml:space="preserve">G iyndhukovilan</t>
  </si>
  <si>
    <t xml:space="preserve">Andipatti</t>
  </si>
  <si>
    <t xml:space="preserve">Theni</t>
  </si>
  <si>
    <t xml:space="preserve">A Maharajan</t>
  </si>
  <si>
    <t xml:space="preserve">A Logirajan</t>
  </si>
  <si>
    <t xml:space="preserve">R Jeyakumar</t>
  </si>
  <si>
    <t xml:space="preserve">A Jeyakumar</t>
  </si>
  <si>
    <t xml:space="preserve">Periyakulam</t>
  </si>
  <si>
    <t xml:space="preserve">KS Saravana Kumar</t>
  </si>
  <si>
    <t xml:space="preserve">M Murugan</t>
  </si>
  <si>
    <t xml:space="preserve">K Kathirkamu</t>
  </si>
  <si>
    <t xml:space="preserve">Vimala</t>
  </si>
  <si>
    <t xml:space="preserve">S Pandiyarajan</t>
  </si>
  <si>
    <t xml:space="preserve">Bodinayakanur</t>
  </si>
  <si>
    <t xml:space="preserve">O Panneerselvam</t>
  </si>
  <si>
    <t xml:space="preserve">Thanga Tamil Selvan</t>
  </si>
  <si>
    <t xml:space="preserve">M Prem Chandar</t>
  </si>
  <si>
    <t xml:space="preserve">M Muthusamy</t>
  </si>
  <si>
    <t xml:space="preserve">P Ganesh Kumar</t>
  </si>
  <si>
    <t xml:space="preserve">Cumbum</t>
  </si>
  <si>
    <t xml:space="preserve">N Eramakrishnan</t>
  </si>
  <si>
    <t xml:space="preserve">SPM Syed Khan</t>
  </si>
  <si>
    <t xml:space="preserve">Suresh P</t>
  </si>
  <si>
    <t xml:space="preserve">Anish Fathima A</t>
  </si>
  <si>
    <t xml:space="preserve">Venkidesh N</t>
  </si>
  <si>
    <t xml:space="preserve">Rajapalayam</t>
  </si>
  <si>
    <t xml:space="preserve">Virudhunagar</t>
  </si>
  <si>
    <t xml:space="preserve">S Thangappandian</t>
  </si>
  <si>
    <t xml:space="preserve">KT Rajenthra Bhalaji</t>
  </si>
  <si>
    <t xml:space="preserve">V Jeyaraj</t>
  </si>
  <si>
    <t xml:space="preserve">K Kalimuthu</t>
  </si>
  <si>
    <t xml:space="preserve">S Vivekananthan</t>
  </si>
  <si>
    <t xml:space="preserve">Srivilliputhur</t>
  </si>
  <si>
    <t xml:space="preserve">EM Manraj</t>
  </si>
  <si>
    <t xml:space="preserve">PSW Nadhavarao</t>
  </si>
  <si>
    <t xml:space="preserve">S Sangeethapriya</t>
  </si>
  <si>
    <t xml:space="preserve">B Abinaya</t>
  </si>
  <si>
    <t xml:space="preserve">S Shanthi</t>
  </si>
  <si>
    <t xml:space="preserve">Sattur</t>
  </si>
  <si>
    <t xml:space="preserve">ARR Raghuraman</t>
  </si>
  <si>
    <t xml:space="preserve">Rk Ravichandran</t>
  </si>
  <si>
    <t xml:space="preserve">MSR Rajavarman</t>
  </si>
  <si>
    <t xml:space="preserve">K Pandi</t>
  </si>
  <si>
    <t xml:space="preserve">M Bharathi</t>
  </si>
  <si>
    <t xml:space="preserve">Sivakasi</t>
  </si>
  <si>
    <t xml:space="preserve">AMSG Ashokan</t>
  </si>
  <si>
    <t xml:space="preserve">Lakshmi Ganesan</t>
  </si>
  <si>
    <t xml:space="preserve">R Kanagapriya</t>
  </si>
  <si>
    <t xml:space="preserve">G Samikkalai</t>
  </si>
  <si>
    <t xml:space="preserve">S Mugunthan</t>
  </si>
  <si>
    <t xml:space="preserve">ARR Seenivasan</t>
  </si>
  <si>
    <t xml:space="preserve">G Pandurangan</t>
  </si>
  <si>
    <t xml:space="preserve">VR Selvakumar</t>
  </si>
  <si>
    <t xml:space="preserve">M Thangaraj</t>
  </si>
  <si>
    <t xml:space="preserve">SMK</t>
  </si>
  <si>
    <t xml:space="preserve">N Manimaran</t>
  </si>
  <si>
    <t xml:space="preserve">Aruppukkottai</t>
  </si>
  <si>
    <t xml:space="preserve">KKSSR Ramachandran</t>
  </si>
  <si>
    <t xml:space="preserve">Vaigaichelvan</t>
  </si>
  <si>
    <t xml:space="preserve">Uma</t>
  </si>
  <si>
    <t xml:space="preserve">V Umadevi</t>
  </si>
  <si>
    <t xml:space="preserve">Tiruchuli</t>
  </si>
  <si>
    <t xml:space="preserve">Thangam Thennarasu</t>
  </si>
  <si>
    <t xml:space="preserve">S Rajasekar</t>
  </si>
  <si>
    <t xml:space="preserve">A Anandhajothi</t>
  </si>
  <si>
    <t xml:space="preserve">KK Sivasamy</t>
  </si>
  <si>
    <t xml:space="preserve">V Arunkumar</t>
  </si>
  <si>
    <t xml:space="preserve">Paramakudi</t>
  </si>
  <si>
    <t xml:space="preserve">Ramanathapuram</t>
  </si>
  <si>
    <t xml:space="preserve">S Murugesan</t>
  </si>
  <si>
    <t xml:space="preserve">N Sadhan Prabhakar</t>
  </si>
  <si>
    <t xml:space="preserve">S Sasikala</t>
  </si>
  <si>
    <t xml:space="preserve">M Karuppu Raja</t>
  </si>
  <si>
    <t xml:space="preserve">U Selvi</t>
  </si>
  <si>
    <t xml:space="preserve">Tiruvadanai</t>
  </si>
  <si>
    <t xml:space="preserve">RM Karumanikam</t>
  </si>
  <si>
    <t xml:space="preserve">KC Animuthu</t>
  </si>
  <si>
    <t xml:space="preserve">VDN Anandh</t>
  </si>
  <si>
    <t xml:space="preserve">Jawahar</t>
  </si>
  <si>
    <t xml:space="preserve">P Sathyaraj</t>
  </si>
  <si>
    <t xml:space="preserve">Katharbatcha Muthuramalingam</t>
  </si>
  <si>
    <t xml:space="preserve">D Kuppuramu</t>
  </si>
  <si>
    <t xml:space="preserve">K Ilango</t>
  </si>
  <si>
    <t xml:space="preserve">P Malaichamy</t>
  </si>
  <si>
    <t xml:space="preserve">G Munisamy</t>
  </si>
  <si>
    <t xml:space="preserve">Mudhukulathur</t>
  </si>
  <si>
    <t xml:space="preserve">RS Rajakannappan</t>
  </si>
  <si>
    <t xml:space="preserve">Keerthika Muniyasamy</t>
  </si>
  <si>
    <t xml:space="preserve">R Rahmadnisha</t>
  </si>
  <si>
    <t xml:space="preserve">C Navapanneerselvam</t>
  </si>
  <si>
    <t xml:space="preserve">Vilathikulam</t>
  </si>
  <si>
    <t xml:space="preserve">Thoothukudi</t>
  </si>
  <si>
    <t xml:space="preserve">GV Markandayan</t>
  </si>
  <si>
    <t xml:space="preserve">P Chinnappan</t>
  </si>
  <si>
    <t xml:space="preserve">R Balaji</t>
  </si>
  <si>
    <t xml:space="preserve">K Seeni Selvi</t>
  </si>
  <si>
    <t xml:space="preserve">X Wilson</t>
  </si>
  <si>
    <t xml:space="preserve">Thoothukkudi</t>
  </si>
  <si>
    <t xml:space="preserve">P Geetha Jeevan</t>
  </si>
  <si>
    <t xml:space="preserve">SDR Vijayaseelan</t>
  </si>
  <si>
    <t xml:space="preserve">V Velraj</t>
  </si>
  <si>
    <t xml:space="preserve">N Sundar</t>
  </si>
  <si>
    <t xml:space="preserve">U Chandran</t>
  </si>
  <si>
    <t xml:space="preserve">Tiruchendur</t>
  </si>
  <si>
    <t xml:space="preserve">Anitha R Radhakrishnan</t>
  </si>
  <si>
    <t xml:space="preserve">M Radhakrishnan</t>
  </si>
  <si>
    <t xml:space="preserve">S Gloriyan</t>
  </si>
  <si>
    <t xml:space="preserve">S Vadamalaipandian</t>
  </si>
  <si>
    <t xml:space="preserve">M Jayanthi</t>
  </si>
  <si>
    <t xml:space="preserve">Srivaikuntam</t>
  </si>
  <si>
    <t xml:space="preserve">Oorvasi S Amirtharaj</t>
  </si>
  <si>
    <t xml:space="preserve">SP Shanmuganathan</t>
  </si>
  <si>
    <t xml:space="preserve">P Subbiah Pandian</t>
  </si>
  <si>
    <t xml:space="preserve">Eral S Ramesh</t>
  </si>
  <si>
    <t xml:space="preserve">R Chandra Sekar</t>
  </si>
  <si>
    <t xml:space="preserve">Ottapidaram</t>
  </si>
  <si>
    <t xml:space="preserve">MC Shunmugaiah</t>
  </si>
  <si>
    <t xml:space="preserve">P Mohan</t>
  </si>
  <si>
    <t xml:space="preserve">M Vaikundamari</t>
  </si>
  <si>
    <t xml:space="preserve">K Krishnasamy</t>
  </si>
  <si>
    <t xml:space="preserve">S Arumuganainar</t>
  </si>
  <si>
    <t xml:space="preserve">Kovilpatti</t>
  </si>
  <si>
    <t xml:space="preserve">Kadambur Raju</t>
  </si>
  <si>
    <t xml:space="preserve">PF </t>
  </si>
  <si>
    <t xml:space="preserve">TTV Dhinakaran</t>
  </si>
  <si>
    <t xml:space="preserve">K Srinivasan</t>
  </si>
  <si>
    <t xml:space="preserve">M Gomathi</t>
  </si>
  <si>
    <t xml:space="preserve">K Kathiravan</t>
  </si>
  <si>
    <t xml:space="preserve">Sankarankovil</t>
  </si>
  <si>
    <t xml:space="preserve">Tenkasi</t>
  </si>
  <si>
    <t xml:space="preserve">E Raja</t>
  </si>
  <si>
    <t xml:space="preserve">VM Rajalakshmi</t>
  </si>
  <si>
    <t xml:space="preserve">R Annadurai</t>
  </si>
  <si>
    <t xml:space="preserve">P Mahendrakumari</t>
  </si>
  <si>
    <t xml:space="preserve">K Prabhu</t>
  </si>
  <si>
    <t xml:space="preserve">Vasudevanallur</t>
  </si>
  <si>
    <t xml:space="preserve">TMC</t>
  </si>
  <si>
    <t xml:space="preserve">T Sadhan Tirumalaikumar</t>
  </si>
  <si>
    <t xml:space="preserve">A Manoharan</t>
  </si>
  <si>
    <t xml:space="preserve">SS Mathivanan</t>
  </si>
  <si>
    <t xml:space="preserve">S Thangaraj</t>
  </si>
  <si>
    <t xml:space="preserve">V Petchiammal</t>
  </si>
  <si>
    <t xml:space="preserve">Kadayanallur</t>
  </si>
  <si>
    <t xml:space="preserve">C Krishnamurali</t>
  </si>
  <si>
    <t xml:space="preserve">KAM Muhammed Abubacker</t>
  </si>
  <si>
    <t xml:space="preserve">S Ayyaduraipandian</t>
  </si>
  <si>
    <t xml:space="preserve">M Muthulakshmi</t>
  </si>
  <si>
    <t xml:space="preserve">M Ambikadevi</t>
  </si>
  <si>
    <t xml:space="preserve">S Palani Nadar</t>
  </si>
  <si>
    <t xml:space="preserve">S Selvamohandas Pandian</t>
  </si>
  <si>
    <t xml:space="preserve">R Vincentraj</t>
  </si>
  <si>
    <t xml:space="preserve">S Mohamed</t>
  </si>
  <si>
    <t xml:space="preserve">R Thirumalaimuthu</t>
  </si>
  <si>
    <t xml:space="preserve">Alangulam</t>
  </si>
  <si>
    <t xml:space="preserve">PH Manoj Pandian</t>
  </si>
  <si>
    <t xml:space="preserve">Poongothai Aladi Aruna</t>
  </si>
  <si>
    <t xml:space="preserve">A Hari Nadar</t>
  </si>
  <si>
    <t xml:space="preserve">M Sangeetha Esak</t>
  </si>
  <si>
    <t xml:space="preserve">Rajendranathan</t>
  </si>
  <si>
    <t xml:space="preserve">Tirunelveli</t>
  </si>
  <si>
    <t xml:space="preserve">Cape</t>
  </si>
  <si>
    <t xml:space="preserve">Nainar Nagendran</t>
  </si>
  <si>
    <t xml:space="preserve">ALS Lakshmanan</t>
  </si>
  <si>
    <t xml:space="preserve">B Sathya</t>
  </si>
  <si>
    <t xml:space="preserve">AP Mahesh Kannan</t>
  </si>
  <si>
    <t xml:space="preserve">Ambasamudram</t>
  </si>
  <si>
    <t xml:space="preserve">Esakki Subaya</t>
  </si>
  <si>
    <t xml:space="preserve">Avudaiappan R</t>
  </si>
  <si>
    <t xml:space="preserve">Shenbaga Valli</t>
  </si>
  <si>
    <t xml:space="preserve">C Rani Ranjitham</t>
  </si>
  <si>
    <t xml:space="preserve">Sengulam Ganesan C</t>
  </si>
  <si>
    <t xml:space="preserve">Palayamkottai</t>
  </si>
  <si>
    <t xml:space="preserve">M Abdul Wahab</t>
  </si>
  <si>
    <t xml:space="preserve">KJC Jerald</t>
  </si>
  <si>
    <t xml:space="preserve">VMS Mohamed Mubarak</t>
  </si>
  <si>
    <t xml:space="preserve">A Fathima</t>
  </si>
  <si>
    <t xml:space="preserve">D Premnath</t>
  </si>
  <si>
    <t xml:space="preserve">Nanguneri</t>
  </si>
  <si>
    <t xml:space="preserve">Ruby R Manoharan</t>
  </si>
  <si>
    <t xml:space="preserve">N Ganesaraja</t>
  </si>
  <si>
    <t xml:space="preserve">S Paramasiva Iyyappan</t>
  </si>
  <si>
    <t xml:space="preserve">P Veerapandi</t>
  </si>
  <si>
    <t xml:space="preserve">Radhapuram</t>
  </si>
  <si>
    <t xml:space="preserve">M Appavu</t>
  </si>
  <si>
    <t xml:space="preserve">IS Inbadurai</t>
  </si>
  <si>
    <t xml:space="preserve">R Jesu Dhasan</t>
  </si>
  <si>
    <t xml:space="preserve">K Jeyabalan</t>
  </si>
  <si>
    <t xml:space="preserve">G Deva Peran</t>
  </si>
  <si>
    <t xml:space="preserve">Kanniyakumari</t>
  </si>
  <si>
    <t xml:space="preserve">Thalavai Sundaram</t>
  </si>
  <si>
    <t xml:space="preserve">S Austin</t>
  </si>
  <si>
    <t xml:space="preserve">R Sasikala</t>
  </si>
  <si>
    <t xml:space="preserve">PT Selvakumar</t>
  </si>
  <si>
    <t xml:space="preserve">P Senthil Murugan</t>
  </si>
  <si>
    <t xml:space="preserve">Nagercoil</t>
  </si>
  <si>
    <t xml:space="preserve">MR Gandhi</t>
  </si>
  <si>
    <t xml:space="preserve">N Suresh Rajan</t>
  </si>
  <si>
    <t xml:space="preserve">Vijayaragavan</t>
  </si>
  <si>
    <t xml:space="preserve">S Maria Jacob Stani Raja</t>
  </si>
  <si>
    <t xml:space="preserve">I Ammu Anto</t>
  </si>
  <si>
    <t xml:space="preserve">Colachel</t>
  </si>
  <si>
    <t xml:space="preserve">JG Prince</t>
  </si>
  <si>
    <t xml:space="preserve">Ramesh P</t>
  </si>
  <si>
    <t xml:space="preserve">Antony Aslin J</t>
  </si>
  <si>
    <t xml:space="preserve">Lathis Mary S</t>
  </si>
  <si>
    <t xml:space="preserve">Sivakumar M</t>
  </si>
  <si>
    <t xml:space="preserve">Padmanabhapuram</t>
  </si>
  <si>
    <t xml:space="preserve">Mano Thangaraj</t>
  </si>
  <si>
    <t xml:space="preserve">D John Thankam</t>
  </si>
  <si>
    <t xml:space="preserve">Seelan</t>
  </si>
  <si>
    <t xml:space="preserve">D Jenkins</t>
  </si>
  <si>
    <t xml:space="preserve">P Latha</t>
  </si>
  <si>
    <t xml:space="preserve">Vilavancode</t>
  </si>
  <si>
    <t xml:space="preserve">S Vijayadharani</t>
  </si>
  <si>
    <t xml:space="preserve">R Jayaseelan</t>
  </si>
  <si>
    <t xml:space="preserve">Mary Adlin</t>
  </si>
  <si>
    <t xml:space="preserve">Samuel George Kalai Arasar</t>
  </si>
  <si>
    <t xml:space="preserve">L Iden Soni</t>
  </si>
  <si>
    <t xml:space="preserve">Kiliyur</t>
  </si>
  <si>
    <t xml:space="preserve">Juda Dev K V</t>
  </si>
  <si>
    <t xml:space="preserve">Peter H</t>
  </si>
  <si>
    <t xml:space="preserve">Sivakumar</t>
  </si>
  <si>
    <t xml:space="preserve">Jayaraj E</t>
  </si>
  <si>
    <t xml:space="preserve">Vijayakumar K S</t>
  </si>
  <si>
    <t xml:space="preserve">Sekar C H</t>
  </si>
  <si>
    <t xml:space="preserve">MMA</t>
  </si>
  <si>
    <t xml:space="preserve">Selvaraj M</t>
  </si>
  <si>
    <t xml:space="preserve">MNK</t>
  </si>
  <si>
    <t xml:space="preserve">Geetha K</t>
  </si>
  <si>
    <t xml:space="preserve">NDA</t>
  </si>
  <si>
    <t xml:space="preserve">Bhaskaran M</t>
  </si>
  <si>
    <t xml:space="preserve">Balaraman P</t>
  </si>
  <si>
    <t xml:space="preserve">Parimalam K Doctor</t>
  </si>
  <si>
    <t xml:space="preserve">Pandian A</t>
  </si>
  <si>
    <t xml:space="preserve">Senthil Kumar V</t>
  </si>
  <si>
    <t xml:space="preserve">Narasimhan P M</t>
  </si>
  <si>
    <t xml:space="preserve">Chidambaram A G</t>
  </si>
  <si>
    <t xml:space="preserve">Vaithilingam A</t>
  </si>
  <si>
    <t xml:space="preserve">Krishnamurthy D</t>
  </si>
  <si>
    <t xml:space="preserve">Chakravarthy M</t>
  </si>
  <si>
    <t xml:space="preserve">Raajendran V G</t>
  </si>
  <si>
    <t xml:space="preserve">Baskaran A</t>
  </si>
  <si>
    <t xml:space="preserve">Balayogi V</t>
  </si>
  <si>
    <t xml:space="preserve">Balasubramani A</t>
  </si>
  <si>
    <t xml:space="preserve">Prem Sekar M</t>
  </si>
  <si>
    <t xml:space="preserve">Elumalai T A</t>
  </si>
  <si>
    <t xml:space="preserve">Paranthamen I</t>
  </si>
  <si>
    <t xml:space="preserve">Parthasarathy C</t>
  </si>
  <si>
    <t xml:space="preserve">Kandan D</t>
  </si>
  <si>
    <t xml:space="preserve">Amarnath A</t>
  </si>
  <si>
    <t xml:space="preserve">Pandia Rajan K</t>
  </si>
  <si>
    <t xml:space="preserve">Nasar S M</t>
  </si>
  <si>
    <t xml:space="preserve">Anthridoss R</t>
  </si>
  <si>
    <t xml:space="preserve">Anandakrishnan N</t>
  </si>
  <si>
    <t xml:space="preserve">Loganathan J</t>
  </si>
  <si>
    <t xml:space="preserve">Benjamin P</t>
  </si>
  <si>
    <t xml:space="preserve">Rajesh R</t>
  </si>
  <si>
    <t xml:space="preserve">Beemrao G</t>
  </si>
  <si>
    <t xml:space="preserve">Srinivasan N V</t>
  </si>
  <si>
    <t xml:space="preserve">Alexander V</t>
  </si>
  <si>
    <t xml:space="preserve">Aassan Maulaana</t>
  </si>
  <si>
    <t xml:space="preserve">Sekar K N</t>
  </si>
  <si>
    <t xml:space="preserve">Constandine Ravindran J</t>
  </si>
  <si>
    <t xml:space="preserve">Devarajan C</t>
  </si>
  <si>
    <t xml:space="preserve">Sudharsanam S</t>
  </si>
  <si>
    <t xml:space="preserve">Dhakshnamoorthy D</t>
  </si>
  <si>
    <t xml:space="preserve">Eraviraj G</t>
  </si>
  <si>
    <t xml:space="preserve">Kannan A S</t>
  </si>
  <si>
    <t xml:space="preserve">Janakiraman R M R</t>
  </si>
  <si>
    <t xml:space="preserve">Samy K P P</t>
  </si>
  <si>
    <t xml:space="preserve">Balraj B</t>
  </si>
  <si>
    <t xml:space="preserve">Arumugam A V</t>
  </si>
  <si>
    <t xml:space="preserve">Vasanthakumari R</t>
  </si>
  <si>
    <t xml:space="preserve">Gokul R</t>
  </si>
  <si>
    <t xml:space="preserve">Jayalalithaa J</t>
  </si>
  <si>
    <t xml:space="preserve">Shimla Muthuchozhan</t>
  </si>
  <si>
    <t xml:space="preserve">Vasanthi Devi V</t>
  </si>
  <si>
    <t xml:space="preserve">Agnes F</t>
  </si>
  <si>
    <t xml:space="preserve">Raja M N</t>
  </si>
  <si>
    <t xml:space="preserve">Vetrivel P</t>
  </si>
  <si>
    <t xml:space="preserve">Dhanapalan N R</t>
  </si>
  <si>
    <t xml:space="preserve">Soundara Rajan A</t>
  </si>
  <si>
    <t xml:space="preserve">Prakash R</t>
  </si>
  <si>
    <t xml:space="preserve">Venkatesh Perumal M</t>
  </si>
  <si>
    <t xml:space="preserve">Stalin M K</t>
  </si>
  <si>
    <t xml:space="preserve">Prabhakar J C D</t>
  </si>
  <si>
    <t xml:space="preserve">Mathivanan P</t>
  </si>
  <si>
    <t xml:space="preserve">Raghavan K T</t>
  </si>
  <si>
    <t xml:space="preserve">Ranganathan B</t>
  </si>
  <si>
    <t xml:space="preserve">Raju Thadi M</t>
  </si>
  <si>
    <t xml:space="preserve">Pandiyan T</t>
  </si>
  <si>
    <t xml:space="preserve">Jaishankar M</t>
  </si>
  <si>
    <t xml:space="preserve">Subramaniyan G V</t>
  </si>
  <si>
    <t xml:space="preserve">Neelakandan V</t>
  </si>
  <si>
    <t xml:space="preserve">Suganthi</t>
  </si>
  <si>
    <t xml:space="preserve">Vanithamani D</t>
  </si>
  <si>
    <t xml:space="preserve">Ravichandran K S</t>
  </si>
  <si>
    <t xml:space="preserve">Parithi Ellamvazhuthi E</t>
  </si>
  <si>
    <t xml:space="preserve">Venkatesan M</t>
  </si>
  <si>
    <t xml:space="preserve">Prabhu T</t>
  </si>
  <si>
    <t xml:space="preserve">Jayakumar D</t>
  </si>
  <si>
    <t xml:space="preserve">Manohar R</t>
  </si>
  <si>
    <t xml:space="preserve">Syed Rafi Basha H</t>
  </si>
  <si>
    <t xml:space="preserve">Jemelaa M R</t>
  </si>
  <si>
    <t xml:space="preserve">Biju Chacko</t>
  </si>
  <si>
    <t xml:space="preserve">Sekar Babu P K</t>
  </si>
  <si>
    <t xml:space="preserve">Sreenivasan K S</t>
  </si>
  <si>
    <t xml:space="preserve">Krishnakumar Nadhani</t>
  </si>
  <si>
    <t xml:space="preserve">Ameer Hamsa S</t>
  </si>
  <si>
    <t xml:space="preserve">Anbazhagan J</t>
  </si>
  <si>
    <t xml:space="preserve">Noorjahan A</t>
  </si>
  <si>
    <t xml:space="preserve">Thamarai Gajendran Apn</t>
  </si>
  <si>
    <t xml:space="preserve">Abdulla Sait V</t>
  </si>
  <si>
    <t xml:space="preserve">Selvam Ku Ka</t>
  </si>
  <si>
    <t xml:space="preserve">Valarmathi B</t>
  </si>
  <si>
    <t xml:space="preserve">Shivalingam M</t>
  </si>
  <si>
    <t xml:space="preserve">Ambigapathy C</t>
  </si>
  <si>
    <t xml:space="preserve">Rangan V</t>
  </si>
  <si>
    <t xml:space="preserve">Mohan M K</t>
  </si>
  <si>
    <t xml:space="preserve">Gokulaindira S</t>
  </si>
  <si>
    <t xml:space="preserve">Suresh K</t>
  </si>
  <si>
    <t xml:space="preserve">Mallika Dayalan</t>
  </si>
  <si>
    <t xml:space="preserve">Akhilesh A M</t>
  </si>
  <si>
    <t xml:space="preserve">Virugai Ravi V N</t>
  </si>
  <si>
    <t xml:space="preserve">Thanasekaran K</t>
  </si>
  <si>
    <t xml:space="preserve">Tamiliasi Soundrarajan Dr</t>
  </si>
  <si>
    <t xml:space="preserve">Parthasarathy B</t>
  </si>
  <si>
    <t xml:space="preserve">Jayarao C H</t>
  </si>
  <si>
    <t xml:space="preserve">Subramanian Ma</t>
  </si>
  <si>
    <t xml:space="preserve">Ponnayan C</t>
  </si>
  <si>
    <t xml:space="preserve">Kalidass V</t>
  </si>
  <si>
    <t xml:space="preserve">Sahadevan T R</t>
  </si>
  <si>
    <t xml:space="preserve">Elumalai S</t>
  </si>
  <si>
    <t xml:space="preserve">Sathyanarayanan B</t>
  </si>
  <si>
    <t xml:space="preserve">Kanimoizhi Dr N S</t>
  </si>
  <si>
    <t xml:space="preserve">Raja H</t>
  </si>
  <si>
    <t xml:space="preserve">Kumar V</t>
  </si>
  <si>
    <t xml:space="preserve">Vinoth V</t>
  </si>
  <si>
    <t xml:space="preserve">Karate Thiagarajan R</t>
  </si>
  <si>
    <t xml:space="preserve">Nagarajan K</t>
  </si>
  <si>
    <t xml:space="preserve">Sureshkumar N</t>
  </si>
  <si>
    <t xml:space="preserve">Munavar Basha A S</t>
  </si>
  <si>
    <t xml:space="preserve">Vagai Chanderasekar</t>
  </si>
  <si>
    <t xml:space="preserve">Munusamy C</t>
  </si>
  <si>
    <t xml:space="preserve">Sritharan P</t>
  </si>
  <si>
    <t xml:space="preserve">Rajan V N</t>
  </si>
  <si>
    <t xml:space="preserve">Vinoba Bhoopathy</t>
  </si>
  <si>
    <t xml:space="preserve">Aravind Ramesh S</t>
  </si>
  <si>
    <t xml:space="preserve">Sundaram N</t>
  </si>
  <si>
    <t xml:space="preserve">Ramkumar K</t>
  </si>
  <si>
    <t xml:space="preserve">Paneer Doss R</t>
  </si>
  <si>
    <t xml:space="preserve">Ujagar Singh</t>
  </si>
  <si>
    <t xml:space="preserve">Anbarasan T M</t>
  </si>
  <si>
    <t xml:space="preserve">Ramachandran S</t>
  </si>
  <si>
    <t xml:space="preserve">Sathyanarayanan Dr S</t>
  </si>
  <si>
    <t xml:space="preserve">Chandran U</t>
  </si>
  <si>
    <t xml:space="preserve">Srinivasan R</t>
  </si>
  <si>
    <t xml:space="preserve">Palani K</t>
  </si>
  <si>
    <t xml:space="preserve">Selvaperunthagai K</t>
  </si>
  <si>
    <t xml:space="preserve">Muthuraman C</t>
  </si>
  <si>
    <t xml:space="preserve">Veerakumar M</t>
  </si>
  <si>
    <t xml:space="preserve">Manoharan M</t>
  </si>
  <si>
    <t xml:space="preserve">Karunanithi I</t>
  </si>
  <si>
    <t xml:space="preserve">Saraswathi C R</t>
  </si>
  <si>
    <t xml:space="preserve">Veeralakshmi C</t>
  </si>
  <si>
    <t xml:space="preserve">Gopi Ayyaswamy Dr</t>
  </si>
  <si>
    <t xml:space="preserve">Venkatesan R</t>
  </si>
  <si>
    <t xml:space="preserve">Raja S R</t>
  </si>
  <si>
    <t xml:space="preserve">Rajendran C</t>
  </si>
  <si>
    <t xml:space="preserve">Chezhiyan M</t>
  </si>
  <si>
    <t xml:space="preserve">Vedasubramaniam A</t>
  </si>
  <si>
    <t xml:space="preserve">Suresh R</t>
  </si>
  <si>
    <t xml:space="preserve">Varalakshmi M</t>
  </si>
  <si>
    <t xml:space="preserve">Kamalakkannan R</t>
  </si>
  <si>
    <t xml:space="preserve">Arumugam K</t>
  </si>
  <si>
    <t xml:space="preserve">Murugesan D</t>
  </si>
  <si>
    <t xml:space="preserve">Sanjeevinathan K</t>
  </si>
  <si>
    <t xml:space="preserve">Viswanathan V</t>
  </si>
  <si>
    <t xml:space="preserve">Vasu K</t>
  </si>
  <si>
    <t xml:space="preserve">Sathya C E</t>
  </si>
  <si>
    <t xml:space="preserve">Rangaswamy V G</t>
  </si>
  <si>
    <t xml:space="preserve">Arasu R T</t>
  </si>
  <si>
    <t xml:space="preserve">Munusamy A</t>
  </si>
  <si>
    <t xml:space="preserve">Ezhil Caroline</t>
  </si>
  <si>
    <t xml:space="preserve">Sadaiyappan V</t>
  </si>
  <si>
    <t xml:space="preserve">Pugazhenthi S</t>
  </si>
  <si>
    <t xml:space="preserve">Thamizharasan C K</t>
  </si>
  <si>
    <t xml:space="preserve">Adhikesavan E</t>
  </si>
  <si>
    <t xml:space="preserve">Thennarasu M</t>
  </si>
  <si>
    <t xml:space="preserve">Sundar K</t>
  </si>
  <si>
    <t xml:space="preserve">Ganesan P</t>
  </si>
  <si>
    <t xml:space="preserve">Gangadharan Pon</t>
  </si>
  <si>
    <t xml:space="preserve">Rajendran M</t>
  </si>
  <si>
    <t xml:space="preserve">Ezhilarasan C V M P</t>
  </si>
  <si>
    <t xml:space="preserve">Mythili T</t>
  </si>
  <si>
    <t xml:space="preserve">Magesh Kumar P</t>
  </si>
  <si>
    <t xml:space="preserve">Eagambaram S</t>
  </si>
  <si>
    <t xml:space="preserve">Vasan T</t>
  </si>
  <si>
    <t xml:space="preserve">Ravi S</t>
  </si>
  <si>
    <t xml:space="preserve">Rajkumar N</t>
  </si>
  <si>
    <t xml:space="preserve">Arpudham R</t>
  </si>
  <si>
    <t xml:space="preserve">Gopinath G</t>
  </si>
  <si>
    <t xml:space="preserve">Parthiban N G</t>
  </si>
  <si>
    <t xml:space="preserve">Munirathinam A M</t>
  </si>
  <si>
    <t xml:space="preserve">Saravanan K</t>
  </si>
  <si>
    <t xml:space="preserve">Manogar P R</t>
  </si>
  <si>
    <t xml:space="preserve">Gandhi R</t>
  </si>
  <si>
    <t xml:space="preserve">Elumalai C</t>
  </si>
  <si>
    <t xml:space="preserve">Murali M K</t>
  </si>
  <si>
    <t xml:space="preserve">Nithiyanandham S</t>
  </si>
  <si>
    <t xml:space="preserve">Eswarappan J L</t>
  </si>
  <si>
    <t xml:space="preserve">Ramadoss K V</t>
  </si>
  <si>
    <t xml:space="preserve">Karikalan G</t>
  </si>
  <si>
    <t xml:space="preserve">Udhayakumar P N</t>
  </si>
  <si>
    <t xml:space="preserve">Arulraman D</t>
  </si>
  <si>
    <t xml:space="preserve">Duraimurugan</t>
  </si>
  <si>
    <t xml:space="preserve">Appu S R K</t>
  </si>
  <si>
    <t xml:space="preserve">Shanmugam N T</t>
  </si>
  <si>
    <t xml:space="preserve">Sivanandam T V</t>
  </si>
  <si>
    <t xml:space="preserve">Karthikeyan</t>
  </si>
  <si>
    <t xml:space="preserve">Harun Rasheed</t>
  </si>
  <si>
    <t xml:space="preserve">Elangovan S</t>
  </si>
  <si>
    <t xml:space="preserve">Lakshmi Narayanan D</t>
  </si>
  <si>
    <t xml:space="preserve">Abdur Rahman A R</t>
  </si>
  <si>
    <t xml:space="preserve">Nandakumar A P</t>
  </si>
  <si>
    <t xml:space="preserve">Kalaiarasu M</t>
  </si>
  <si>
    <t xml:space="preserve">Elavazagan K L</t>
  </si>
  <si>
    <t xml:space="preserve">Palani P S</t>
  </si>
  <si>
    <t xml:space="preserve">Vijayakumar K</t>
  </si>
  <si>
    <t xml:space="preserve">Loganathan G</t>
  </si>
  <si>
    <t xml:space="preserve">Amalu V</t>
  </si>
  <si>
    <t xml:space="preserve">Kusalakumari C</t>
  </si>
  <si>
    <t xml:space="preserve">Deviyammal M</t>
  </si>
  <si>
    <t xml:space="preserve">Vimala R</t>
  </si>
  <si>
    <t xml:space="preserve">Jayanthi Padmanabhan C</t>
  </si>
  <si>
    <t xml:space="preserve">Rajamarthandan K</t>
  </si>
  <si>
    <t xml:space="preserve">Deepa B</t>
  </si>
  <si>
    <t xml:space="preserve">Lingamuthu K</t>
  </si>
  <si>
    <t xml:space="preserve">Nilofer</t>
  </si>
  <si>
    <t xml:space="preserve">Syed Farooq</t>
  </si>
  <si>
    <t xml:space="preserve">Gnanasekaran C</t>
  </si>
  <si>
    <t xml:space="preserve">Vakeel Ahmed T S</t>
  </si>
  <si>
    <t xml:space="preserve">Kirubakaran R</t>
  </si>
  <si>
    <t xml:space="preserve">Balasubramani R (E)</t>
  </si>
  <si>
    <t xml:space="preserve">MAMAK</t>
  </si>
  <si>
    <t xml:space="preserve">Nazeer Ahmed V R</t>
  </si>
  <si>
    <t xml:space="preserve">Madar Khaleellur Rahman</t>
  </si>
  <si>
    <t xml:space="preserve">Vasu R</t>
  </si>
  <si>
    <t xml:space="preserve">Venkatesan K</t>
  </si>
  <si>
    <t xml:space="preserve">Veeramani K C</t>
  </si>
  <si>
    <t xml:space="preserve">Kavitha C</t>
  </si>
  <si>
    <t xml:space="preserve">Ponnusamy G</t>
  </si>
  <si>
    <t xml:space="preserve">Fayaz Basha A</t>
  </si>
  <si>
    <t xml:space="preserve">Nallathambi A</t>
  </si>
  <si>
    <t xml:space="preserve">Kumar T T</t>
  </si>
  <si>
    <t xml:space="preserve">Raja T K</t>
  </si>
  <si>
    <t xml:space="preserve">Harikrishnan K</t>
  </si>
  <si>
    <t xml:space="preserve">Govindarajan V</t>
  </si>
  <si>
    <t xml:space="preserve">Manoranjitham N</t>
  </si>
  <si>
    <t xml:space="preserve">Malathy S</t>
  </si>
  <si>
    <t xml:space="preserve">Anguthi T N</t>
  </si>
  <si>
    <t xml:space="preserve">Kaniyamudhan C</t>
  </si>
  <si>
    <t xml:space="preserve">Rajendran V</t>
  </si>
  <si>
    <t xml:space="preserve">Govinddarasan E C</t>
  </si>
  <si>
    <t xml:space="preserve">Kumar A</t>
  </si>
  <si>
    <t xml:space="preserve">Rajendran R</t>
  </si>
  <si>
    <t xml:space="preserve">Senguttuvan T</t>
  </si>
  <si>
    <t xml:space="preserve">Govindaraj V</t>
  </si>
  <si>
    <t xml:space="preserve">Kumar S</t>
  </si>
  <si>
    <t xml:space="preserve">Jayaprakash R</t>
  </si>
  <si>
    <t xml:space="preserve">Murugan P</t>
  </si>
  <si>
    <t xml:space="preserve">Madhu A V M @ Hemnath M</t>
  </si>
  <si>
    <t xml:space="preserve">Tamil Selvi M</t>
  </si>
  <si>
    <t xml:space="preserve">Nagaraj N</t>
  </si>
  <si>
    <t xml:space="preserve">Premanathan V S</t>
  </si>
  <si>
    <t xml:space="preserve">Balakrishna Reddy P</t>
  </si>
  <si>
    <t xml:space="preserve">Gopinath K</t>
  </si>
  <si>
    <t xml:space="preserve">Balakrishnan G</t>
  </si>
  <si>
    <t xml:space="preserve">Muniraj P</t>
  </si>
  <si>
    <t xml:space="preserve">Chandran V</t>
  </si>
  <si>
    <t xml:space="preserve">Prakaash Y</t>
  </si>
  <si>
    <t xml:space="preserve">Ramachandran T</t>
  </si>
  <si>
    <t xml:space="preserve">Nagesh C</t>
  </si>
  <si>
    <t xml:space="preserve">Arunrajan D</t>
  </si>
  <si>
    <t xml:space="preserve">Ramachandran B</t>
  </si>
  <si>
    <t xml:space="preserve">Anbalagan K P</t>
  </si>
  <si>
    <t xml:space="preserve">Murugan P K</t>
  </si>
  <si>
    <t xml:space="preserve">Mannan K</t>
  </si>
  <si>
    <t xml:space="preserve">Kaverivarman K G</t>
  </si>
  <si>
    <t xml:space="preserve">Inbasekaran P N P</t>
  </si>
  <si>
    <t xml:space="preserve">Anbumani Ramadoss</t>
  </si>
  <si>
    <t xml:space="preserve">Munusamy K P</t>
  </si>
  <si>
    <t xml:space="preserve">Nanjappan N</t>
  </si>
  <si>
    <t xml:space="preserve">Subramani P</t>
  </si>
  <si>
    <t xml:space="preserve">Elangovan P D</t>
  </si>
  <si>
    <t xml:space="preserve">Senthil R Dr</t>
  </si>
  <si>
    <t xml:space="preserve">Elangovan V Dr</t>
  </si>
  <si>
    <t xml:space="preserve">Palaniyappan P</t>
  </si>
  <si>
    <t xml:space="preserve">Sathiyamoorthy A</t>
  </si>
  <si>
    <t xml:space="preserve">Prabhu Rajasekar M</t>
  </si>
  <si>
    <t xml:space="preserve">Baskar A</t>
  </si>
  <si>
    <t xml:space="preserve">Ashokan G</t>
  </si>
  <si>
    <t xml:space="preserve">Murugan R</t>
  </si>
  <si>
    <t xml:space="preserve">Sujendran S</t>
  </si>
  <si>
    <t xml:space="preserve">Govindhasamy K</t>
  </si>
  <si>
    <t xml:space="preserve">Murali S</t>
  </si>
  <si>
    <t xml:space="preserve">Surulirajan K</t>
  </si>
  <si>
    <t xml:space="preserve">Giri M P</t>
  </si>
  <si>
    <t xml:space="preserve">Dinagaran M</t>
  </si>
  <si>
    <t xml:space="preserve">Murugan C</t>
  </si>
  <si>
    <t xml:space="preserve">Kalaiarasi A</t>
  </si>
  <si>
    <t xml:space="preserve">Velu E V</t>
  </si>
  <si>
    <t xml:space="preserve">Rajan K</t>
  </si>
  <si>
    <t xml:space="preserve">Pandian L</t>
  </si>
  <si>
    <t xml:space="preserve">Manikandan S</t>
  </si>
  <si>
    <t xml:space="preserve">Venkatachalapathi</t>
  </si>
  <si>
    <t xml:space="preserve">Pitchandi K</t>
  </si>
  <si>
    <t xml:space="preserve">Selvamani K</t>
  </si>
  <si>
    <t xml:space="preserve">Edirolimanian G</t>
  </si>
  <si>
    <t xml:space="preserve">Jothi K</t>
  </si>
  <si>
    <t xml:space="preserve">Devendiran S</t>
  </si>
  <si>
    <t xml:space="preserve">Panneerselvam V</t>
  </si>
  <si>
    <t xml:space="preserve">Kumar G</t>
  </si>
  <si>
    <t xml:space="preserve">Kalidass R</t>
  </si>
  <si>
    <t xml:space="preserve">Nehru M</t>
  </si>
  <si>
    <t xml:space="preserve">Sekaran K V</t>
  </si>
  <si>
    <t xml:space="preserve">Murugan M</t>
  </si>
  <si>
    <t xml:space="preserve">Velayutham A</t>
  </si>
  <si>
    <t xml:space="preserve">Selvan P</t>
  </si>
  <si>
    <t xml:space="preserve">Babu S</t>
  </si>
  <si>
    <t xml:space="preserve">Rajasekar S</t>
  </si>
  <si>
    <t xml:space="preserve">Babu Murugavel R M</t>
  </si>
  <si>
    <t xml:space="preserve">Mohan K</t>
  </si>
  <si>
    <t xml:space="preserve">Vishnuprasad M K Dr</t>
  </si>
  <si>
    <t xml:space="preserve">Srinivasan G</t>
  </si>
  <si>
    <t xml:space="preserve">Sarvanan P</t>
  </si>
  <si>
    <t xml:space="preserve">Bhaskaran B</t>
  </si>
  <si>
    <t xml:space="preserve">Ambethkumar S</t>
  </si>
  <si>
    <t xml:space="preserve">Meganathan V</t>
  </si>
  <si>
    <t xml:space="preserve">Vadivelravanan</t>
  </si>
  <si>
    <t xml:space="preserve">Metharamesh M K</t>
  </si>
  <si>
    <t xml:space="preserve">Masthan K S</t>
  </si>
  <si>
    <t xml:space="preserve">Govindasamy A</t>
  </si>
  <si>
    <t xml:space="preserve">Ganesh Kumar A</t>
  </si>
  <si>
    <t xml:space="preserve">Mani A K</t>
  </si>
  <si>
    <t xml:space="preserve">Masilamani R</t>
  </si>
  <si>
    <t xml:space="preserve">Annadurai K</t>
  </si>
  <si>
    <t xml:space="preserve">Rajashekaran V R</t>
  </si>
  <si>
    <t xml:space="preserve">Balaji S S</t>
  </si>
  <si>
    <t xml:space="preserve">Seethapathy P</t>
  </si>
  <si>
    <t xml:space="preserve">Rajendran S P</t>
  </si>
  <si>
    <t xml:space="preserve">Kalidass A</t>
  </si>
  <si>
    <t xml:space="preserve">Udhayakumar M</t>
  </si>
  <si>
    <t xml:space="preserve">Chakrapani M</t>
  </si>
  <si>
    <t xml:space="preserve">Mydili R</t>
  </si>
  <si>
    <t xml:space="preserve">Sankar P</t>
  </si>
  <si>
    <t xml:space="preserve">Ravikumar D</t>
  </si>
  <si>
    <t xml:space="preserve">Thiruselvakumar D</t>
  </si>
  <si>
    <t xml:space="preserve">Shanmugam C Ve</t>
  </si>
  <si>
    <t xml:space="preserve">Ameer Abbas S M</t>
  </si>
  <si>
    <t xml:space="preserve">Palanivel P</t>
  </si>
  <si>
    <t xml:space="preserve">Vengatesan L</t>
  </si>
  <si>
    <t xml:space="preserve">Jayakumar Rama</t>
  </si>
  <si>
    <t xml:space="preserve">Rathamani K</t>
  </si>
  <si>
    <t xml:space="preserve">Velu R</t>
  </si>
  <si>
    <t xml:space="preserve">Anbumani C</t>
  </si>
  <si>
    <t xml:space="preserve">Ramamurthy R</t>
  </si>
  <si>
    <t xml:space="preserve">Ponmudy K</t>
  </si>
  <si>
    <t xml:space="preserve">Gothandaraman G</t>
  </si>
  <si>
    <t xml:space="preserve">Balasakthi</t>
  </si>
  <si>
    <t xml:space="preserve">Ganesh G</t>
  </si>
  <si>
    <t xml:space="preserve">Kumaraguru R</t>
  </si>
  <si>
    <t xml:space="preserve">Vasanthavel G R</t>
  </si>
  <si>
    <t xml:space="preserve">Vijaykant</t>
  </si>
  <si>
    <t xml:space="preserve">Balu K</t>
  </si>
  <si>
    <t xml:space="preserve">Saravanan G V</t>
  </si>
  <si>
    <t xml:space="preserve">Karthikeyan K</t>
  </si>
  <si>
    <t xml:space="preserve">Dhandapani K</t>
  </si>
  <si>
    <t xml:space="preserve">Vincent Jayaraj Vjp</t>
  </si>
  <si>
    <t xml:space="preserve">Pandiyan Kp</t>
  </si>
  <si>
    <t xml:space="preserve">Barath S</t>
  </si>
  <si>
    <t xml:space="preserve">Udhayasuriyan T</t>
  </si>
  <si>
    <t xml:space="preserve">Mohan P</t>
  </si>
  <si>
    <t xml:space="preserve">Sivaraman S</t>
  </si>
  <si>
    <t xml:space="preserve">Govinthan R</t>
  </si>
  <si>
    <t xml:space="preserve">Rajenndran S</t>
  </si>
  <si>
    <t xml:space="preserve">Prabhu A</t>
  </si>
  <si>
    <t xml:space="preserve">Kamaraj P</t>
  </si>
  <si>
    <t xml:space="preserve">Ramamoorththy S</t>
  </si>
  <si>
    <t xml:space="preserve">Senthamilselvi R</t>
  </si>
  <si>
    <t xml:space="preserve">Ganesan V</t>
  </si>
  <si>
    <t xml:space="preserve">Ayyasamy P</t>
  </si>
  <si>
    <t xml:space="preserve">Sasi Kumar S</t>
  </si>
  <si>
    <t xml:space="preserve">Archunan E</t>
  </si>
  <si>
    <t xml:space="preserve">Kalaiselvan V T</t>
  </si>
  <si>
    <t xml:space="preserve">Govindasamy P</t>
  </si>
  <si>
    <t xml:space="preserve">Tamizharasi P Dr</t>
  </si>
  <si>
    <t xml:space="preserve">Muthukumar V</t>
  </si>
  <si>
    <t xml:space="preserve">Rajsekar R</t>
  </si>
  <si>
    <t xml:space="preserve">Velmurugan T</t>
  </si>
  <si>
    <t xml:space="preserve">Jagan K</t>
  </si>
  <si>
    <t xml:space="preserve">Arumugman T</t>
  </si>
  <si>
    <t xml:space="preserve">Sathya P</t>
  </si>
  <si>
    <t xml:space="preserve">Ponkumar</t>
  </si>
  <si>
    <t xml:space="preserve">Dharmalingam A</t>
  </si>
  <si>
    <t xml:space="preserve">Sivakolundhu P</t>
  </si>
  <si>
    <t xml:space="preserve">Sampath M C</t>
  </si>
  <si>
    <t xml:space="preserve">Pugazhendi Ela</t>
  </si>
  <si>
    <t xml:space="preserve">Chandarasekaran A S</t>
  </si>
  <si>
    <t xml:space="preserve">Thamaraikannan Pazha</t>
  </si>
  <si>
    <t xml:space="preserve">Panneerselvam Mrk</t>
  </si>
  <si>
    <t xml:space="preserve">Muthukrishnan S</t>
  </si>
  <si>
    <t xml:space="preserve">Balamurugan Kms</t>
  </si>
  <si>
    <t xml:space="preserve">Ashokkumar</t>
  </si>
  <si>
    <t xml:space="preserve">Marimuthu R</t>
  </si>
  <si>
    <t xml:space="preserve">Pandian K A</t>
  </si>
  <si>
    <t xml:space="preserve">Senthilkumar K R</t>
  </si>
  <si>
    <t xml:space="preserve">Arul R</t>
  </si>
  <si>
    <t xml:space="preserve">Balakrishnan K</t>
  </si>
  <si>
    <t xml:space="preserve">Abdul Satthar G</t>
  </si>
  <si>
    <t xml:space="preserve">Murugumaran N</t>
  </si>
  <si>
    <t xml:space="preserve">Thirumaavalavan Thol</t>
  </si>
  <si>
    <t xml:space="preserve">Manirathinem Dr K I</t>
  </si>
  <si>
    <t xml:space="preserve">Sozhan Anbu</t>
  </si>
  <si>
    <t xml:space="preserve">Anbalagan K</t>
  </si>
  <si>
    <t xml:space="preserve">Maruthamuthu A</t>
  </si>
  <si>
    <t xml:space="preserve">Rekha Priyadharshini J</t>
  </si>
  <si>
    <t xml:space="preserve">Shanmugavel Murty A</t>
  </si>
  <si>
    <t xml:space="preserve">Suba R</t>
  </si>
  <si>
    <t xml:space="preserve">Ganesan A</t>
  </si>
  <si>
    <t xml:space="preserve">Chinnathambi R M</t>
  </si>
  <si>
    <t xml:space="preserve">Arthanari S K</t>
  </si>
  <si>
    <t xml:space="preserve">Amsaveni G</t>
  </si>
  <si>
    <t xml:space="preserve">Adhithyan K P</t>
  </si>
  <si>
    <t xml:space="preserve">Chitra G</t>
  </si>
  <si>
    <t xml:space="preserve">Tamilselvan C</t>
  </si>
  <si>
    <t xml:space="preserve">Selvam R</t>
  </si>
  <si>
    <t xml:space="preserve">Kumar C</t>
  </si>
  <si>
    <t xml:space="preserve">Vetrivel S</t>
  </si>
  <si>
    <t xml:space="preserve">Ammasi S</t>
  </si>
  <si>
    <t xml:space="preserve">Tamilarasu A</t>
  </si>
  <si>
    <t xml:space="preserve">Elangoavan A R</t>
  </si>
  <si>
    <t xml:space="preserve">Semmalai S</t>
  </si>
  <si>
    <t xml:space="preserve">Parthiban S R</t>
  </si>
  <si>
    <t xml:space="preserve">Mani G K</t>
  </si>
  <si>
    <t xml:space="preserve">Boopathy R</t>
  </si>
  <si>
    <t xml:space="preserve">Palaniswami K</t>
  </si>
  <si>
    <t xml:space="preserve">Annadurai N</t>
  </si>
  <si>
    <t xml:space="preserve">Murugesan P A</t>
  </si>
  <si>
    <t xml:space="preserve">Thangavel P</t>
  </si>
  <si>
    <t xml:space="preserve">Rajeswaran T K</t>
  </si>
  <si>
    <t xml:space="preserve">Kannan P</t>
  </si>
  <si>
    <t xml:space="preserve">Selvakumar K</t>
  </si>
  <si>
    <t xml:space="preserve">Venkatachalam G</t>
  </si>
  <si>
    <t xml:space="preserve">Panneer Selvam C</t>
  </si>
  <si>
    <t xml:space="preserve">Saravanan K R S</t>
  </si>
  <si>
    <t xml:space="preserve">Kathir Raasaratinam</t>
  </si>
  <si>
    <t xml:space="preserve">Gopinath R P</t>
  </si>
  <si>
    <t xml:space="preserve">Devadass R</t>
  </si>
  <si>
    <t xml:space="preserve">Sakthivel A B</t>
  </si>
  <si>
    <t xml:space="preserve">Gunasekaran M</t>
  </si>
  <si>
    <t xml:space="preserve">Kumar K</t>
  </si>
  <si>
    <t xml:space="preserve">Manonmani P</t>
  </si>
  <si>
    <t xml:space="preserve">Rajendran A</t>
  </si>
  <si>
    <t xml:space="preserve">Samraj A R B</t>
  </si>
  <si>
    <t xml:space="preserve">Mohan A</t>
  </si>
  <si>
    <t xml:space="preserve">Saroja V Dr</t>
  </si>
  <si>
    <t xml:space="preserve">Duraisamy V P</t>
  </si>
  <si>
    <t xml:space="preserve">Pushpagandhi J</t>
  </si>
  <si>
    <t xml:space="preserve">Arjun G</t>
  </si>
  <si>
    <t xml:space="preserve">Chandrasekaran C</t>
  </si>
  <si>
    <t xml:space="preserve">Ponnusamy K</t>
  </si>
  <si>
    <t xml:space="preserve">Sathiya M</t>
  </si>
  <si>
    <t xml:space="preserve">Chinnusamy M</t>
  </si>
  <si>
    <t xml:space="preserve">Baskar K P P</t>
  </si>
  <si>
    <t xml:space="preserve">Chezhian R</t>
  </si>
  <si>
    <t xml:space="preserve">Matheswaran S</t>
  </si>
  <si>
    <t xml:space="preserve">Elango N</t>
  </si>
  <si>
    <t xml:space="preserve">Moorthiy K S</t>
  </si>
  <si>
    <t xml:space="preserve">Rajendhiran R</t>
  </si>
  <si>
    <t xml:space="preserve">Muthukumar K</t>
  </si>
  <si>
    <t xml:space="preserve">Boopathi C</t>
  </si>
  <si>
    <t xml:space="preserve">Rajkumar S</t>
  </si>
  <si>
    <t xml:space="preserve">Saraswathi Pon</t>
  </si>
  <si>
    <t xml:space="preserve">Elangoavan Bar</t>
  </si>
  <si>
    <t xml:space="preserve">Vijayakamal J</t>
  </si>
  <si>
    <t xml:space="preserve">Rajavel Nathi S</t>
  </si>
  <si>
    <t xml:space="preserve">Muthumani P</t>
  </si>
  <si>
    <t xml:space="preserve">Thangamani P</t>
  </si>
  <si>
    <t xml:space="preserve">Yuvaraj P</t>
  </si>
  <si>
    <t xml:space="preserve">Madeshwaran P A</t>
  </si>
  <si>
    <t xml:space="preserve">Arunkumar G</t>
  </si>
  <si>
    <t xml:space="preserve">Thennarasu K S</t>
  </si>
  <si>
    <t xml:space="preserve">Chandhirakumar V C</t>
  </si>
  <si>
    <t xml:space="preserve">Ponchairman</t>
  </si>
  <si>
    <t xml:space="preserve">Rajeshkumar P</t>
  </si>
  <si>
    <t xml:space="preserve">Ramalingam K V</t>
  </si>
  <si>
    <t xml:space="preserve">Muthusamy S</t>
  </si>
  <si>
    <t xml:space="preserve">Easwara Murthy M</t>
  </si>
  <si>
    <t xml:space="preserve">Murugan N</t>
  </si>
  <si>
    <t xml:space="preserve">Palanisamy N P</t>
  </si>
  <si>
    <t xml:space="preserve">Sivasubramani V P</t>
  </si>
  <si>
    <t xml:space="preserve">Sachidanandam P</t>
  </si>
  <si>
    <t xml:space="preserve">Suriamoorthi S</t>
  </si>
  <si>
    <t xml:space="preserve">Ramesh M</t>
  </si>
  <si>
    <t xml:space="preserve">Chinnamalai Krishnakumar J</t>
  </si>
  <si>
    <t xml:space="preserve">Kalimuthu V S</t>
  </si>
  <si>
    <t xml:space="preserve">Shanmugham M</t>
  </si>
  <si>
    <t xml:space="preserve">Thiruvalluvan Nagai</t>
  </si>
  <si>
    <t xml:space="preserve">Thaniyarasu U</t>
  </si>
  <si>
    <t xml:space="preserve">Gopi P</t>
  </si>
  <si>
    <t xml:space="preserve">Muthuvenkateshwaran K G</t>
  </si>
  <si>
    <t xml:space="preserve">Ushadevi M</t>
  </si>
  <si>
    <t xml:space="preserve">Venkatachalam N D</t>
  </si>
  <si>
    <t xml:space="preserve">Samy K P (A) Mohanasundaram P</t>
  </si>
  <si>
    <t xml:space="preserve">Balu K K C</t>
  </si>
  <si>
    <t xml:space="preserve">Shanmugam V P</t>
  </si>
  <si>
    <t xml:space="preserve">Chandrasekaran A</t>
  </si>
  <si>
    <t xml:space="preserve">Karuppanan K C</t>
  </si>
  <si>
    <t xml:space="preserve">Sivakumar N</t>
  </si>
  <si>
    <t xml:space="preserve">Ramanathan K V</t>
  </si>
  <si>
    <t xml:space="preserve">Gopal P</t>
  </si>
  <si>
    <t xml:space="preserve">Chandrasekar S</t>
  </si>
  <si>
    <t xml:space="preserve">Emr Raja Alias Rajakrishnan K R</t>
  </si>
  <si>
    <t xml:space="preserve">Venkatachalam A G</t>
  </si>
  <si>
    <t xml:space="preserve">Gopal S C R</t>
  </si>
  <si>
    <t xml:space="preserve">Raja D</t>
  </si>
  <si>
    <t xml:space="preserve">Raja Sampath M K</t>
  </si>
  <si>
    <t xml:space="preserve">Sengottaiyan K A</t>
  </si>
  <si>
    <t xml:space="preserve">Saravanan S V</t>
  </si>
  <si>
    <t xml:space="preserve">Munusamy M</t>
  </si>
  <si>
    <t xml:space="preserve">Sivaraj N S</t>
  </si>
  <si>
    <t xml:space="preserve">Ganapathi K</t>
  </si>
  <si>
    <t xml:space="preserve">Eswaran S</t>
  </si>
  <si>
    <t xml:space="preserve">Sathya R</t>
  </si>
  <si>
    <t xml:space="preserve">Sundaram P L</t>
  </si>
  <si>
    <t xml:space="preserve">Palaniswami N R</t>
  </si>
  <si>
    <t xml:space="preserve">Ganesh R</t>
  </si>
  <si>
    <t xml:space="preserve">Vinoth</t>
  </si>
  <si>
    <t xml:space="preserve">Raman</t>
  </si>
  <si>
    <t xml:space="preserve">King Narcissus K</t>
  </si>
  <si>
    <t xml:space="preserve">Thiraividamani M</t>
  </si>
  <si>
    <t xml:space="preserve">Tamilmani P</t>
  </si>
  <si>
    <t xml:space="preserve">Parasuraman P M</t>
  </si>
  <si>
    <t xml:space="preserve">Karmegam S</t>
  </si>
  <si>
    <t xml:space="preserve">Ramu A</t>
  </si>
  <si>
    <t xml:space="preserve">Mubarak B M</t>
  </si>
  <si>
    <t xml:space="preserve">Chidambaram V</t>
  </si>
  <si>
    <t xml:space="preserve">Kumaran B</t>
  </si>
  <si>
    <t xml:space="preserve">Dharmaraj S</t>
  </si>
  <si>
    <t xml:space="preserve">Chinnaraj O K</t>
  </si>
  <si>
    <t xml:space="preserve">Surendran S</t>
  </si>
  <si>
    <t xml:space="preserve">TMC </t>
  </si>
  <si>
    <t xml:space="preserve">Shanmuuga Sundaram T R</t>
  </si>
  <si>
    <t xml:space="preserve">Jaganathan P</t>
  </si>
  <si>
    <t xml:space="preserve">Dhanapal P</t>
  </si>
  <si>
    <t xml:space="preserve">Anandhan E</t>
  </si>
  <si>
    <t xml:space="preserve">Arumugam M</t>
  </si>
  <si>
    <t xml:space="preserve">Perumal C</t>
  </si>
  <si>
    <t xml:space="preserve">Pragatheeswaran B</t>
  </si>
  <si>
    <t xml:space="preserve">Vijayakumar Kn</t>
  </si>
  <si>
    <t xml:space="preserve">Saminathan M P</t>
  </si>
  <si>
    <t xml:space="preserve">Subramanian M</t>
  </si>
  <si>
    <t xml:space="preserve">Chinnasamy R</t>
  </si>
  <si>
    <t xml:space="preserve">Ravichandharan D</t>
  </si>
  <si>
    <t xml:space="preserve">Gunasekaran S</t>
  </si>
  <si>
    <t xml:space="preserve">Selvraj K</t>
  </si>
  <si>
    <t xml:space="preserve">Thangavel K</t>
  </si>
  <si>
    <t xml:space="preserve">Point Mani N</t>
  </si>
  <si>
    <t xml:space="preserve">Basheer Ahamed M</t>
  </si>
  <si>
    <t xml:space="preserve">Natarajan A</t>
  </si>
  <si>
    <t xml:space="preserve">Krishnamoorthy S</t>
  </si>
  <si>
    <t xml:space="preserve">Muthurathinam K</t>
  </si>
  <si>
    <t xml:space="preserve">Thangaraj S</t>
  </si>
  <si>
    <t xml:space="preserve">Kanagaraj R</t>
  </si>
  <si>
    <t xml:space="preserve">Manoharan V M C</t>
  </si>
  <si>
    <t xml:space="preserve">Mandharasalam S D</t>
  </si>
  <si>
    <t xml:space="preserve">Thinakaran K</t>
  </si>
  <si>
    <t xml:space="preserve">Premier Selvam @ Kalichamy M</t>
  </si>
  <si>
    <t xml:space="preserve">Arukutty V C</t>
  </si>
  <si>
    <t xml:space="preserve">Payya Gounder @ Krishnan R</t>
  </si>
  <si>
    <t xml:space="preserve">Nandakumar R</t>
  </si>
  <si>
    <t xml:space="preserve">Ramamurthy V</t>
  </si>
  <si>
    <t xml:space="preserve">Arun Kumar P R G</t>
  </si>
  <si>
    <t xml:space="preserve">Meenalogu S</t>
  </si>
  <si>
    <t xml:space="preserve">Kannan Alias S Devaraj</t>
  </si>
  <si>
    <t xml:space="preserve">Velumani S P</t>
  </si>
  <si>
    <t xml:space="preserve">Kovai Syed @ Syed Mohammed M A</t>
  </si>
  <si>
    <t xml:space="preserve">Karumuthu Thiyagarajan M</t>
  </si>
  <si>
    <t xml:space="preserve">Thiyagarajan K</t>
  </si>
  <si>
    <t xml:space="preserve">Anshar Sheriff A</t>
  </si>
  <si>
    <t xml:space="preserve">Arjunan @ Amman Arjunan K</t>
  </si>
  <si>
    <t xml:space="preserve">Padmanabhan C</t>
  </si>
  <si>
    <t xml:space="preserve">Karthik N</t>
  </si>
  <si>
    <t xml:space="preserve">Singai Muthu N</t>
  </si>
  <si>
    <t xml:space="preserve">Nandakumar C R</t>
  </si>
  <si>
    <t xml:space="preserve">Arjunaraj A</t>
  </si>
  <si>
    <t xml:space="preserve">Kalyanasundaram S</t>
  </si>
  <si>
    <t xml:space="preserve">Shanmugam A</t>
  </si>
  <si>
    <t xml:space="preserve">Kurichi Prabhakaran</t>
  </si>
  <si>
    <t xml:space="preserve">Muthuramalingam V</t>
  </si>
  <si>
    <t xml:space="preserve">Eswaran V</t>
  </si>
  <si>
    <t xml:space="preserve">Tamilmani R</t>
  </si>
  <si>
    <t xml:space="preserve">independent</t>
  </si>
  <si>
    <t xml:space="preserve">Nithyanandhan K</t>
  </si>
  <si>
    <t xml:space="preserve">Sivakumar R</t>
  </si>
  <si>
    <t xml:space="preserve">Muthukumar S</t>
  </si>
  <si>
    <t xml:space="preserve">Kasthuri Vasu V</t>
  </si>
  <si>
    <t xml:space="preserve">Paulpandi T</t>
  </si>
  <si>
    <t xml:space="preserve">Manibharathi P</t>
  </si>
  <si>
    <t xml:space="preserve">Murugesan P</t>
  </si>
  <si>
    <t xml:space="preserve">Radhakrishnan K</t>
  </si>
  <si>
    <t xml:space="preserve">Muthu Mu Ka</t>
  </si>
  <si>
    <t xml:space="preserve">Kandhasamy U K P N</t>
  </si>
  <si>
    <t xml:space="preserve">Ganeshkumar S</t>
  </si>
  <si>
    <t xml:space="preserve">Ragupathi Raghavan C</t>
  </si>
  <si>
    <t xml:space="preserve">Jayaramakrishnan R</t>
  </si>
  <si>
    <t xml:space="preserve">Manoharan K</t>
  </si>
  <si>
    <t xml:space="preserve">Maheswari A S</t>
  </si>
  <si>
    <t xml:space="preserve">Muthukumar A</t>
  </si>
  <si>
    <t xml:space="preserve">Ravichandran A</t>
  </si>
  <si>
    <t xml:space="preserve">Senthilkumar I P</t>
  </si>
  <si>
    <t xml:space="preserve">Kumarasamy P</t>
  </si>
  <si>
    <t xml:space="preserve">Rajamanickam V</t>
  </si>
  <si>
    <t xml:space="preserve">Kanagaraj N</t>
  </si>
  <si>
    <t xml:space="preserve">Sakkarapani R</t>
  </si>
  <si>
    <t xml:space="preserve">Kittusamy K</t>
  </si>
  <si>
    <t xml:space="preserve">Santhanam K</t>
  </si>
  <si>
    <t xml:space="preserve">Palanisamy S K</t>
  </si>
  <si>
    <t xml:space="preserve">Periyasamy I</t>
  </si>
  <si>
    <t xml:space="preserve">Viswanathan R Natham</t>
  </si>
  <si>
    <t xml:space="preserve">Packiya Selvaraj M</t>
  </si>
  <si>
    <t xml:space="preserve">Ilanchezhiyan S P</t>
  </si>
  <si>
    <t xml:space="preserve">Thangathurai R</t>
  </si>
  <si>
    <t xml:space="preserve">Anbazhagan M</t>
  </si>
  <si>
    <t xml:space="preserve">Ramasamy K</t>
  </si>
  <si>
    <t xml:space="preserve">Alagumani R</t>
  </si>
  <si>
    <t xml:space="preserve">Ramoorthy N</t>
  </si>
  <si>
    <t xml:space="preserve">Andi Ambalam M A</t>
  </si>
  <si>
    <t xml:space="preserve">Shajahan S</t>
  </si>
  <si>
    <t xml:space="preserve">Karthikeyan G</t>
  </si>
  <si>
    <t xml:space="preserve">Sivasanakaran V Dr</t>
  </si>
  <si>
    <t xml:space="preserve">Sreenivasan C</t>
  </si>
  <si>
    <t xml:space="preserve">Pandi N</t>
  </si>
  <si>
    <t xml:space="preserve">Thirumalai Balaji T A</t>
  </si>
  <si>
    <t xml:space="preserve">Paramasivam V P B</t>
  </si>
  <si>
    <t xml:space="preserve">Sivasakthivel Gounder R</t>
  </si>
  <si>
    <t xml:space="preserve">Balu S R K</t>
  </si>
  <si>
    <t xml:space="preserve">Kannan R</t>
  </si>
  <si>
    <t xml:space="preserve">K C Palanisamy</t>
  </si>
  <si>
    <t xml:space="preserve">M Muthu</t>
  </si>
  <si>
    <t xml:space="preserve">Vijayabhaskar M R</t>
  </si>
  <si>
    <t xml:space="preserve">Subramanian Bank K</t>
  </si>
  <si>
    <t xml:space="preserve">Ravi A</t>
  </si>
  <si>
    <t xml:space="preserve">Sivasaami K</t>
  </si>
  <si>
    <t xml:space="preserve">Geetha M</t>
  </si>
  <si>
    <t xml:space="preserve">Aiyyar V K</t>
  </si>
  <si>
    <t xml:space="preserve">Sivanantham K</t>
  </si>
  <si>
    <t xml:space="preserve">Naveenkumar P</t>
  </si>
  <si>
    <t xml:space="preserve">Pagalavan M</t>
  </si>
  <si>
    <t xml:space="preserve">Ramar E</t>
  </si>
  <si>
    <t xml:space="preserve">Chandrasekarann R</t>
  </si>
  <si>
    <t xml:space="preserve">Jamuna Thangavel</t>
  </si>
  <si>
    <t xml:space="preserve">Chandrasekar R</t>
  </si>
  <si>
    <t xml:space="preserve">Mohamed Nizam M A</t>
  </si>
  <si>
    <t xml:space="preserve">Krishna Gopal P</t>
  </si>
  <si>
    <t xml:space="preserve">Senthil Deepak C</t>
  </si>
  <si>
    <t xml:space="preserve">Valarmathi S</t>
  </si>
  <si>
    <t xml:space="preserve">Palaniyandi M</t>
  </si>
  <si>
    <t xml:space="preserve">Rajeshkumar A</t>
  </si>
  <si>
    <t xml:space="preserve">Pushpam V</t>
  </si>
  <si>
    <t xml:space="preserve">Nehru K N</t>
  </si>
  <si>
    <t xml:space="preserve">Manoharan R</t>
  </si>
  <si>
    <t xml:space="preserve">Joseph Jerald A</t>
  </si>
  <si>
    <t xml:space="preserve">Manoharan Sethu</t>
  </si>
  <si>
    <t xml:space="preserve">Natarajan N</t>
  </si>
  <si>
    <t xml:space="preserve">Jerome Arockiaraj G</t>
  </si>
  <si>
    <t xml:space="preserve">Rohaiyaah Shaik Mohamed Dr</t>
  </si>
  <si>
    <t xml:space="preserve">Rajaiyan T</t>
  </si>
  <si>
    <t xml:space="preserve">Kalaichelvan D</t>
  </si>
  <si>
    <t xml:space="preserve">Senthilkumar S</t>
  </si>
  <si>
    <t xml:space="preserve">Cholasooran V</t>
  </si>
  <si>
    <t xml:space="preserve">Chittibabu E</t>
  </si>
  <si>
    <t xml:space="preserve">Soundarapandian A</t>
  </si>
  <si>
    <t xml:space="preserve">Vijayamurthy M</t>
  </si>
  <si>
    <t xml:space="preserve">Jayaseelan M</t>
  </si>
  <si>
    <t xml:space="preserve">Sampath P</t>
  </si>
  <si>
    <t xml:space="preserve">Parameswari M</t>
  </si>
  <si>
    <t xml:space="preserve">Ganesan S</t>
  </si>
  <si>
    <t xml:space="preserve">Babu M</t>
  </si>
  <si>
    <t xml:space="preserve">Aravind S</t>
  </si>
  <si>
    <t xml:space="preserve">Selvarasu M</t>
  </si>
  <si>
    <t xml:space="preserve">Vijaya Babu S</t>
  </si>
  <si>
    <t xml:space="preserve">Rajasekaran M</t>
  </si>
  <si>
    <t xml:space="preserve">Asaithambi E</t>
  </si>
  <si>
    <t xml:space="preserve">Stalinkumar S</t>
  </si>
  <si>
    <t xml:space="preserve">Maivizhi A</t>
  </si>
  <si>
    <t xml:space="preserve">Sujadevi L R</t>
  </si>
  <si>
    <t xml:space="preserve">Sathya S</t>
  </si>
  <si>
    <t xml:space="preserve">Thamizhselvan R</t>
  </si>
  <si>
    <t xml:space="preserve">Sivakami P</t>
  </si>
  <si>
    <t xml:space="preserve">Rajendran K</t>
  </si>
  <si>
    <t xml:space="preserve">Sathiyaseelan M</t>
  </si>
  <si>
    <t xml:space="preserve">Ramachandran R T</t>
  </si>
  <si>
    <t xml:space="preserve">Durairaj T</t>
  </si>
  <si>
    <t xml:space="preserve">Vaithilingam G</t>
  </si>
  <si>
    <t xml:space="preserve">Mohamed Shanavas J</t>
  </si>
  <si>
    <t xml:space="preserve">Sivasankar S S</t>
  </si>
  <si>
    <t xml:space="preserve">Jayavel Rama</t>
  </si>
  <si>
    <t xml:space="preserve">Thirumavalavan K</t>
  </si>
  <si>
    <t xml:space="preserve">Ramajeyalingam J K N</t>
  </si>
  <si>
    <t xml:space="preserve">Guru @ Gurunathan J</t>
  </si>
  <si>
    <t xml:space="preserve">Rajendran G</t>
  </si>
  <si>
    <t xml:space="preserve">Kandasamy M S</t>
  </si>
  <si>
    <t xml:space="preserve">Bharathi P V</t>
  </si>
  <si>
    <t xml:space="preserve">Killai Ravindran S</t>
  </si>
  <si>
    <t xml:space="preserve">Muthukumar Pon</t>
  </si>
  <si>
    <t xml:space="preserve">Umanath R</t>
  </si>
  <si>
    <t xml:space="preserve">Jothi B</t>
  </si>
  <si>
    <t xml:space="preserve">Rathakrishnan V</t>
  </si>
  <si>
    <t xml:space="preserve">Anbazhagan K</t>
  </si>
  <si>
    <t xml:space="preserve">Ayyappan A</t>
  </si>
  <si>
    <t xml:space="preserve">Arulselvan R</t>
  </si>
  <si>
    <t xml:space="preserve">Muthukumarasamy C</t>
  </si>
  <si>
    <t xml:space="preserve">Pavunraj S</t>
  </si>
  <si>
    <t xml:space="preserve">Shajahan A M</t>
  </si>
  <si>
    <t xml:space="preserve">Anbalagan R</t>
  </si>
  <si>
    <t xml:space="preserve">Sankar M</t>
  </si>
  <si>
    <t xml:space="preserve">Kaliyaperumal S</t>
  </si>
  <si>
    <t xml:space="preserve">Thamimun Ansari M</t>
  </si>
  <si>
    <t xml:space="preserve">Mohamed Jafarullah A</t>
  </si>
  <si>
    <t xml:space="preserve">Dhameem Ansari Sahib A B</t>
  </si>
  <si>
    <t xml:space="preserve">NETHAJI K</t>
  </si>
  <si>
    <t xml:space="preserve">NIRAINTHA SELVAM T</t>
  </si>
  <si>
    <t xml:space="preserve">Mathivanan U</t>
  </si>
  <si>
    <t xml:space="preserve">Meena N</t>
  </si>
  <si>
    <t xml:space="preserve">Nagaimaali V P</t>
  </si>
  <si>
    <t xml:space="preserve">Vanitha A</t>
  </si>
  <si>
    <t xml:space="preserve">Palanivel G</t>
  </si>
  <si>
    <t xml:space="preserve">Manian O S</t>
  </si>
  <si>
    <t xml:space="preserve">Rajendiran P V</t>
  </si>
  <si>
    <t xml:space="preserve">Vetharathinam S K</t>
  </si>
  <si>
    <t xml:space="preserve">Vairavanathan T</t>
  </si>
  <si>
    <t xml:space="preserve">Usha Kannan</t>
  </si>
  <si>
    <t xml:space="preserve">Adalarasan P</t>
  </si>
  <si>
    <t xml:space="preserve">Umamaheswari K</t>
  </si>
  <si>
    <t xml:space="preserve">Ulaganathan K</t>
  </si>
  <si>
    <t xml:space="preserve">Udayakumar G</t>
  </si>
  <si>
    <t xml:space="preserve">Rajamohan S</t>
  </si>
  <si>
    <t xml:space="preserve">Rajaa T R B</t>
  </si>
  <si>
    <t xml:space="preserve">Kamaraj S</t>
  </si>
  <si>
    <t xml:space="preserve">Muruugaiyan Babu A</t>
  </si>
  <si>
    <t xml:space="preserve">Balasubramaniyan S</t>
  </si>
  <si>
    <t xml:space="preserve">Balamurugan E</t>
  </si>
  <si>
    <t xml:space="preserve">Karunanidhi M</t>
  </si>
  <si>
    <t xml:space="preserve">Pannerselvam R</t>
  </si>
  <si>
    <t xml:space="preserve">Masilamani P S</t>
  </si>
  <si>
    <t xml:space="preserve">Kamaraj R</t>
  </si>
  <si>
    <t xml:space="preserve">Duraivelan S M B</t>
  </si>
  <si>
    <t xml:space="preserve">Sundaramoorthy G</t>
  </si>
  <si>
    <t xml:space="preserve">Elavarasan E</t>
  </si>
  <si>
    <t xml:space="preserve">Chezhiaan Govi</t>
  </si>
  <si>
    <t xml:space="preserve">Settu U</t>
  </si>
  <si>
    <t xml:space="preserve">Madahaiyan R S</t>
  </si>
  <si>
    <t xml:space="preserve">Vivekanandan S</t>
  </si>
  <si>
    <t xml:space="preserve">Anbalagan G</t>
  </si>
  <si>
    <t xml:space="preserve">Rathna S</t>
  </si>
  <si>
    <t xml:space="preserve">Paramasivam D</t>
  </si>
  <si>
    <t xml:space="preserve">Venkatraman K</t>
  </si>
  <si>
    <t xml:space="preserve">Mani Senthil</t>
  </si>
  <si>
    <t xml:space="preserve">Doraikkannu R</t>
  </si>
  <si>
    <t xml:space="preserve">Loganathan T R</t>
  </si>
  <si>
    <t xml:space="preserve">Jayakumar S D</t>
  </si>
  <si>
    <t xml:space="preserve">Alayamani G</t>
  </si>
  <si>
    <t xml:space="preserve">Humayun Kabir M I</t>
  </si>
  <si>
    <t xml:space="preserve">Subramanian M G M</t>
  </si>
  <si>
    <t xml:space="preserve">Jeevakumar V</t>
  </si>
  <si>
    <t xml:space="preserve">Shanmugham K R</t>
  </si>
  <si>
    <t xml:space="preserve">M Rangaswamy</t>
  </si>
  <si>
    <t xml:space="preserve">Anjugam Boopathy</t>
  </si>
  <si>
    <t xml:space="preserve">Ramalingam MS</t>
  </si>
  <si>
    <t xml:space="preserve">Abdullah Sait V</t>
  </si>
  <si>
    <t xml:space="preserve">Ramchndran M</t>
  </si>
  <si>
    <t xml:space="preserve">Vaithilingam R</t>
  </si>
  <si>
    <t xml:space="preserve">Ramanathan P Dr</t>
  </si>
  <si>
    <t xml:space="preserve">Kandhasamy M</t>
  </si>
  <si>
    <t xml:space="preserve">Sekar V</t>
  </si>
  <si>
    <t xml:space="preserve">Mahendran K</t>
  </si>
  <si>
    <t xml:space="preserve">Senthilkumar N</t>
  </si>
  <si>
    <t xml:space="preserve">Muruganantham M</t>
  </si>
  <si>
    <t xml:space="preserve">Mohamed Iliyas Z</t>
  </si>
  <si>
    <t xml:space="preserve">Govindarasu M</t>
  </si>
  <si>
    <t xml:space="preserve">Ashok Kumar N</t>
  </si>
  <si>
    <t xml:space="preserve">Thamayanthi T</t>
  </si>
  <si>
    <t xml:space="preserve">Elango R</t>
  </si>
  <si>
    <t xml:space="preserve">Baladhandayutham K</t>
  </si>
  <si>
    <t xml:space="preserve">Arumugam B</t>
  </si>
  <si>
    <t xml:space="preserve">Anbarasan K</t>
  </si>
  <si>
    <t xml:space="preserve">Chinnadurai M</t>
  </si>
  <si>
    <t xml:space="preserve">Puratchikavidhasan @ Palaniyappan M</t>
  </si>
  <si>
    <t xml:space="preserve">Vijaya Baskar C</t>
  </si>
  <si>
    <t xml:space="preserve">Palaniappan M</t>
  </si>
  <si>
    <t xml:space="preserve">Karthikeyan R</t>
  </si>
  <si>
    <t xml:space="preserve">ETMK</t>
  </si>
  <si>
    <t xml:space="preserve">Adaikalam N</t>
  </si>
  <si>
    <t xml:space="preserve">Periyannan Arassu</t>
  </si>
  <si>
    <t xml:space="preserve">Karthik Thondaiman</t>
  </si>
  <si>
    <t xml:space="preserve">Chokkalingam M</t>
  </si>
  <si>
    <t xml:space="preserve">Jahir Hussain</t>
  </si>
  <si>
    <t xml:space="preserve">Regupathy S</t>
  </si>
  <si>
    <t xml:space="preserve">Vairamuthu Pk</t>
  </si>
  <si>
    <t xml:space="preserve">Chidambaram Pl A</t>
  </si>
  <si>
    <t xml:space="preserve">Kanakarethinam M</t>
  </si>
  <si>
    <t xml:space="preserve">Vadamalai P</t>
  </si>
  <si>
    <t xml:space="preserve">Gnana Kalaiselvan</t>
  </si>
  <si>
    <t xml:space="preserve">Chandrasekaran K</t>
  </si>
  <si>
    <t xml:space="preserve">Arulmani S</t>
  </si>
  <si>
    <t xml:space="preserve">Kala Durai</t>
  </si>
  <si>
    <t xml:space="preserve">Rathinasabhapathy E</t>
  </si>
  <si>
    <t xml:space="preserve">Loganathan P</t>
  </si>
  <si>
    <t xml:space="preserve">Kulam Mohamed M</t>
  </si>
  <si>
    <t xml:space="preserve">Puviyarasan A</t>
  </si>
  <si>
    <t xml:space="preserve">Ramasamy Kr</t>
  </si>
  <si>
    <t xml:space="preserve">Karpagam Ilango</t>
  </si>
  <si>
    <t xml:space="preserve">Sevanthiappan S</t>
  </si>
  <si>
    <t xml:space="preserve">Parimalam S</t>
  </si>
  <si>
    <t xml:space="preserve">Muthulakshmi V</t>
  </si>
  <si>
    <t xml:space="preserve">Periakaruppan Kr</t>
  </si>
  <si>
    <t xml:space="preserve">Asokan Kr</t>
  </si>
  <si>
    <t xml:space="preserve">Sathiah N</t>
  </si>
  <si>
    <t xml:space="preserve">Asaiselvan</t>
  </si>
  <si>
    <t xml:space="preserve">Baskaran G</t>
  </si>
  <si>
    <t xml:space="preserve">Sathianathan M @ Meppal M Sakthi</t>
  </si>
  <si>
    <t xml:space="preserve">AIFB(S)</t>
  </si>
  <si>
    <t xml:space="preserve">Srithar Vandaiyar G M</t>
  </si>
  <si>
    <t xml:space="preserve">Kottaikumar Rama</t>
  </si>
  <si>
    <t xml:space="preserve">Mariappankennady S</t>
  </si>
  <si>
    <t xml:space="preserve">Chitraselvi S</t>
  </si>
  <si>
    <t xml:space="preserve">Deepa Anbalagan</t>
  </si>
  <si>
    <t xml:space="preserve">Rajenndran M</t>
  </si>
  <si>
    <t xml:space="preserve">Periyapullan @ Selvam P</t>
  </si>
  <si>
    <t xml:space="preserve">Ragupthy A P</t>
  </si>
  <si>
    <t xml:space="preserve">Bharath Natchiyappan T N</t>
  </si>
  <si>
    <t xml:space="preserve">Boopathikakkan P V</t>
  </si>
  <si>
    <t xml:space="preserve">Seeman I T</t>
  </si>
  <si>
    <t xml:space="preserve">Moorthy P</t>
  </si>
  <si>
    <t xml:space="preserve">P Pandi</t>
  </si>
  <si>
    <t xml:space="preserve">Kalithasan P</t>
  </si>
  <si>
    <t xml:space="preserve">Suseendran M</t>
  </si>
  <si>
    <t xml:space="preserve">Sengannan</t>
  </si>
  <si>
    <t xml:space="preserve">Manickam K</t>
  </si>
  <si>
    <t xml:space="preserve">Bhavani C</t>
  </si>
  <si>
    <t xml:space="preserve">Pandiyammal R</t>
  </si>
  <si>
    <t xml:space="preserve">Palanivel Swamy S</t>
  </si>
  <si>
    <t xml:space="preserve">Rajan Chellappa V V</t>
  </si>
  <si>
    <t xml:space="preserve">Karthikeyan V</t>
  </si>
  <si>
    <t xml:space="preserve">Mujupur Rahuman S</t>
  </si>
  <si>
    <t xml:space="preserve">Saral M</t>
  </si>
  <si>
    <t xml:space="preserve">Saravanan S S</t>
  </si>
  <si>
    <t xml:space="preserve">Balachandran M</t>
  </si>
  <si>
    <t xml:space="preserve">Boominathan M</t>
  </si>
  <si>
    <t xml:space="preserve">Mahalakshmi A R</t>
  </si>
  <si>
    <t xml:space="preserve">Jeyabal M</t>
  </si>
  <si>
    <t xml:space="preserve">Sivamuthukumar D</t>
  </si>
  <si>
    <t xml:space="preserve">Karthik Prabu M</t>
  </si>
  <si>
    <t xml:space="preserve">Vetrikumaran C</t>
  </si>
  <si>
    <t xml:space="preserve">Raju K</t>
  </si>
  <si>
    <t xml:space="preserve">Thalapathi G</t>
  </si>
  <si>
    <t xml:space="preserve">Vasuki U</t>
  </si>
  <si>
    <t xml:space="preserve">Sasikumar A</t>
  </si>
  <si>
    <t xml:space="preserve">Thirunavukkarasu V</t>
  </si>
  <si>
    <t xml:space="preserve">Seenivel S M</t>
  </si>
  <si>
    <t xml:space="preserve">Manimaran M</t>
  </si>
  <si>
    <t xml:space="preserve">Kandasamy K</t>
  </si>
  <si>
    <t xml:space="preserve">Arumugam S</t>
  </si>
  <si>
    <t xml:space="preserve">Udhayakumar R B</t>
  </si>
  <si>
    <t xml:space="preserve">Jeyaram R</t>
  </si>
  <si>
    <t xml:space="preserve">Srinivasan M</t>
  </si>
  <si>
    <t xml:space="preserve">Ramamoorthy V R</t>
  </si>
  <si>
    <t xml:space="preserve">Manikandan K</t>
  </si>
  <si>
    <t xml:space="preserve">Neethipathi P</t>
  </si>
  <si>
    <t xml:space="preserve">Ilamakezhan K</t>
  </si>
  <si>
    <t xml:space="preserve">Baskara Sethupathy A</t>
  </si>
  <si>
    <t xml:space="preserve">Kathiravan P V</t>
  </si>
  <si>
    <t xml:space="preserve">Sangli M</t>
  </si>
  <si>
    <t xml:space="preserve">Thangatamilselvam</t>
  </si>
  <si>
    <t xml:space="preserve">Mookaiah L</t>
  </si>
  <si>
    <t xml:space="preserve">Krishnamoorthy M N</t>
  </si>
  <si>
    <t xml:space="preserve">Chakkaravarthi R</t>
  </si>
  <si>
    <t xml:space="preserve">Kathirkamu K</t>
  </si>
  <si>
    <t xml:space="preserve">Anbazhagan</t>
  </si>
  <si>
    <t xml:space="preserve">Lazar A</t>
  </si>
  <si>
    <t xml:space="preserve">Chellam K</t>
  </si>
  <si>
    <t xml:space="preserve">Laksmanan S</t>
  </si>
  <si>
    <t xml:space="preserve">Veerabadran A</t>
  </si>
  <si>
    <t xml:space="preserve">Venkateswaran V</t>
  </si>
  <si>
    <t xml:space="preserve">S T K Jakkaiyan</t>
  </si>
  <si>
    <t xml:space="preserve">Cumbum N Ramakrishnan</t>
  </si>
  <si>
    <t xml:space="preserve">O R Ramachandran</t>
  </si>
  <si>
    <t xml:space="preserve">N Prabakaran</t>
  </si>
  <si>
    <t xml:space="preserve">Thangappandian S</t>
  </si>
  <si>
    <t xml:space="preserve">Shyam A A S</t>
  </si>
  <si>
    <t xml:space="preserve">Gurusamy A</t>
  </si>
  <si>
    <t xml:space="preserve">Ramachandra Raja A N</t>
  </si>
  <si>
    <t xml:space="preserve">Jeyaraj V</t>
  </si>
  <si>
    <t xml:space="preserve">Chandra Prabha M</t>
  </si>
  <si>
    <t xml:space="preserve">Muthukumar C</t>
  </si>
  <si>
    <t xml:space="preserve">Lingam P</t>
  </si>
  <si>
    <t xml:space="preserve">Ramasamy I</t>
  </si>
  <si>
    <t xml:space="preserve">Kalyanasundaram A</t>
  </si>
  <si>
    <t xml:space="preserve">Subramanian S G</t>
  </si>
  <si>
    <t xml:space="preserve">Srinivasan V</t>
  </si>
  <si>
    <t xml:space="preserve">Raguraman A R</t>
  </si>
  <si>
    <t xml:space="preserve">Gnanapandithan P</t>
  </si>
  <si>
    <t xml:space="preserve">Muthuvel Nachiar S</t>
  </si>
  <si>
    <t xml:space="preserve">Rajenthrabhalaji K T</t>
  </si>
  <si>
    <t xml:space="preserve">Sreeraja C</t>
  </si>
  <si>
    <t xml:space="preserve">Sudhakaran R</t>
  </si>
  <si>
    <t xml:space="preserve">Parrathashaarathi A G</t>
  </si>
  <si>
    <t xml:space="preserve">Babu T</t>
  </si>
  <si>
    <t xml:space="preserve">Seenivasan A R R</t>
  </si>
  <si>
    <t xml:space="preserve">Kalanithi K</t>
  </si>
  <si>
    <t xml:space="preserve">Syed Kaja Shareef M</t>
  </si>
  <si>
    <t xml:space="preserve">Kamatchi S</t>
  </si>
  <si>
    <t xml:space="preserve">Ramachandran K K S S R</t>
  </si>
  <si>
    <t xml:space="preserve">Vaigaichelvan Dr</t>
  </si>
  <si>
    <t xml:space="preserve">Senthil Kumar S</t>
  </si>
  <si>
    <t xml:space="preserve">Vetrrivel R</t>
  </si>
  <si>
    <t xml:space="preserve">Thangam Thenarasu</t>
  </si>
  <si>
    <t xml:space="preserve">Dinesh Babu K</t>
  </si>
  <si>
    <t xml:space="preserve">Raju T</t>
  </si>
  <si>
    <t xml:space="preserve">Ravirajan B</t>
  </si>
  <si>
    <t xml:space="preserve">Muthiah S Dr</t>
  </si>
  <si>
    <t xml:space="preserve">Thisaiveeran U</t>
  </si>
  <si>
    <t xml:space="preserve">Balaganapathy V Pon</t>
  </si>
  <si>
    <t xml:space="preserve">Irulan M</t>
  </si>
  <si>
    <t xml:space="preserve">Hemalatha V</t>
  </si>
  <si>
    <t xml:space="preserve">Karunaas</t>
  </si>
  <si>
    <t xml:space="preserve">Thivakaran S P</t>
  </si>
  <si>
    <t xml:space="preserve">Dhevanathan Yadav T</t>
  </si>
  <si>
    <t xml:space="preserve">TMMK</t>
  </si>
  <si>
    <t xml:space="preserve">John Pandian B</t>
  </si>
  <si>
    <t xml:space="preserve">Manimaran V</t>
  </si>
  <si>
    <t xml:space="preserve">Manikandan M</t>
  </si>
  <si>
    <t xml:space="preserve">Jawahirullah M H</t>
  </si>
  <si>
    <t xml:space="preserve">Singai Jinnah M A</t>
  </si>
  <si>
    <t xml:space="preserve">Kannan D</t>
  </si>
  <si>
    <t xml:space="preserve">Sivakumar K</t>
  </si>
  <si>
    <t xml:space="preserve">Pandi S</t>
  </si>
  <si>
    <t xml:space="preserve">Keerthika M</t>
  </si>
  <si>
    <t xml:space="preserve">Rajkumar P</t>
  </si>
  <si>
    <t xml:space="preserve">Arasakumar B T</t>
  </si>
  <si>
    <t xml:space="preserve">Mohamed Ishak S</t>
  </si>
  <si>
    <t xml:space="preserve">Uma Maheswari K</t>
  </si>
  <si>
    <t xml:space="preserve">Beemaraj S</t>
  </si>
  <si>
    <t xml:space="preserve">Kathirvel P</t>
  </si>
  <si>
    <t xml:space="preserve">Rama Moorthy P</t>
  </si>
  <si>
    <t xml:space="preserve">Marudhanayagam G N</t>
  </si>
  <si>
    <t xml:space="preserve">Geetha Jeevan P</t>
  </si>
  <si>
    <t xml:space="preserve">Chellapandian S T</t>
  </si>
  <si>
    <t xml:space="preserve">Fatima</t>
  </si>
  <si>
    <t xml:space="preserve">Kanagaraj M R</t>
  </si>
  <si>
    <t xml:space="preserve">Maria Judy Hema P</t>
  </si>
  <si>
    <t xml:space="preserve">Sarathkumar R</t>
  </si>
  <si>
    <t xml:space="preserve">Senthilkumar S A</t>
  </si>
  <si>
    <t xml:space="preserve">Jeyaraman V</t>
  </si>
  <si>
    <t xml:space="preserve">Gloriyan S</t>
  </si>
  <si>
    <t xml:space="preserve">Shanmuganathan S P</t>
  </si>
  <si>
    <t xml:space="preserve">Rani Venkatesan V</t>
  </si>
  <si>
    <t xml:space="preserve">Selvaraj S</t>
  </si>
  <si>
    <t xml:space="preserve">Vijayaseelan Sdr</t>
  </si>
  <si>
    <t xml:space="preserve">Muthurammalingam S</t>
  </si>
  <si>
    <t xml:space="preserve">Sundararaj R</t>
  </si>
  <si>
    <t xml:space="preserve">Krishnasamy K Dr</t>
  </si>
  <si>
    <t xml:space="preserve">Arumuganainar S</t>
  </si>
  <si>
    <t xml:space="preserve">Santhanakumar A</t>
  </si>
  <si>
    <t xml:space="preserve">Muthukrishan T</t>
  </si>
  <si>
    <t xml:space="preserve">Kadambur Raju C</t>
  </si>
  <si>
    <t xml:space="preserve">A Subramanian</t>
  </si>
  <si>
    <t xml:space="preserve">Vinayaka Ramesh</t>
  </si>
  <si>
    <t xml:space="preserve">Muthu Mari T</t>
  </si>
  <si>
    <t xml:space="preserve">Rajalakshmi M</t>
  </si>
  <si>
    <t xml:space="preserve">Anbumani G</t>
  </si>
  <si>
    <t xml:space="preserve">Sadhan Thirumalaikumar T Dr</t>
  </si>
  <si>
    <t xml:space="preserve">Gunasekaran K</t>
  </si>
  <si>
    <t xml:space="preserve">Amutha</t>
  </si>
  <si>
    <t xml:space="preserve">Manoharan A</t>
  </si>
  <si>
    <t xml:space="preserve">Anbalagan S</t>
  </si>
  <si>
    <t xml:space="preserve">Samuthirakani R</t>
  </si>
  <si>
    <t xml:space="preserve">Palanisamy G</t>
  </si>
  <si>
    <t xml:space="preserve">Muhammed Abubacker K A M</t>
  </si>
  <si>
    <t xml:space="preserve">Sheik Dawood S</t>
  </si>
  <si>
    <t xml:space="preserve">Gothai Mariappan</t>
  </si>
  <si>
    <t xml:space="preserve">Kathirvelu V</t>
  </si>
  <si>
    <t xml:space="preserve">Jabar Ali Usmani J</t>
  </si>
  <si>
    <t xml:space="preserve">Selvamohandas Pandian S</t>
  </si>
  <si>
    <t xml:space="preserve">Palani Nadar S</t>
  </si>
  <si>
    <t xml:space="preserve">Selvi B</t>
  </si>
  <si>
    <t xml:space="preserve">Charles N D S</t>
  </si>
  <si>
    <t xml:space="preserve">Poongothai Aladi Aruna Dr</t>
  </si>
  <si>
    <t xml:space="preserve">Hepzi Karthikeyan</t>
  </si>
  <si>
    <t xml:space="preserve">Rajendranath</t>
  </si>
  <si>
    <t xml:space="preserve">Anburaj S V</t>
  </si>
  <si>
    <t xml:space="preserve">Vasanthi Ramalingam R</t>
  </si>
  <si>
    <t xml:space="preserve">Lakshmanan A L S</t>
  </si>
  <si>
    <t xml:space="preserve">Nainar Nagenthran</t>
  </si>
  <si>
    <t xml:space="preserve">Madasamy S</t>
  </si>
  <si>
    <t xml:space="preserve">Maharajan A</t>
  </si>
  <si>
    <t xml:space="preserve">Murugaiah Pandian R</t>
  </si>
  <si>
    <t xml:space="preserve">Karpagavalli P</t>
  </si>
  <si>
    <t xml:space="preserve">Sasikala V</t>
  </si>
  <si>
    <t xml:space="preserve">Mohideen Khant P M</t>
  </si>
  <si>
    <t xml:space="preserve">Hyder Ali S K A</t>
  </si>
  <si>
    <t xml:space="preserve">Nizam Mohideen K M A</t>
  </si>
  <si>
    <t xml:space="preserve">Nirmal Singh Yadav M</t>
  </si>
  <si>
    <t xml:space="preserve">Shahul Hameed K S</t>
  </si>
  <si>
    <t xml:space="preserve">Vasanthakumar H</t>
  </si>
  <si>
    <t xml:space="preserve">Vijayakumar M</t>
  </si>
  <si>
    <t xml:space="preserve">Suresh Alias Kasinivendan S</t>
  </si>
  <si>
    <t xml:space="preserve">Jeyabalan K</t>
  </si>
  <si>
    <t xml:space="preserve">Manikandan V</t>
  </si>
  <si>
    <t xml:space="preserve">Inbadurai I S</t>
  </si>
  <si>
    <t xml:space="preserve">Appavu M</t>
  </si>
  <si>
    <t xml:space="preserve">Kani Amudha S</t>
  </si>
  <si>
    <t xml:space="preserve">Sivanantha Perumal S</t>
  </si>
  <si>
    <t xml:space="preserve">Udayakumar S P</t>
  </si>
  <si>
    <t xml:space="preserve">Austin S</t>
  </si>
  <si>
    <t xml:space="preserve">Thalavai Sundaram N</t>
  </si>
  <si>
    <t xml:space="preserve">Meena Dev M</t>
  </si>
  <si>
    <t xml:space="preserve">Aathilinga Perumal D</t>
  </si>
  <si>
    <t xml:space="preserve">Balasubramaniam V</t>
  </si>
  <si>
    <t xml:space="preserve">Suresh Rajan N</t>
  </si>
  <si>
    <t xml:space="preserve">Gandhi M R</t>
  </si>
  <si>
    <t xml:space="preserve">Nanjil Murugesan A</t>
  </si>
  <si>
    <t xml:space="preserve">Christin Rani S</t>
  </si>
  <si>
    <t xml:space="preserve">Dhanam P M</t>
  </si>
  <si>
    <t xml:space="preserve">Prince J G</t>
  </si>
  <si>
    <t xml:space="preserve">Rammesh P</t>
  </si>
  <si>
    <t xml:space="preserve">Patchaimal K T</t>
  </si>
  <si>
    <t xml:space="preserve">Sambathchandra R</t>
  </si>
  <si>
    <t xml:space="preserve">Prabaharan T</t>
  </si>
  <si>
    <t xml:space="preserve">Mano Thangaraj T</t>
  </si>
  <si>
    <t xml:space="preserve">Rajendra Prasad K P</t>
  </si>
  <si>
    <t xml:space="preserve">Sheeba Prasad Su</t>
  </si>
  <si>
    <t xml:space="preserve">Jeganathan D</t>
  </si>
  <si>
    <t xml:space="preserve">Vijayadharani S</t>
  </si>
  <si>
    <t xml:space="preserve">Dharmaraj C</t>
  </si>
  <si>
    <t xml:space="preserve">Chellaswamy R</t>
  </si>
  <si>
    <t xml:space="preserve">Nanjil Domenic Savio George</t>
  </si>
  <si>
    <t xml:space="preserve">Rajesh Kumar S</t>
  </si>
  <si>
    <t xml:space="preserve">Pon Vijayaragavan</t>
  </si>
  <si>
    <t xml:space="preserve">Mary Kamalabai A</t>
  </si>
  <si>
    <t xml:space="preserve">Kumaradas D</t>
  </si>
  <si>
    <t xml:space="preserve">Rethnammal T</t>
  </si>
  <si>
    <t xml:space="preserve">Selvakumar R</t>
  </si>
  <si>
    <t xml:space="preserve">Chakravarthi Sriraman B</t>
  </si>
  <si>
    <t xml:space="preserve">JMM</t>
  </si>
  <si>
    <t xml:space="preserve">Munikrishnan G</t>
  </si>
  <si>
    <t xml:space="preserve">Manimekalai A</t>
  </si>
  <si>
    <t xml:space="preserve">Ganesan K</t>
  </si>
  <si>
    <t xml:space="preserve">Jayakanthan S</t>
  </si>
  <si>
    <t xml:space="preserve">Arunsubramanian M</t>
  </si>
  <si>
    <t xml:space="preserve">Raman E S S</t>
  </si>
  <si>
    <t xml:space="preserve">Subramani A K</t>
  </si>
  <si>
    <t xml:space="preserve">Rambai S</t>
  </si>
  <si>
    <t xml:space="preserve">Dass D</t>
  </si>
  <si>
    <t xml:space="preserve">Ramana B V</t>
  </si>
  <si>
    <t xml:space="preserve">Shiaji E A P</t>
  </si>
  <si>
    <t xml:space="preserve">PB</t>
  </si>
  <si>
    <t xml:space="preserve">James E</t>
  </si>
  <si>
    <t xml:space="preserve">RJD</t>
  </si>
  <si>
    <t xml:space="preserve">Deivasigamani T A</t>
  </si>
  <si>
    <t xml:space="preserve">Manimaran R</t>
  </si>
  <si>
    <t xml:space="preserve">Kanchi Gv Mathiazhagan</t>
  </si>
  <si>
    <t xml:space="preserve">Jaganmoorthy M</t>
  </si>
  <si>
    <t xml:space="preserve">Murali K</t>
  </si>
  <si>
    <t xml:space="preserve">Theinmathi P</t>
  </si>
  <si>
    <t xml:space="preserve">Abdul Rahim S</t>
  </si>
  <si>
    <t xml:space="preserve">Dhamotharan R</t>
  </si>
  <si>
    <t xml:space="preserve">Jayaraman B</t>
  </si>
  <si>
    <t xml:space="preserve">Sathyamurthi C</t>
  </si>
  <si>
    <t xml:space="preserve">Beem Rao G</t>
  </si>
  <si>
    <t xml:space="preserve">Selvam K</t>
  </si>
  <si>
    <t xml:space="preserve">Selvan S</t>
  </si>
  <si>
    <t xml:space="preserve">Sivasankaran D</t>
  </si>
  <si>
    <t xml:space="preserve">Yosuva P</t>
  </si>
  <si>
    <t xml:space="preserve">Vedhachalam S</t>
  </si>
  <si>
    <t xml:space="preserve">Ranaganathan B</t>
  </si>
  <si>
    <t xml:space="preserve">Jeyachandra T</t>
  </si>
  <si>
    <t xml:space="preserve">Mohamed Abbas S</t>
  </si>
  <si>
    <t xml:space="preserve">Moorthy V</t>
  </si>
  <si>
    <t xml:space="preserve">Kanimozhi N S</t>
  </si>
  <si>
    <t xml:space="preserve">Sivakumar B</t>
  </si>
  <si>
    <t xml:space="preserve">Kumaran P</t>
  </si>
  <si>
    <t xml:space="preserve">Ramesh A</t>
  </si>
  <si>
    <t xml:space="preserve">Kuppan K</t>
  </si>
  <si>
    <t xml:space="preserve">Venkatakrishnan V</t>
  </si>
  <si>
    <t xml:space="preserve">Pandiyan S</t>
  </si>
  <si>
    <t xml:space="preserve">Suresh S</t>
  </si>
  <si>
    <t xml:space="preserve">Vetriivel P</t>
  </si>
  <si>
    <t xml:space="preserve">Sekarbabu P K</t>
  </si>
  <si>
    <t xml:space="preserve">Vinayagam K R</t>
  </si>
  <si>
    <t xml:space="preserve">Arockiam S</t>
  </si>
  <si>
    <t xml:space="preserve">Soundararajan A</t>
  </si>
  <si>
    <t xml:space="preserve">N R Dhanapalan</t>
  </si>
  <si>
    <t xml:space="preserve">R Ravindrakumar</t>
  </si>
  <si>
    <t xml:space="preserve">Palani S</t>
  </si>
  <si>
    <t xml:space="preserve">Sadai Sa Duraisamy</t>
  </si>
  <si>
    <t xml:space="preserve">Armstrong K</t>
  </si>
  <si>
    <t xml:space="preserve">Shankar K P M</t>
  </si>
  <si>
    <t xml:space="preserve">LSP</t>
  </si>
  <si>
    <t xml:space="preserve">Ashok Kumar S</t>
  </si>
  <si>
    <t xml:space="preserve">Masana Muthu D</t>
  </si>
  <si>
    <t xml:space="preserve">MMKA</t>
  </si>
  <si>
    <t xml:space="preserve">Satishkumar K P</t>
  </si>
  <si>
    <t xml:space="preserve">Madhiyalagan P</t>
  </si>
  <si>
    <t xml:space="preserve">Natesan C Dr</t>
  </si>
  <si>
    <t xml:space="preserve">Karunanidhi E</t>
  </si>
  <si>
    <t xml:space="preserve">Ajitha</t>
  </si>
  <si>
    <t xml:space="preserve">Sakthivel C</t>
  </si>
  <si>
    <t xml:space="preserve">Nallathambi K</t>
  </si>
  <si>
    <t xml:space="preserve">Parithi Ellamvzuthi</t>
  </si>
  <si>
    <t xml:space="preserve">Kumaravadivel N S</t>
  </si>
  <si>
    <t xml:space="preserve">Sundaramurthi R</t>
  </si>
  <si>
    <t xml:space="preserve">Sureshbabu D</t>
  </si>
  <si>
    <t xml:space="preserve">Chandar Alias Chandru D</t>
  </si>
  <si>
    <t xml:space="preserve">Jebaraj Immanuel S</t>
  </si>
  <si>
    <t xml:space="preserve">Ashok J</t>
  </si>
  <si>
    <t xml:space="preserve">Karuppiah Pala</t>
  </si>
  <si>
    <t xml:space="preserve">Altaf Hussain</t>
  </si>
  <si>
    <t xml:space="preserve">Jaisankar M</t>
  </si>
  <si>
    <t xml:space="preserve">Mohamed Hussain P</t>
  </si>
  <si>
    <t xml:space="preserve">Praveen Maheshwari</t>
  </si>
  <si>
    <t xml:space="preserve">Thameemun Ansari M</t>
  </si>
  <si>
    <t xml:space="preserve">Venkataraman S</t>
  </si>
  <si>
    <t xml:space="preserve">INL</t>
  </si>
  <si>
    <t xml:space="preserve">Abdul Rahim J</t>
  </si>
  <si>
    <t xml:space="preserve">Raghu C</t>
  </si>
  <si>
    <t xml:space="preserve">Hasan Mohamed Jinnah</t>
  </si>
  <si>
    <t xml:space="preserve">Photo Siva Alias Sivalingam M</t>
  </si>
  <si>
    <t xml:space="preserve">Thiwan Muhammedu Nahib</t>
  </si>
  <si>
    <t xml:space="preserve">Arjunan C</t>
  </si>
  <si>
    <t xml:space="preserve">Gokula Indira S</t>
  </si>
  <si>
    <t xml:space="preserve">Arivazhagan V K</t>
  </si>
  <si>
    <t xml:space="preserve">Haribabu P K</t>
  </si>
  <si>
    <t xml:space="preserve">YSP</t>
  </si>
  <si>
    <t xml:space="preserve">Jayaprakash J</t>
  </si>
  <si>
    <t xml:space="preserve">Jawahar Nesan L</t>
  </si>
  <si>
    <t xml:space="preserve">Partha Sarathy B</t>
  </si>
  <si>
    <t xml:space="preserve">Nagavel S</t>
  </si>
  <si>
    <t xml:space="preserve">Senthamizhan G</t>
  </si>
  <si>
    <t xml:space="preserve">Magesh Kumaar M</t>
  </si>
  <si>
    <t xml:space="preserve">Pragalathan P M</t>
  </si>
  <si>
    <t xml:space="preserve">Kalairajan V P</t>
  </si>
  <si>
    <t xml:space="preserve">Chellakumar A</t>
  </si>
  <si>
    <t xml:space="preserve">Ravichandran K</t>
  </si>
  <si>
    <t xml:space="preserve">Ramaswamy K R Traffic</t>
  </si>
  <si>
    <t xml:space="preserve">Sarada G</t>
  </si>
  <si>
    <t xml:space="preserve">Rajalakshmi R</t>
  </si>
  <si>
    <t xml:space="preserve">Thangkabalu K V</t>
  </si>
  <si>
    <t xml:space="preserve">Ashok Rajendran R</t>
  </si>
  <si>
    <t xml:space="preserve">Praveenkumar S</t>
  </si>
  <si>
    <t xml:space="preserve">Ashok M K</t>
  </si>
  <si>
    <t xml:space="preserve">Jayaraman M</t>
  </si>
  <si>
    <t xml:space="preserve">E Sarathbabu</t>
  </si>
  <si>
    <t xml:space="preserve">Thamizhisai Soundararajan Dr</t>
  </si>
  <si>
    <t xml:space="preserve">Senthil Kumar Arumugam</t>
  </si>
  <si>
    <t xml:space="preserve">K P Kandan</t>
  </si>
  <si>
    <t xml:space="preserve">S S Balaji</t>
  </si>
  <si>
    <t xml:space="preserve">S Mohandoss Gandhi</t>
  </si>
  <si>
    <t xml:space="preserve">K Utharapathi</t>
  </si>
  <si>
    <t xml:space="preserve">K Singaraj</t>
  </si>
  <si>
    <t xml:space="preserve">S Ramachandran</t>
  </si>
  <si>
    <t xml:space="preserve">K Ghayathri Devi Dr</t>
  </si>
  <si>
    <t xml:space="preserve">S Sathya Narayanan</t>
  </si>
  <si>
    <t xml:space="preserve">L Ayodhi</t>
  </si>
  <si>
    <t xml:space="preserve">P Thomas Barnabas</t>
  </si>
  <si>
    <t xml:space="preserve">R Perumal</t>
  </si>
  <si>
    <t xml:space="preserve">D Yasodha</t>
  </si>
  <si>
    <t xml:space="preserve">C Dhanasekaran</t>
  </si>
  <si>
    <t xml:space="preserve">A Harikrishnan</t>
  </si>
  <si>
    <t xml:space="preserve">V Ramesh</t>
  </si>
  <si>
    <t xml:space="preserve">P Dhansingh</t>
  </si>
  <si>
    <t xml:space="preserve">T M Anbarasan</t>
  </si>
  <si>
    <t xml:space="preserve">R Kumar</t>
  </si>
  <si>
    <t xml:space="preserve">B Rajappa</t>
  </si>
  <si>
    <t xml:space="preserve">R Samesudoss</t>
  </si>
  <si>
    <t xml:space="preserve">S R Raja</t>
  </si>
  <si>
    <t xml:space="preserve">A Veda Subramaniam</t>
  </si>
  <si>
    <t xml:space="preserve">MGRTK</t>
  </si>
  <si>
    <t xml:space="preserve">D K George</t>
  </si>
  <si>
    <t xml:space="preserve">M Raju</t>
  </si>
  <si>
    <t xml:space="preserve">D Murugesan</t>
  </si>
  <si>
    <t xml:space="preserve">V G Rangasamy</t>
  </si>
  <si>
    <t xml:space="preserve">AIJMK</t>
  </si>
  <si>
    <t xml:space="preserve">M Panneer Selvam</t>
  </si>
  <si>
    <t xml:space="preserve">K T Raghavan</t>
  </si>
  <si>
    <t xml:space="preserve">K Manoharan</t>
  </si>
  <si>
    <t xml:space="preserve">G Sivalingam</t>
  </si>
  <si>
    <t xml:space="preserve">N Gopalakrishnan</t>
  </si>
  <si>
    <t xml:space="preserve">G Rajamuthu</t>
  </si>
  <si>
    <t xml:space="preserve">V S Raji</t>
  </si>
  <si>
    <t xml:space="preserve">D Parventhan</t>
  </si>
  <si>
    <t xml:space="preserve">O E Sankar</t>
  </si>
  <si>
    <t xml:space="preserve">T Raji</t>
  </si>
  <si>
    <t xml:space="preserve">P Sampath</t>
  </si>
  <si>
    <t xml:space="preserve">K Jayakumar Dr</t>
  </si>
  <si>
    <t xml:space="preserve">C Jaisankar</t>
  </si>
  <si>
    <t xml:space="preserve">R Varadhan</t>
  </si>
  <si>
    <t xml:space="preserve">V R Paramasivam</t>
  </si>
  <si>
    <t xml:space="preserve">P Ganesan</t>
  </si>
  <si>
    <t xml:space="preserve">M Mohanavelu</t>
  </si>
  <si>
    <t xml:space="preserve">K Gurumurthy</t>
  </si>
  <si>
    <t xml:space="preserve">M J Arokiasamy</t>
  </si>
  <si>
    <t xml:space="preserve">V Somasundaram</t>
  </si>
  <si>
    <t xml:space="preserve">P S Ulagarakshagan</t>
  </si>
  <si>
    <t xml:space="preserve">AIPPMR</t>
  </si>
  <si>
    <t xml:space="preserve">A N Radhakrishnan</t>
  </si>
  <si>
    <t xml:space="preserve">M Perumal</t>
  </si>
  <si>
    <t xml:space="preserve">ADSMK</t>
  </si>
  <si>
    <t xml:space="preserve">Ta V Passamighu Annan Venkatesanor</t>
  </si>
  <si>
    <t xml:space="preserve">S Sellapandian</t>
  </si>
  <si>
    <t xml:space="preserve">G Mahalingam</t>
  </si>
  <si>
    <t xml:space="preserve">P Sudhakar</t>
  </si>
  <si>
    <t xml:space="preserve">S Sendilkumar</t>
  </si>
  <si>
    <t xml:space="preserve">P R Manokar</t>
  </si>
  <si>
    <t xml:space="preserve">A M Muniratinam</t>
  </si>
  <si>
    <t xml:space="preserve">Arulanbarasu</t>
  </si>
  <si>
    <t xml:space="preserve">M Bhavani</t>
  </si>
  <si>
    <t xml:space="preserve">T V Paramasivam</t>
  </si>
  <si>
    <t xml:space="preserve">A Mohammed John</t>
  </si>
  <si>
    <t xml:space="preserve">S Sasikumar</t>
  </si>
  <si>
    <t xml:space="preserve">Bachimani</t>
  </si>
  <si>
    <t xml:space="preserve">R Srinivasan</t>
  </si>
  <si>
    <t xml:space="preserve">K L Elavazagan</t>
  </si>
  <si>
    <t xml:space="preserve">M Velu</t>
  </si>
  <si>
    <t xml:space="preserve">G Thanigachalam</t>
  </si>
  <si>
    <t xml:space="preserve">S R Vijayan</t>
  </si>
  <si>
    <t xml:space="preserve">Varadarajan A</t>
  </si>
  <si>
    <t xml:space="preserve">Sriram M</t>
  </si>
  <si>
    <t xml:space="preserve">Jayakodi K</t>
  </si>
  <si>
    <t xml:space="preserve">Vijay Dr V S</t>
  </si>
  <si>
    <t xml:space="preserve">Hassan J</t>
  </si>
  <si>
    <t xml:space="preserve">Aravinth Dr V</t>
  </si>
  <si>
    <t xml:space="preserve">Elumalai V S</t>
  </si>
  <si>
    <t xml:space="preserve">Velu V B</t>
  </si>
  <si>
    <t xml:space="preserve">Dharman M</t>
  </si>
  <si>
    <t xml:space="preserve">Velu K</t>
  </si>
  <si>
    <t xml:space="preserve">Shanmugam Dr R</t>
  </si>
  <si>
    <t xml:space="preserve">Seetharaman K</t>
  </si>
  <si>
    <t xml:space="preserve">Anumanthan S</t>
  </si>
  <si>
    <t xml:space="preserve">Saravanan B</t>
  </si>
  <si>
    <t xml:space="preserve">Ilayakumar N</t>
  </si>
  <si>
    <t xml:space="preserve">K Rajamarthandan</t>
  </si>
  <si>
    <t xml:space="preserve">C Bharathi</t>
  </si>
  <si>
    <t xml:space="preserve">P Vadivelan</t>
  </si>
  <si>
    <t xml:space="preserve">E Karunanithi</t>
  </si>
  <si>
    <t xml:space="preserve">Sampath Kumar Govi</t>
  </si>
  <si>
    <t xml:space="preserve">Abdul Basith H</t>
  </si>
  <si>
    <t xml:space="preserve">Mohammed Iliyas</t>
  </si>
  <si>
    <t xml:space="preserve">Vazeer Ahmed J</t>
  </si>
  <si>
    <t xml:space="preserve">Abdul Wagith P</t>
  </si>
  <si>
    <t xml:space="preserve">MNMK</t>
  </si>
  <si>
    <t xml:space="preserve">Aslam Basha A</t>
  </si>
  <si>
    <t xml:space="preserve">Vijay Elanchezian</t>
  </si>
  <si>
    <t xml:space="preserve">Sampath E</t>
  </si>
  <si>
    <t xml:space="preserve">Venkatesan G</t>
  </si>
  <si>
    <t xml:space="preserve">Shameel Ahmed V</t>
  </si>
  <si>
    <t xml:space="preserve">Annamalai M</t>
  </si>
  <si>
    <t xml:space="preserve">Veeramani M S</t>
  </si>
  <si>
    <t xml:space="preserve">Gandhibabu M</t>
  </si>
  <si>
    <t xml:space="preserve">K G Ramesh</t>
  </si>
  <si>
    <t xml:space="preserve">M Selva Kumar</t>
  </si>
  <si>
    <t xml:space="preserve">D Kubendiran</t>
  </si>
  <si>
    <t xml:space="preserve">K Venkatesan</t>
  </si>
  <si>
    <t xml:space="preserve">Manoranjitham</t>
  </si>
  <si>
    <t xml:space="preserve">Muniyammal</t>
  </si>
  <si>
    <t xml:space="preserve">Vediyappan S</t>
  </si>
  <si>
    <t xml:space="preserve">Sankar C K</t>
  </si>
  <si>
    <t xml:space="preserve">Dr Devarajan V</t>
  </si>
  <si>
    <t xml:space="preserve">K E Krishnamurthi</t>
  </si>
  <si>
    <t xml:space="preserve">T K Raja</t>
  </si>
  <si>
    <t xml:space="preserve">K Asokan</t>
  </si>
  <si>
    <t xml:space="preserve">UMK</t>
  </si>
  <si>
    <t xml:space="preserve">C Vijayakumar</t>
  </si>
  <si>
    <t xml:space="preserve">K P Munusamy</t>
  </si>
  <si>
    <t xml:space="preserve">Syed Ghiyas Ul Haq</t>
  </si>
  <si>
    <t xml:space="preserve">Kotteswaran M</t>
  </si>
  <si>
    <t xml:space="preserve">R Raja</t>
  </si>
  <si>
    <t xml:space="preserve">Latha G</t>
  </si>
  <si>
    <t xml:space="preserve">T Senguttuvan</t>
  </si>
  <si>
    <t xml:space="preserve">Kandan @ Murugesan S M</t>
  </si>
  <si>
    <t xml:space="preserve">V Ranganathan</t>
  </si>
  <si>
    <t xml:space="preserve">V S Premanathan</t>
  </si>
  <si>
    <t xml:space="preserve">N V Kalyani</t>
  </si>
  <si>
    <t xml:space="preserve">K Gopinath</t>
  </si>
  <si>
    <t xml:space="preserve">S John Timothy</t>
  </si>
  <si>
    <t xml:space="preserve">S A Sathya</t>
  </si>
  <si>
    <t xml:space="preserve">Balakrishnan M</t>
  </si>
  <si>
    <t xml:space="preserve">Chitrambalam</t>
  </si>
  <si>
    <t xml:space="preserve">Narendiran K S</t>
  </si>
  <si>
    <t xml:space="preserve">Ayaz F</t>
  </si>
  <si>
    <t xml:space="preserve">Muniraj C</t>
  </si>
  <si>
    <t xml:space="preserve">Selvam V</t>
  </si>
  <si>
    <t xml:space="preserve">Harinath K</t>
  </si>
  <si>
    <t xml:space="preserve">Kumaradevan K P</t>
  </si>
  <si>
    <t xml:space="preserve">Ramasamy M</t>
  </si>
  <si>
    <t xml:space="preserve">Kandasamy K P</t>
  </si>
  <si>
    <t xml:space="preserve">Shanmugam R</t>
  </si>
  <si>
    <t xml:space="preserve">Santhamoorthy P</t>
  </si>
  <si>
    <t xml:space="preserve">Raja P S</t>
  </si>
  <si>
    <t xml:space="preserve">Prabakaran K</t>
  </si>
  <si>
    <t xml:space="preserve">Venkatesh K</t>
  </si>
  <si>
    <t xml:space="preserve">Palaniappan P</t>
  </si>
  <si>
    <t xml:space="preserve">Mullaiventhan V</t>
  </si>
  <si>
    <t xml:space="preserve">Velu M</t>
  </si>
  <si>
    <t xml:space="preserve">Shankar P</t>
  </si>
  <si>
    <t xml:space="preserve">Dillibabu P</t>
  </si>
  <si>
    <t xml:space="preserve">Nandhan B M</t>
  </si>
  <si>
    <t xml:space="preserve">Parthiban P</t>
  </si>
  <si>
    <t xml:space="preserve">Samikannu K</t>
  </si>
  <si>
    <t xml:space="preserve">Suresh @ Sureshkumar T</t>
  </si>
  <si>
    <t xml:space="preserve">Sureshkumar R</t>
  </si>
  <si>
    <t xml:space="preserve">Jayaraman A</t>
  </si>
  <si>
    <t xml:space="preserve">Kumar R</t>
  </si>
  <si>
    <t xml:space="preserve">Arjunan A</t>
  </si>
  <si>
    <t xml:space="preserve">Sathasivaraja S</t>
  </si>
  <si>
    <t xml:space="preserve">Raji S</t>
  </si>
  <si>
    <t xml:space="preserve">Aranganathan A K</t>
  </si>
  <si>
    <t xml:space="preserve">Sridharan D</t>
  </si>
  <si>
    <t xml:space="preserve">Pitchandi D</t>
  </si>
  <si>
    <t xml:space="preserve">Settu R</t>
  </si>
  <si>
    <t xml:space="preserve">Agri Krishnamurti S S</t>
  </si>
  <si>
    <t xml:space="preserve">Vijayakumar P S</t>
  </si>
  <si>
    <t xml:space="preserve">Vijayakumar A</t>
  </si>
  <si>
    <t xml:space="preserve">Rajendran M S</t>
  </si>
  <si>
    <t xml:space="preserve">Jayasudha L</t>
  </si>
  <si>
    <t xml:space="preserve">Perumal V</t>
  </si>
  <si>
    <t xml:space="preserve">Munisamy M</t>
  </si>
  <si>
    <t xml:space="preserve">Sivanandham R</t>
  </si>
  <si>
    <t xml:space="preserve">Murugavel K</t>
  </si>
  <si>
    <t xml:space="preserve">Subramanian N</t>
  </si>
  <si>
    <t xml:space="preserve">Vishnu Prasad M K</t>
  </si>
  <si>
    <t xml:space="preserve">Viswanathan D</t>
  </si>
  <si>
    <t xml:space="preserve">Rajendiran E</t>
  </si>
  <si>
    <t xml:space="preserve">Tamilarasi D</t>
  </si>
  <si>
    <t xml:space="preserve">Gunaseelan V</t>
  </si>
  <si>
    <t xml:space="preserve">Kamalakkannan J</t>
  </si>
  <si>
    <t xml:space="preserve">Devendiran A</t>
  </si>
  <si>
    <t xml:space="preserve">Ponnan T</t>
  </si>
  <si>
    <t xml:space="preserve">Rajasekar K</t>
  </si>
  <si>
    <t xml:space="preserve">Sivalingam R</t>
  </si>
  <si>
    <t xml:space="preserve">Sivamark K</t>
  </si>
  <si>
    <t xml:space="preserve">Elumalai C A</t>
  </si>
  <si>
    <t xml:space="preserve">Vaithilingam (A) Vaithiraja P</t>
  </si>
  <si>
    <t xml:space="preserve">Nagaraajan P</t>
  </si>
  <si>
    <t xml:space="preserve">Elumalai B</t>
  </si>
  <si>
    <t xml:space="preserve">Vinayagamoorthy S</t>
  </si>
  <si>
    <t xml:space="preserve">Vasanthi</t>
  </si>
  <si>
    <t xml:space="preserve">Haridoss D</t>
  </si>
  <si>
    <t xml:space="preserve">Sankar M P</t>
  </si>
  <si>
    <t xml:space="preserve">Radhika R</t>
  </si>
  <si>
    <t xml:space="preserve">Venugopal M</t>
  </si>
  <si>
    <t xml:space="preserve">Janakiraman I</t>
  </si>
  <si>
    <t xml:space="preserve">Pushparaj S</t>
  </si>
  <si>
    <t xml:space="preserve">Vetrivendan D</t>
  </si>
  <si>
    <t xml:space="preserve">Ramamoorthy N</t>
  </si>
  <si>
    <t xml:space="preserve">Devi D</t>
  </si>
  <si>
    <t xml:space="preserve">Shanmugam C V</t>
  </si>
  <si>
    <t xml:space="preserve">Arokiyasamy C</t>
  </si>
  <si>
    <t xml:space="preserve">Srinivasan K</t>
  </si>
  <si>
    <t xml:space="preserve">Mohamed Ali Jinna M</t>
  </si>
  <si>
    <t xml:space="preserve">Ramamoorthi K</t>
  </si>
  <si>
    <t xml:space="preserve">Kannadhsan A</t>
  </si>
  <si>
    <t xml:space="preserve">Kamalakkannan M</t>
  </si>
  <si>
    <t xml:space="preserve">Venkatesan L</t>
  </si>
  <si>
    <t xml:space="preserve">Thangam M</t>
  </si>
  <si>
    <t xml:space="preserve">Venkatesan V</t>
  </si>
  <si>
    <t xml:space="preserve">Venkatesan S S</t>
  </si>
  <si>
    <t xml:space="preserve">Periyasamy C</t>
  </si>
  <si>
    <t xml:space="preserve">Mohamedyousuf M</t>
  </si>
  <si>
    <t xml:space="preserve">Chandirasekaran N</t>
  </si>
  <si>
    <t xml:space="preserve">Anbu A</t>
  </si>
  <si>
    <t xml:space="preserve">Jagateesan L</t>
  </si>
  <si>
    <t xml:space="preserve">Sivaraj S</t>
  </si>
  <si>
    <t xml:space="preserve">Vijayakanth M</t>
  </si>
  <si>
    <t xml:space="preserve">Natarajan P</t>
  </si>
  <si>
    <t xml:space="preserve">Ramajayam M</t>
  </si>
  <si>
    <t xml:space="preserve">Venkatesan S</t>
  </si>
  <si>
    <t xml:space="preserve">Jayaverma K</t>
  </si>
  <si>
    <t xml:space="preserve">Kumar P</t>
  </si>
  <si>
    <t xml:space="preserve">Alaguvelu K</t>
  </si>
  <si>
    <t xml:space="preserve">Pavarasu A C</t>
  </si>
  <si>
    <t xml:space="preserve">Natesan K</t>
  </si>
  <si>
    <t xml:space="preserve">Arivukkarasu K</t>
  </si>
  <si>
    <t xml:space="preserve">Senthilkumar M</t>
  </si>
  <si>
    <t xml:space="preserve">K Tamil Azhagan</t>
  </si>
  <si>
    <t xml:space="preserve">M Sinthanaiselevan</t>
  </si>
  <si>
    <t xml:space="preserve">P Palaniammal</t>
  </si>
  <si>
    <t xml:space="preserve">C Ulaganathan</t>
  </si>
  <si>
    <t xml:space="preserve">T Elangovan</t>
  </si>
  <si>
    <t xml:space="preserve">V Muthukumar</t>
  </si>
  <si>
    <t xml:space="preserve">T Neethirajan</t>
  </si>
  <si>
    <t xml:space="preserve">R Krishnamoorthy</t>
  </si>
  <si>
    <t xml:space="preserve">K Rajendiran</t>
  </si>
  <si>
    <t xml:space="preserve">S Santhanamoorthi</t>
  </si>
  <si>
    <t xml:space="preserve">M P S Sivasubramaniyan</t>
  </si>
  <si>
    <t xml:space="preserve">M Karpagam</t>
  </si>
  <si>
    <t xml:space="preserve">S Pandian</t>
  </si>
  <si>
    <t xml:space="preserve">P Lily</t>
  </si>
  <si>
    <t xml:space="preserve">P Sivakolunthu</t>
  </si>
  <si>
    <t xml:space="preserve">R Sankar</t>
  </si>
  <si>
    <t xml:space="preserve">M Deiveegadas</t>
  </si>
  <si>
    <t xml:space="preserve">R M Selvakumar</t>
  </si>
  <si>
    <t xml:space="preserve">M C Sampath</t>
  </si>
  <si>
    <t xml:space="preserve">E Pugazhendi</t>
  </si>
  <si>
    <t xml:space="preserve">R Gunasekaran</t>
  </si>
  <si>
    <t xml:space="preserve">S V Rajan</t>
  </si>
  <si>
    <t xml:space="preserve">T E Chithrakala</t>
  </si>
  <si>
    <t xml:space="preserve">M R K Panneerselvam</t>
  </si>
  <si>
    <t xml:space="preserve">R Panneerselvam</t>
  </si>
  <si>
    <t xml:space="preserve">A S Vairakannu</t>
  </si>
  <si>
    <t xml:space="preserve">T S Premalatha</t>
  </si>
  <si>
    <t xml:space="preserve">Selvi R</t>
  </si>
  <si>
    <t xml:space="preserve">T Arivuselvan</t>
  </si>
  <si>
    <t xml:space="preserve">K Murugavel</t>
  </si>
  <si>
    <t xml:space="preserve">A Muthu</t>
  </si>
  <si>
    <t xml:space="preserve">R Kamalakannan</t>
  </si>
  <si>
    <t xml:space="preserve">K Balakrishnan</t>
  </si>
  <si>
    <t xml:space="preserve">Sridhar Vandaiyar</t>
  </si>
  <si>
    <t xml:space="preserve">V Kannan</t>
  </si>
  <si>
    <t xml:space="preserve">R Panneer</t>
  </si>
  <si>
    <t xml:space="preserve">C Vinoba</t>
  </si>
  <si>
    <t xml:space="preserve">D Ravikumar</t>
  </si>
  <si>
    <t xml:space="preserve">L E Nandhakumar</t>
  </si>
  <si>
    <t xml:space="preserve">P K Bakkiyaraj</t>
  </si>
  <si>
    <t xml:space="preserve">R Subha</t>
  </si>
  <si>
    <t xml:space="preserve">J Manimaran</t>
  </si>
  <si>
    <t xml:space="preserve">P Sivakami</t>
  </si>
  <si>
    <t xml:space="preserve">A Murugesan</t>
  </si>
  <si>
    <t xml:space="preserve">Madheswaran S</t>
  </si>
  <si>
    <t xml:space="preserve">Arulkumar N</t>
  </si>
  <si>
    <t xml:space="preserve">Palaniraja K</t>
  </si>
  <si>
    <t xml:space="preserve">Selvam L</t>
  </si>
  <si>
    <t xml:space="preserve">Rajaselvam P</t>
  </si>
  <si>
    <t xml:space="preserve">Maheswaran K</t>
  </si>
  <si>
    <t xml:space="preserve">C Krishnan</t>
  </si>
  <si>
    <t xml:space="preserve">A Tamizharasu</t>
  </si>
  <si>
    <t xml:space="preserve">B Sivaram</t>
  </si>
  <si>
    <t xml:space="preserve">S Kandasami</t>
  </si>
  <si>
    <t xml:space="preserve">P Ramachandiran</t>
  </si>
  <si>
    <t xml:space="preserve">Padmarajan K</t>
  </si>
  <si>
    <t xml:space="preserve">Pakkiyam A</t>
  </si>
  <si>
    <t xml:space="preserve">Senthilkumar R</t>
  </si>
  <si>
    <t xml:space="preserve">Karthe M</t>
  </si>
  <si>
    <t xml:space="preserve">Purusothaman N R</t>
  </si>
  <si>
    <t xml:space="preserve">Thangaraj B</t>
  </si>
  <si>
    <t xml:space="preserve">Vijayalakshmi Palanisamy P</t>
  </si>
  <si>
    <t xml:space="preserve">Veerapandi S Arumugam</t>
  </si>
  <si>
    <t xml:space="preserve">Boopathy M</t>
  </si>
  <si>
    <t xml:space="preserve">Venkadachalam S K</t>
  </si>
  <si>
    <t xml:space="preserve">Elumalai K K</t>
  </si>
  <si>
    <t xml:space="preserve">APM</t>
  </si>
  <si>
    <t xml:space="preserve">Annadurai A</t>
  </si>
  <si>
    <t xml:space="preserve">Balaji K R</t>
  </si>
  <si>
    <t xml:space="preserve">Alagapuram R Mohanraj</t>
  </si>
  <si>
    <t xml:space="preserve">Jayaprakash G</t>
  </si>
  <si>
    <t xml:space="preserve">Chinnusamy C</t>
  </si>
  <si>
    <t xml:space="preserve">Mohan D</t>
  </si>
  <si>
    <t xml:space="preserve">Selvaraju M K</t>
  </si>
  <si>
    <t xml:space="preserve">Sivalingam S R</t>
  </si>
  <si>
    <t xml:space="preserve">UCPI</t>
  </si>
  <si>
    <t xml:space="preserve">Mahalingam N</t>
  </si>
  <si>
    <t xml:space="preserve">Sivanandham M R</t>
  </si>
  <si>
    <t xml:space="preserve">Selvam S K</t>
  </si>
  <si>
    <t xml:space="preserve">Vaithi M</t>
  </si>
  <si>
    <t xml:space="preserve">Tamizharasan K</t>
  </si>
  <si>
    <t xml:space="preserve">Rajarathinam R</t>
  </si>
  <si>
    <t xml:space="preserve">Murugan L</t>
  </si>
  <si>
    <t xml:space="preserve">Periasamy S</t>
  </si>
  <si>
    <t xml:space="preserve">Rangarasu V</t>
  </si>
  <si>
    <t xml:space="preserve">Santhi R</t>
  </si>
  <si>
    <t xml:space="preserve">Santhi T</t>
  </si>
  <si>
    <t xml:space="preserve">Ambala Ponnusamy</t>
  </si>
  <si>
    <t xml:space="preserve">Palanisamy V</t>
  </si>
  <si>
    <t xml:space="preserve">KNMK</t>
  </si>
  <si>
    <t xml:space="preserve">Devarasan R</t>
  </si>
  <si>
    <t xml:space="preserve">Sathyamoorthy C</t>
  </si>
  <si>
    <t xml:space="preserve">Palaniappan K</t>
  </si>
  <si>
    <t xml:space="preserve">Arjunan S</t>
  </si>
  <si>
    <t xml:space="preserve">Vadivel C</t>
  </si>
  <si>
    <t xml:space="preserve">Vaithiyanathan V</t>
  </si>
  <si>
    <t xml:space="preserve">Sivasankar A</t>
  </si>
  <si>
    <t xml:space="preserve">P Sampath Kumar</t>
  </si>
  <si>
    <t xml:space="preserve">M R Sundaram</t>
  </si>
  <si>
    <t xml:space="preserve">S Selvaraj</t>
  </si>
  <si>
    <t xml:space="preserve">R Tamilarasu</t>
  </si>
  <si>
    <t xml:space="preserve">G Selvaraju</t>
  </si>
  <si>
    <t xml:space="preserve">K S Balamurugan</t>
  </si>
  <si>
    <t xml:space="preserve">S Thangamani</t>
  </si>
  <si>
    <t xml:space="preserve">K Venugopal</t>
  </si>
  <si>
    <t xml:space="preserve">VC Chandirakumar</t>
  </si>
  <si>
    <t xml:space="preserve">Minnal Murugash R</t>
  </si>
  <si>
    <t xml:space="preserve">K V Ramalingam</t>
  </si>
  <si>
    <t xml:space="preserve">Yuvaraja M</t>
  </si>
  <si>
    <t xml:space="preserve">Venkatachalam K</t>
  </si>
  <si>
    <t xml:space="preserve">Tamilarasu M</t>
  </si>
  <si>
    <t xml:space="preserve">Kittusamy R N</t>
  </si>
  <si>
    <t xml:space="preserve">Palanisami R M</t>
  </si>
  <si>
    <t xml:space="preserve">Kathirvel T</t>
  </si>
  <si>
    <t xml:space="preserve">Devendiran K</t>
  </si>
  <si>
    <t xml:space="preserve">Govanam Thangavel K S</t>
  </si>
  <si>
    <t xml:space="preserve">Jayanthi R</t>
  </si>
  <si>
    <t xml:space="preserve">Karunakaran P</t>
  </si>
  <si>
    <t xml:space="preserve">Nataraj Nsn</t>
  </si>
  <si>
    <t xml:space="preserve">Videyal Sekar S</t>
  </si>
  <si>
    <t xml:space="preserve">Ponnusamy C</t>
  </si>
  <si>
    <t xml:space="preserve">Rajamanickam N</t>
  </si>
  <si>
    <t xml:space="preserve">Periyasamy P K</t>
  </si>
  <si>
    <t xml:space="preserve">Kkc Balu</t>
  </si>
  <si>
    <t xml:space="preserve">Anbazhagan G</t>
  </si>
  <si>
    <t xml:space="preserve">Antony Peter L</t>
  </si>
  <si>
    <t xml:space="preserve">JD(U)</t>
  </si>
  <si>
    <t xml:space="preserve">Narayanan P G</t>
  </si>
  <si>
    <t xml:space="preserve">Mahendran K S</t>
  </si>
  <si>
    <t xml:space="preserve">Shithi Vinayagan K A</t>
  </si>
  <si>
    <t xml:space="preserve">Kumar M</t>
  </si>
  <si>
    <t xml:space="preserve">Ramanitharan S S</t>
  </si>
  <si>
    <t xml:space="preserve">Raaja N K K P</t>
  </si>
  <si>
    <t xml:space="preserve">Pongiyia Gounder K</t>
  </si>
  <si>
    <t xml:space="preserve">Bargunan A P S</t>
  </si>
  <si>
    <t xml:space="preserve">Sheikdavood A M</t>
  </si>
  <si>
    <t xml:space="preserve">Venkatachalam C S</t>
  </si>
  <si>
    <t xml:space="preserve">Sennayyan N</t>
  </si>
  <si>
    <t xml:space="preserve">Ravisekaran R</t>
  </si>
  <si>
    <t xml:space="preserve">Logeswari R</t>
  </si>
  <si>
    <t xml:space="preserve">Palaniswami R</t>
  </si>
  <si>
    <t xml:space="preserve">Jayaraman J</t>
  </si>
  <si>
    <t xml:space="preserve">Arumugam S R</t>
  </si>
  <si>
    <t xml:space="preserve">Budhichandhiran M</t>
  </si>
  <si>
    <t xml:space="preserve">Selvaraj D</t>
  </si>
  <si>
    <t xml:space="preserve">Inthira Raj J</t>
  </si>
  <si>
    <t xml:space="preserve">Anbarasan D</t>
  </si>
  <si>
    <t xml:space="preserve">Viswanathan S</t>
  </si>
  <si>
    <t xml:space="preserve">Senthilkumar K</t>
  </si>
  <si>
    <t xml:space="preserve">Ramachandran K</t>
  </si>
  <si>
    <t xml:space="preserve">Bellie A</t>
  </si>
  <si>
    <t xml:space="preserve">Alwas M</t>
  </si>
  <si>
    <t xml:space="preserve">Jothilingam R</t>
  </si>
  <si>
    <t xml:space="preserve">Arunkumar B</t>
  </si>
  <si>
    <t xml:space="preserve">Nandhakumar K R</t>
  </si>
  <si>
    <t xml:space="preserve">CPI(ML)(L)</t>
  </si>
  <si>
    <t xml:space="preserve">Janaki Raman R</t>
  </si>
  <si>
    <t xml:space="preserve">Ravichandran B</t>
  </si>
  <si>
    <t xml:space="preserve">Karuppasamy M A</t>
  </si>
  <si>
    <t xml:space="preserve">Natarajan A R</t>
  </si>
  <si>
    <t xml:space="preserve">Rangasamy R</t>
  </si>
  <si>
    <t xml:space="preserve">Jaya V</t>
  </si>
  <si>
    <t xml:space="preserve">Moorthy R</t>
  </si>
  <si>
    <t xml:space="preserve">Anandan M S M</t>
  </si>
  <si>
    <t xml:space="preserve">Govindasamy C</t>
  </si>
  <si>
    <t xml:space="preserve">Parthiban A</t>
  </si>
  <si>
    <t xml:space="preserve">Krishnasamy P</t>
  </si>
  <si>
    <t xml:space="preserve">Pointmani N</t>
  </si>
  <si>
    <t xml:space="preserve">Mohmedamanulla M</t>
  </si>
  <si>
    <t xml:space="preserve">Maswooth L M</t>
  </si>
  <si>
    <t xml:space="preserve">Paramasivam K P</t>
  </si>
  <si>
    <t xml:space="preserve">Balasubramanian K</t>
  </si>
  <si>
    <t xml:space="preserve">Shanmuuga Sundaram M</t>
  </si>
  <si>
    <t xml:space="preserve">Annadurai R</t>
  </si>
  <si>
    <t xml:space="preserve">Eswaran E R</t>
  </si>
  <si>
    <t xml:space="preserve">Dhinakaran K</t>
  </si>
  <si>
    <t xml:space="preserve">Karthikeyan Pon</t>
  </si>
  <si>
    <t xml:space="preserve">Subramanian T P</t>
  </si>
  <si>
    <t xml:space="preserve">Ganesan D</t>
  </si>
  <si>
    <t xml:space="preserve">Vasanthakumar D</t>
  </si>
  <si>
    <t xml:space="preserve">Malaravan T</t>
  </si>
  <si>
    <t xml:space="preserve">Veeragopal M</t>
  </si>
  <si>
    <t xml:space="preserve">Subbian G M</t>
  </si>
  <si>
    <t xml:space="preserve">Durairaj K</t>
  </si>
  <si>
    <t xml:space="preserve">Sathish Kumar T</t>
  </si>
  <si>
    <t xml:space="preserve">Kandaswamy M N</t>
  </si>
  <si>
    <t xml:space="preserve">Shridhar Murthy A</t>
  </si>
  <si>
    <t xml:space="preserve">Ummar Kathap T M</t>
  </si>
  <si>
    <t xml:space="preserve">Jagadeesan Tmt Kannammal</t>
  </si>
  <si>
    <t xml:space="preserve">Doraiswamy R Alias Challenger Dorai</t>
  </si>
  <si>
    <t xml:space="preserve">Pongalur Palanisamy N</t>
  </si>
  <si>
    <t xml:space="preserve">Nandha Kumar C R</t>
  </si>
  <si>
    <t xml:space="preserve">Vijay Anand M</t>
  </si>
  <si>
    <t xml:space="preserve">Eswaran G R</t>
  </si>
  <si>
    <t xml:space="preserve">Mayura S Jayakumar</t>
  </si>
  <si>
    <t xml:space="preserve">Dhandapani P</t>
  </si>
  <si>
    <t xml:space="preserve">Vashan V V</t>
  </si>
  <si>
    <t xml:space="preserve">Damodaran S</t>
  </si>
  <si>
    <t xml:space="preserve">M Kannappan</t>
  </si>
  <si>
    <t xml:space="preserve">Dharmalingam K</t>
  </si>
  <si>
    <t xml:space="preserve">Ilango Dr B</t>
  </si>
  <si>
    <t xml:space="preserve">Nagaraj S</t>
  </si>
  <si>
    <t xml:space="preserve">M K Muthukaruppannasamy</t>
  </si>
  <si>
    <t xml:space="preserve">K Nityanandhan</t>
  </si>
  <si>
    <t xml:space="preserve">V K Ragunathan</t>
  </si>
  <si>
    <t xml:space="preserve">M Kalimuthu</t>
  </si>
  <si>
    <t xml:space="preserve">N Praveen Kumar</t>
  </si>
  <si>
    <t xml:space="preserve">Arumugham M</t>
  </si>
  <si>
    <t xml:space="preserve">Kovaithangam M</t>
  </si>
  <si>
    <t xml:space="preserve">Rangasami M</t>
  </si>
  <si>
    <t xml:space="preserve">Pollachi Jayaraman V</t>
  </si>
  <si>
    <t xml:space="preserve">Ilamparrithi T</t>
  </si>
  <si>
    <t xml:space="preserve">Viswanathan M</t>
  </si>
  <si>
    <t xml:space="preserve">Venkatachalam M</t>
  </si>
  <si>
    <t xml:space="preserve">Jayaraman K</t>
  </si>
  <si>
    <t xml:space="preserve">M P Saminathan</t>
  </si>
  <si>
    <t xml:space="preserve">D Varadharajan</t>
  </si>
  <si>
    <t xml:space="preserve">R Vijayaragavan</t>
  </si>
  <si>
    <t xml:space="preserve">P Nandakumar</t>
  </si>
  <si>
    <t xml:space="preserve">Venugopalu K S N</t>
  </si>
  <si>
    <t xml:space="preserve">Deenadayalan K</t>
  </si>
  <si>
    <t xml:space="preserve">Vengudusamy A</t>
  </si>
  <si>
    <t xml:space="preserve">Baalasubramani P</t>
  </si>
  <si>
    <t xml:space="preserve">Velkumar P</t>
  </si>
  <si>
    <t xml:space="preserve">Pitchai Muthu R</t>
  </si>
  <si>
    <t xml:space="preserve">Balasubramani S</t>
  </si>
  <si>
    <t xml:space="preserve">Raja T</t>
  </si>
  <si>
    <t xml:space="preserve">Bharanidharan J</t>
  </si>
  <si>
    <t xml:space="preserve">Ramasamy A</t>
  </si>
  <si>
    <t xml:space="preserve">Rajangam K</t>
  </si>
  <si>
    <t xml:space="preserve">Johnpandian B</t>
  </si>
  <si>
    <t xml:space="preserve">Chinnappan @ Rajendran V</t>
  </si>
  <si>
    <t xml:space="preserve">LJP</t>
  </si>
  <si>
    <t xml:space="preserve">Viswanathan R</t>
  </si>
  <si>
    <t xml:space="preserve">Vijayan K</t>
  </si>
  <si>
    <t xml:space="preserve">Durai K</t>
  </si>
  <si>
    <t xml:space="preserve">Balabharathi K</t>
  </si>
  <si>
    <t xml:space="preserve">Paul Baskar J</t>
  </si>
  <si>
    <t xml:space="preserve">Bose P G</t>
  </si>
  <si>
    <t xml:space="preserve">ABHM</t>
  </si>
  <si>
    <t xml:space="preserve">Palanichamy M</t>
  </si>
  <si>
    <t xml:space="preserve">Palanichamy S</t>
  </si>
  <si>
    <t xml:space="preserve">Dhandapani M</t>
  </si>
  <si>
    <t xml:space="preserve">Varatharaj P</t>
  </si>
  <si>
    <t xml:space="preserve">Rajan N</t>
  </si>
  <si>
    <t xml:space="preserve">Pallanishamy K C</t>
  </si>
  <si>
    <t xml:space="preserve">Senthilnathan V</t>
  </si>
  <si>
    <t xml:space="preserve">Vijayakumar R</t>
  </si>
  <si>
    <t xml:space="preserve">Jagadeesan N</t>
  </si>
  <si>
    <t xml:space="preserve">Marimuthu C</t>
  </si>
  <si>
    <t xml:space="preserve">Senthil Balaji V</t>
  </si>
  <si>
    <t xml:space="preserve">Jothi Mani S</t>
  </si>
  <si>
    <t xml:space="preserve">Sivamani S</t>
  </si>
  <si>
    <t xml:space="preserve">PPIS</t>
  </si>
  <si>
    <t xml:space="preserve">Ashokkumar B</t>
  </si>
  <si>
    <t xml:space="preserve">Aadhikrishnan P</t>
  </si>
  <si>
    <t xml:space="preserve">Senthilkumar V</t>
  </si>
  <si>
    <t xml:space="preserve">Sudhakar K</t>
  </si>
  <si>
    <t xml:space="preserve">Pappasundaram A</t>
  </si>
  <si>
    <t xml:space="preserve">Manickam R</t>
  </si>
  <si>
    <t xml:space="preserve">Dhanasekaran A</t>
  </si>
  <si>
    <t xml:space="preserve">Chinnasami K V</t>
  </si>
  <si>
    <t xml:space="preserve">Prakashkanna R</t>
  </si>
  <si>
    <t xml:space="preserve">Chandra Sekar R</t>
  </si>
  <si>
    <t xml:space="preserve">Subbha Somu</t>
  </si>
  <si>
    <t xml:space="preserve">Vincent De Paul Y</t>
  </si>
  <si>
    <t xml:space="preserve">J Jayalalithaa</t>
  </si>
  <si>
    <t xml:space="preserve">N Anand</t>
  </si>
  <si>
    <t xml:space="preserve">Arivalagon K A S</t>
  </si>
  <si>
    <t xml:space="preserve">Tamilarasi V</t>
  </si>
  <si>
    <t xml:space="preserve">Natarajan S</t>
  </si>
  <si>
    <t xml:space="preserve">N Mariam Pitchai</t>
  </si>
  <si>
    <t xml:space="preserve">K N Nehru</t>
  </si>
  <si>
    <t xml:space="preserve">R Thirumalai</t>
  </si>
  <si>
    <t xml:space="preserve">L Venkatachalam</t>
  </si>
  <si>
    <t xml:space="preserve">Anbil Periyasamy</t>
  </si>
  <si>
    <t xml:space="preserve">Manoj Kumar S</t>
  </si>
  <si>
    <t xml:space="preserve">Elango N M</t>
  </si>
  <si>
    <t xml:space="preserve">K N Seharan</t>
  </si>
  <si>
    <t xml:space="preserve">A Edwin Jerald</t>
  </si>
  <si>
    <t xml:space="preserve">V Sundarrajan</t>
  </si>
  <si>
    <t xml:space="preserve">I Syed Mohammed Abuthagir</t>
  </si>
  <si>
    <t xml:space="preserve">Sendhureswaran A D</t>
  </si>
  <si>
    <t xml:space="preserve">Parkkavan Pachamuthu P</t>
  </si>
  <si>
    <t xml:space="preserve">Lohithasan M S</t>
  </si>
  <si>
    <t xml:space="preserve">Thangamani K</t>
  </si>
  <si>
    <t xml:space="preserve">Poonachi T P</t>
  </si>
  <si>
    <t xml:space="preserve">Selvaraj N</t>
  </si>
  <si>
    <t xml:space="preserve">Subramaniam M</t>
  </si>
  <si>
    <t xml:space="preserve">Rethinakumar G</t>
  </si>
  <si>
    <t xml:space="preserve">Anbalagan V</t>
  </si>
  <si>
    <t xml:space="preserve">N R Sivapathy</t>
  </si>
  <si>
    <t xml:space="preserve">M Rajasekharan</t>
  </si>
  <si>
    <t xml:space="preserve">K Kanniyan</t>
  </si>
  <si>
    <t xml:space="preserve">S P Rajendran</t>
  </si>
  <si>
    <t xml:space="preserve">K Panneerselvam</t>
  </si>
  <si>
    <t xml:space="preserve">Indraganthi T</t>
  </si>
  <si>
    <t xml:space="preserve">Parimala Devi S</t>
  </si>
  <si>
    <t xml:space="preserve">S Rengaraji</t>
  </si>
  <si>
    <t xml:space="preserve">V Ganesan</t>
  </si>
  <si>
    <t xml:space="preserve">A Dharmalingam</t>
  </si>
  <si>
    <t xml:space="preserve">Tamizhselvan R</t>
  </si>
  <si>
    <t xml:space="preserve">Prabhaharan M</t>
  </si>
  <si>
    <t xml:space="preserve">Jayabalaji J</t>
  </si>
  <si>
    <t xml:space="preserve">Ravichandran S</t>
  </si>
  <si>
    <t xml:space="preserve">Durai Kamaraj</t>
  </si>
  <si>
    <t xml:space="preserve">Jayaseelan P</t>
  </si>
  <si>
    <t xml:space="preserve">Ponnivalavan P</t>
  </si>
  <si>
    <t xml:space="preserve">Baskaran T</t>
  </si>
  <si>
    <t xml:space="preserve">Manivel Durai</t>
  </si>
  <si>
    <t xml:space="preserve">Amaramoorthy D</t>
  </si>
  <si>
    <t xml:space="preserve">Baskar C</t>
  </si>
  <si>
    <t xml:space="preserve">Panneerselvam R</t>
  </si>
  <si>
    <t xml:space="preserve">Abirami P</t>
  </si>
  <si>
    <t xml:space="preserve">Elavazhagan P</t>
  </si>
  <si>
    <t xml:space="preserve">Ramachandran G</t>
  </si>
  <si>
    <t xml:space="preserve">Vadivel V</t>
  </si>
  <si>
    <t xml:space="preserve">Sakthi M</t>
  </si>
  <si>
    <t xml:space="preserve">Durairajan P</t>
  </si>
  <si>
    <t xml:space="preserve">Kalaivani P</t>
  </si>
  <si>
    <t xml:space="preserve">Kanivannan M</t>
  </si>
  <si>
    <t xml:space="preserve">Kumararaja S</t>
  </si>
  <si>
    <t xml:space="preserve">R Arulselvan</t>
  </si>
  <si>
    <t xml:space="preserve">B Manimaran</t>
  </si>
  <si>
    <t xml:space="preserve">G Sethuraman</t>
  </si>
  <si>
    <t xml:space="preserve">S Mathiyazhagan</t>
  </si>
  <si>
    <t xml:space="preserve">Agoram K</t>
  </si>
  <si>
    <t xml:space="preserve">Mohamed Tharik M Y</t>
  </si>
  <si>
    <t xml:space="preserve">Balasubramanian R</t>
  </si>
  <si>
    <t xml:space="preserve">Dhakshinamoorthy M</t>
  </si>
  <si>
    <t xml:space="preserve">K A Jayapal</t>
  </si>
  <si>
    <t xml:space="preserve">Mohamed Sheik Dawood</t>
  </si>
  <si>
    <t xml:space="preserve">M Muruganantham</t>
  </si>
  <si>
    <t xml:space="preserve">Jagabar Sathick A</t>
  </si>
  <si>
    <t xml:space="preserve">Mahalingam P</t>
  </si>
  <si>
    <t xml:space="preserve">Devaki G</t>
  </si>
  <si>
    <t xml:space="preserve">Shajahan J</t>
  </si>
  <si>
    <t xml:space="preserve">Selvarasu T</t>
  </si>
  <si>
    <t xml:space="preserve">N V Kamaraj</t>
  </si>
  <si>
    <t xml:space="preserve">S K Vedarathinam</t>
  </si>
  <si>
    <t xml:space="preserve">R Chinnathurai</t>
  </si>
  <si>
    <t xml:space="preserve">K Jegan</t>
  </si>
  <si>
    <t xml:space="preserve">G Shanmugavel</t>
  </si>
  <si>
    <t xml:space="preserve">K Ulaganathan</t>
  </si>
  <si>
    <t xml:space="preserve">P Selvadurai</t>
  </si>
  <si>
    <t xml:space="preserve">P Sivashanmugam</t>
  </si>
  <si>
    <t xml:space="preserve">S Saravanan</t>
  </si>
  <si>
    <t xml:space="preserve">Rajamanickam Siva</t>
  </si>
  <si>
    <t xml:space="preserve">Jayachandran M</t>
  </si>
  <si>
    <t xml:space="preserve">Vasudevan P</t>
  </si>
  <si>
    <t xml:space="preserve">Vetrivel K</t>
  </si>
  <si>
    <t xml:space="preserve">Sriramachandran Pn</t>
  </si>
  <si>
    <t xml:space="preserve">Pingalan R</t>
  </si>
  <si>
    <t xml:space="preserve">Mutharasan S</t>
  </si>
  <si>
    <t xml:space="preserve">Elangovan R</t>
  </si>
  <si>
    <t xml:space="preserve">Ganesan G</t>
  </si>
  <si>
    <t xml:space="preserve">Immanuvel T</t>
  </si>
  <si>
    <t xml:space="preserve">Panasaiarangan K N</t>
  </si>
  <si>
    <t xml:space="preserve">Pandiyarajan T</t>
  </si>
  <si>
    <t xml:space="preserve">Kudanthai Arasan</t>
  </si>
  <si>
    <t xml:space="preserve">Ravi Chandran S</t>
  </si>
  <si>
    <t xml:space="preserve">Rajavelu K</t>
  </si>
  <si>
    <t xml:space="preserve">Eramanathan Rama</t>
  </si>
  <si>
    <t xml:space="preserve">Annamalai Pl</t>
  </si>
  <si>
    <t xml:space="preserve">Dhasnamurthi M B S</t>
  </si>
  <si>
    <t xml:space="preserve">Rajkumar G</t>
  </si>
  <si>
    <t xml:space="preserve">R Doraikkannu</t>
  </si>
  <si>
    <t xml:space="preserve">T Mahendren</t>
  </si>
  <si>
    <t xml:space="preserve">P A Mohamed Gani</t>
  </si>
  <si>
    <t xml:space="preserve">K Sambavaidyanathan</t>
  </si>
  <si>
    <t xml:space="preserve">M Rethinasami</t>
  </si>
  <si>
    <t xml:space="preserve">S Aranganathan</t>
  </si>
  <si>
    <t xml:space="preserve">G Muthukumar</t>
  </si>
  <si>
    <t xml:space="preserve">D Rajesh Kannan</t>
  </si>
  <si>
    <t xml:space="preserve">J Sivakumar</t>
  </si>
  <si>
    <t xml:space="preserve">S N M Ubayadullah</t>
  </si>
  <si>
    <t xml:space="preserve">M S Ramalingam</t>
  </si>
  <si>
    <t xml:space="preserve">P Rayar Victor Arokiyaraj</t>
  </si>
  <si>
    <t xml:space="preserve">K Muthukumaran</t>
  </si>
  <si>
    <t xml:space="preserve">T Mahesh Krishanasamy</t>
  </si>
  <si>
    <t xml:space="preserve">A Arokiyasamy</t>
  </si>
  <si>
    <t xml:space="preserve">P Murugaiyan</t>
  </si>
  <si>
    <t xml:space="preserve">A Jayabal</t>
  </si>
  <si>
    <t xml:space="preserve">N R Rengarajan</t>
  </si>
  <si>
    <t xml:space="preserve">N Senthilkumar</t>
  </si>
  <si>
    <t xml:space="preserve">A R M Yoganandam</t>
  </si>
  <si>
    <t xml:space="preserve">V Murali Ganesh</t>
  </si>
  <si>
    <t xml:space="preserve">C Arunpandian</t>
  </si>
  <si>
    <t xml:space="preserve">K Mahendran</t>
  </si>
  <si>
    <t xml:space="preserve">S V Thirugnana Sambandam</t>
  </si>
  <si>
    <t xml:space="preserve">V Subramaniyan</t>
  </si>
  <si>
    <t xml:space="preserve">K Thangamuthu</t>
  </si>
  <si>
    <t xml:space="preserve">Kavithaipithan S</t>
  </si>
  <si>
    <t xml:space="preserve">Selvarani R</t>
  </si>
  <si>
    <t xml:space="preserve">Rethinam V</t>
  </si>
  <si>
    <t xml:space="preserve">Murugesan M</t>
  </si>
  <si>
    <t xml:space="preserve">Vijaya Basker C</t>
  </si>
  <si>
    <t xml:space="preserve">Savarimuthu Y</t>
  </si>
  <si>
    <t xml:space="preserve">Alagu P</t>
  </si>
  <si>
    <t xml:space="preserve">Muthukumaran P</t>
  </si>
  <si>
    <t xml:space="preserve">Srinivasan N</t>
  </si>
  <si>
    <t xml:space="preserve">Bharathan V</t>
  </si>
  <si>
    <t xml:space="preserve">Selvam Pala</t>
  </si>
  <si>
    <t xml:space="preserve">Vairamuthu P K</t>
  </si>
  <si>
    <t xml:space="preserve">Subburam RM</t>
  </si>
  <si>
    <t xml:space="preserve">Ilango R</t>
  </si>
  <si>
    <t xml:space="preserve">Radhakrishnan A</t>
  </si>
  <si>
    <t xml:space="preserve">Krishnan Kupa</t>
  </si>
  <si>
    <t xml:space="preserve">Rajapandiyan A V</t>
  </si>
  <si>
    <t xml:space="preserve">Saravanan A</t>
  </si>
  <si>
    <t xml:space="preserve">Jeganathan S</t>
  </si>
  <si>
    <t xml:space="preserve">Raja Nayagam M</t>
  </si>
  <si>
    <t xml:space="preserve">Thirunavukkarasar Su</t>
  </si>
  <si>
    <t xml:space="preserve">Shariff Km</t>
  </si>
  <si>
    <t xml:space="preserve">Appa Durai S</t>
  </si>
  <si>
    <t xml:space="preserve">Sabapathi K</t>
  </si>
  <si>
    <t xml:space="preserve">Palanichamy Cholan Ct</t>
  </si>
  <si>
    <t xml:space="preserve">Asaithambi S</t>
  </si>
  <si>
    <t xml:space="preserve">Baluswamy N</t>
  </si>
  <si>
    <t xml:space="preserve">Periyakaruppan Kr</t>
  </si>
  <si>
    <t xml:space="preserve">Raja Kannappan Rs</t>
  </si>
  <si>
    <t xml:space="preserve">Manickavalli M</t>
  </si>
  <si>
    <t xml:space="preserve">Singaravelu M</t>
  </si>
  <si>
    <t xml:space="preserve">Sheik Dawood M</t>
  </si>
  <si>
    <t xml:space="preserve">Rajasekaran V</t>
  </si>
  <si>
    <t xml:space="preserve">Rajendran P M</t>
  </si>
  <si>
    <t xml:space="preserve">Kulanthisamy C</t>
  </si>
  <si>
    <t xml:space="preserve">Tamilarasi A</t>
  </si>
  <si>
    <t xml:space="preserve">Murugavelrajan K</t>
  </si>
  <si>
    <t xml:space="preserve">Velmurugan O</t>
  </si>
  <si>
    <t xml:space="preserve">Viswanatha Gopalan V</t>
  </si>
  <si>
    <t xml:space="preserve">Samy R</t>
  </si>
  <si>
    <t xml:space="preserve">Rani R</t>
  </si>
  <si>
    <t xml:space="preserve">Dharmalingam P V</t>
  </si>
  <si>
    <t xml:space="preserve">Sarasukumar Vaira</t>
  </si>
  <si>
    <t xml:space="preserve">Gopalakrishnan M</t>
  </si>
  <si>
    <t xml:space="preserve">Tamilarasan K</t>
  </si>
  <si>
    <t xml:space="preserve">Srinivasan K M</t>
  </si>
  <si>
    <t xml:space="preserve">Gnanesekaran K G</t>
  </si>
  <si>
    <t xml:space="preserve">Karuppiah M V</t>
  </si>
  <si>
    <t xml:space="preserve">Ilanseliyan M</t>
  </si>
  <si>
    <t xml:space="preserve">Palanivelswamy S</t>
  </si>
  <si>
    <t xml:space="preserve">Veeran A</t>
  </si>
  <si>
    <t xml:space="preserve">Vazhipiranthal M</t>
  </si>
  <si>
    <t xml:space="preserve">Bose A K</t>
  </si>
  <si>
    <t xml:space="preserve">Rajendran K S K</t>
  </si>
  <si>
    <t xml:space="preserve">Kumaralingam M</t>
  </si>
  <si>
    <t xml:space="preserve">Jeyachandran S</t>
  </si>
  <si>
    <t xml:space="preserve">Varadharajan S P</t>
  </si>
  <si>
    <t xml:space="preserve">Anuppanadi Jeya K</t>
  </si>
  <si>
    <t xml:space="preserve">Santharam N S R</t>
  </si>
  <si>
    <t xml:space="preserve">Josephine Mary A</t>
  </si>
  <si>
    <t xml:space="preserve">Sundarrajan R</t>
  </si>
  <si>
    <t xml:space="preserve">Syed Ghouse Basha S</t>
  </si>
  <si>
    <t xml:space="preserve">Muthuraj K M</t>
  </si>
  <si>
    <t xml:space="preserve">Rajarathinam M</t>
  </si>
  <si>
    <t xml:space="preserve">Paul Pandi M</t>
  </si>
  <si>
    <t xml:space="preserve">Raja A K T</t>
  </si>
  <si>
    <t xml:space="preserve">Sundararajan C R</t>
  </si>
  <si>
    <t xml:space="preserve">Arumugam G</t>
  </si>
  <si>
    <t xml:space="preserve">Kandhan R</t>
  </si>
  <si>
    <t xml:space="preserve">Selvam P</t>
  </si>
  <si>
    <t xml:space="preserve">Muthuramalingam M</t>
  </si>
  <si>
    <t xml:space="preserve">Jayapandi P</t>
  </si>
  <si>
    <t xml:space="preserve">Vaiyadhurai V</t>
  </si>
  <si>
    <t xml:space="preserve">Ramesh Babu M</t>
  </si>
  <si>
    <t xml:space="preserve">Ramasamy S O</t>
  </si>
  <si>
    <t xml:space="preserve">Kannan C</t>
  </si>
  <si>
    <t xml:space="preserve">Mathuran R</t>
  </si>
  <si>
    <t xml:space="preserve">Rajapandi R</t>
  </si>
  <si>
    <t xml:space="preserve">Pitchaimani S</t>
  </si>
  <si>
    <t xml:space="preserve">Laser A</t>
  </si>
  <si>
    <t xml:space="preserve">Anbazhagan V</t>
  </si>
  <si>
    <t xml:space="preserve">Ganapathy M</t>
  </si>
  <si>
    <t xml:space="preserve">Selvam M</t>
  </si>
  <si>
    <t xml:space="preserve">Rajaguru P</t>
  </si>
  <si>
    <t xml:space="preserve">Lakshmanan S</t>
  </si>
  <si>
    <t xml:space="preserve">Veerasamy S N</t>
  </si>
  <si>
    <t xml:space="preserve">Mehalingam P</t>
  </si>
  <si>
    <t xml:space="preserve">Eramakrishnan N</t>
  </si>
  <si>
    <t xml:space="preserve">Abbas Mandhiri R</t>
  </si>
  <si>
    <t xml:space="preserve">Prakash P</t>
  </si>
  <si>
    <t xml:space="preserve">Narayanan S</t>
  </si>
  <si>
    <t xml:space="preserve">K Gopalsamy</t>
  </si>
  <si>
    <t xml:space="preserve">S Thangapandian</t>
  </si>
  <si>
    <t xml:space="preserve">N S Ramakrishnan</t>
  </si>
  <si>
    <t xml:space="preserve">V Murugan</t>
  </si>
  <si>
    <t xml:space="preserve">A Jakir Hussian</t>
  </si>
  <si>
    <t xml:space="preserve">V Ponnupandi</t>
  </si>
  <si>
    <t xml:space="preserve">R V K Durai</t>
  </si>
  <si>
    <t xml:space="preserve">S Chinnapparaj</t>
  </si>
  <si>
    <t xml:space="preserve">I Sundarraj</t>
  </si>
  <si>
    <t xml:space="preserve">M K Ganesan</t>
  </si>
  <si>
    <t xml:space="preserve">R B Uthayakumar</t>
  </si>
  <si>
    <t xml:space="preserve">A Kadarkarairaj</t>
  </si>
  <si>
    <t xml:space="preserve">P Jayasankar</t>
  </si>
  <si>
    <t xml:space="preserve">S Rameshbabu</t>
  </si>
  <si>
    <t xml:space="preserve">K Rajaguru</t>
  </si>
  <si>
    <t xml:space="preserve">Rajenthra Bhalaji K T</t>
  </si>
  <si>
    <t xml:space="preserve">Vanaraja T</t>
  </si>
  <si>
    <t xml:space="preserve">Meera Devi P</t>
  </si>
  <si>
    <t xml:space="preserve">Kamalavel Selvan P</t>
  </si>
  <si>
    <t xml:space="preserve">Balasubramanian P K</t>
  </si>
  <si>
    <t xml:space="preserve">Pandiaranjan K</t>
  </si>
  <si>
    <t xml:space="preserve">Armstrong Naveen T</t>
  </si>
  <si>
    <t xml:space="preserve">Karkuvelmariselvam S</t>
  </si>
  <si>
    <t xml:space="preserve">Murugesan K V</t>
  </si>
  <si>
    <t xml:space="preserve">Vetrivel R</t>
  </si>
  <si>
    <t xml:space="preserve">Jegan</t>
  </si>
  <si>
    <t xml:space="preserve">Esakki Muthu</t>
  </si>
  <si>
    <t xml:space="preserve">Vijaya Ragunathan P</t>
  </si>
  <si>
    <t xml:space="preserve">Ramamoorthy A</t>
  </si>
  <si>
    <t xml:space="preserve">Sundararaj S Dr</t>
  </si>
  <si>
    <t xml:space="preserve">Ramprabu R</t>
  </si>
  <si>
    <t xml:space="preserve">Nagarajan Suba</t>
  </si>
  <si>
    <t xml:space="preserve">Velu V</t>
  </si>
  <si>
    <t xml:space="preserve">Thangavelan Suba</t>
  </si>
  <si>
    <t xml:space="preserve">Mujupur Rahman S</t>
  </si>
  <si>
    <t xml:space="preserve">Pandivelu U</t>
  </si>
  <si>
    <t xml:space="preserve">IDP</t>
  </si>
  <si>
    <t xml:space="preserve">Paulin Tharsis</t>
  </si>
  <si>
    <t xml:space="preserve">Karuppaiah U</t>
  </si>
  <si>
    <t xml:space="preserve">Jawahirulla</t>
  </si>
  <si>
    <t xml:space="preserve">Hasan Ali K</t>
  </si>
  <si>
    <t xml:space="preserve">Raja Hussain K</t>
  </si>
  <si>
    <t xml:space="preserve">Nambukumar N</t>
  </si>
  <si>
    <t xml:space="preserve">Sathiamoorthy V</t>
  </si>
  <si>
    <t xml:space="preserve">Shanmugaraj K</t>
  </si>
  <si>
    <t xml:space="preserve">Chandrasearan T</t>
  </si>
  <si>
    <t xml:space="preserve">Markandayan V</t>
  </si>
  <si>
    <t xml:space="preserve">Perumalsamy K</t>
  </si>
  <si>
    <t xml:space="preserve">Karuthu Maiyanan M</t>
  </si>
  <si>
    <t xml:space="preserve">Manthiramuthu G</t>
  </si>
  <si>
    <t xml:space="preserve">Sundaramoorthy K</t>
  </si>
  <si>
    <t xml:space="preserve">Venkatsh V</t>
  </si>
  <si>
    <t xml:space="preserve">Benedict J</t>
  </si>
  <si>
    <t xml:space="preserve">Alwar Karthikeyan L</t>
  </si>
  <si>
    <t xml:space="preserve">Manoharan Pr</t>
  </si>
  <si>
    <t xml:space="preserve">Nattar N</t>
  </si>
  <si>
    <t xml:space="preserve">Rameswaran N</t>
  </si>
  <si>
    <t xml:space="preserve">Murugesan B</t>
  </si>
  <si>
    <t xml:space="preserve">Shunmuganathan S P</t>
  </si>
  <si>
    <t xml:space="preserve">Sudalaiyandi M B</t>
  </si>
  <si>
    <t xml:space="preserve">Sudalaimani S</t>
  </si>
  <si>
    <t xml:space="preserve">AIMF</t>
  </si>
  <si>
    <t xml:space="preserve">Mohammed Yusuf H M</t>
  </si>
  <si>
    <t xml:space="preserve">Dr K Krishnasamy</t>
  </si>
  <si>
    <t xml:space="preserve">A Muthupalavesam</t>
  </si>
  <si>
    <t xml:space="preserve">M A Dharmar</t>
  </si>
  <si>
    <t xml:space="preserve">G Rajkumar</t>
  </si>
  <si>
    <t xml:space="preserve">Mariappan P</t>
  </si>
  <si>
    <t xml:space="preserve">Rengarajan V</t>
  </si>
  <si>
    <t xml:space="preserve">Visuvasam E</t>
  </si>
  <si>
    <t xml:space="preserve">Karuppasamy C</t>
  </si>
  <si>
    <t xml:space="preserve">Umamaheswari M</t>
  </si>
  <si>
    <t xml:space="preserve">Lakshmi Nathan A</t>
  </si>
  <si>
    <t xml:space="preserve">Saratha C</t>
  </si>
  <si>
    <t xml:space="preserve">Dr Duraiappa S M B B S</t>
  </si>
  <si>
    <t xml:space="preserve">Ramalingam M</t>
  </si>
  <si>
    <t xml:space="preserve">Poosaipandi V</t>
  </si>
  <si>
    <t xml:space="preserve">Chendur Pandian P</t>
  </si>
  <si>
    <t xml:space="preserve">Peter Alphonse S</t>
  </si>
  <si>
    <t xml:space="preserve">Mohamed Mubarak S</t>
  </si>
  <si>
    <t xml:space="preserve">Pandi Durai R</t>
  </si>
  <si>
    <t xml:space="preserve">Jahir Hussain S S</t>
  </si>
  <si>
    <t xml:space="preserve">Sarath Kumar R</t>
  </si>
  <si>
    <t xml:space="preserve">Karuppasami Pandian Y</t>
  </si>
  <si>
    <t xml:space="preserve">Mariappan D</t>
  </si>
  <si>
    <t xml:space="preserve">P G Rajendran</t>
  </si>
  <si>
    <t xml:space="preserve">Dr Poongothai Aladi Aruna</t>
  </si>
  <si>
    <t xml:space="preserve">S Sudalaiyandi</t>
  </si>
  <si>
    <t xml:space="preserve">E Murugesan</t>
  </si>
  <si>
    <t xml:space="preserve">N Rajendran</t>
  </si>
  <si>
    <t xml:space="preserve">Velammal G</t>
  </si>
  <si>
    <t xml:space="preserve">Pasupathipandian C</t>
  </si>
  <si>
    <t xml:space="preserve">Madhan S</t>
  </si>
  <si>
    <t xml:space="preserve">E Subaya</t>
  </si>
  <si>
    <t xml:space="preserve">R Avudaiappan</t>
  </si>
  <si>
    <t xml:space="preserve">S Nambirajan</t>
  </si>
  <si>
    <t xml:space="preserve">N Balachandran</t>
  </si>
  <si>
    <t xml:space="preserve">S Sureshkumar</t>
  </si>
  <si>
    <t xml:space="preserve">T P M Mohideen Khan</t>
  </si>
  <si>
    <t xml:space="preserve">V Palani</t>
  </si>
  <si>
    <t xml:space="preserve">K S Sahul Hameed</t>
  </si>
  <si>
    <t xml:space="preserve">S Karthick Narayanan</t>
  </si>
  <si>
    <t xml:space="preserve">A Hyder Ali</t>
  </si>
  <si>
    <t xml:space="preserve">A Narayanan</t>
  </si>
  <si>
    <t xml:space="preserve">H Vasanthakumar</t>
  </si>
  <si>
    <t xml:space="preserve">T Dhevanathan Yadav</t>
  </si>
  <si>
    <t xml:space="preserve">M Mahakannan</t>
  </si>
  <si>
    <t xml:space="preserve">S Michael Rayappan</t>
  </si>
  <si>
    <t xml:space="preserve">P Veldurai</t>
  </si>
  <si>
    <t xml:space="preserve">N Nallakannu</t>
  </si>
  <si>
    <t xml:space="preserve">M Vijaya Kumar</t>
  </si>
  <si>
    <t xml:space="preserve">R Shanthi Ragavan</t>
  </si>
  <si>
    <t xml:space="preserve">Vetti Velayutha Perumal P</t>
  </si>
  <si>
    <t xml:space="preserve">Manik Prabhu</t>
  </si>
  <si>
    <t xml:space="preserve">Mahesh R</t>
  </si>
  <si>
    <t xml:space="preserve">Radhakrishnan Pon</t>
  </si>
  <si>
    <t xml:space="preserve">Larence P</t>
  </si>
  <si>
    <t xml:space="preserve">Anthony Muthu S M</t>
  </si>
  <si>
    <t xml:space="preserve">Varkees Tharuma Raj G</t>
  </si>
  <si>
    <t xml:space="preserve">Dr Pushpa Leela Alban</t>
  </si>
  <si>
    <t xml:space="preserve">G Sujith Kumar</t>
  </si>
  <si>
    <t xml:space="preserve">R S Sriraman</t>
  </si>
  <si>
    <t xml:space="preserve">M Vijayakumar</t>
  </si>
  <si>
    <t xml:space="preserve">Leemarose R</t>
  </si>
  <si>
    <t xml:space="preserve">Jayaseelan R</t>
  </si>
  <si>
    <t xml:space="preserve">Wilson T</t>
  </si>
  <si>
    <t xml:space="preserve">Promoth B</t>
  </si>
  <si>
    <t xml:space="preserve">John Jacob S</t>
  </si>
  <si>
    <t xml:space="preserve">Chandra Kumar T</t>
  </si>
  <si>
    <t xml:space="preserve">George R</t>
  </si>
  <si>
    <t xml:space="preserve">Jose Bilbin 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</si>
</sst>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FiraCode Nerd Font"/>
      <family val="0"/>
      <charset val="1"/>
    </font>
    <font>
      <sz val="11"/>
      <name val="FiraCode Nerd Font"/>
      <family val="0"/>
      <charset val="1"/>
    </font>
    <font>
      <sz val="10"/>
      <name val="My Underwood"/>
      <family val="0"/>
      <charset val="1"/>
    </font>
    <font>
      <sz val="10"/>
      <color rgb="FF000000"/>
      <name val="My Underwood"/>
      <family val="0"/>
      <charset val="1"/>
    </font>
    <font>
      <sz val="10"/>
      <color rgb="FFFFFFFF"/>
      <name val="My Underwood"/>
      <family val="0"/>
      <charset val="1"/>
    </font>
    <font>
      <sz val="10"/>
      <color rgb="FF000000"/>
      <name val="FiraCode Nerd Font"/>
      <family val="0"/>
      <charset val="1"/>
    </font>
    <font>
      <sz val="10"/>
      <color rgb="FFFFFFFF"/>
      <name val="FiraCode Nerd Font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5EB91E"/>
        <bgColor rgb="FF3FAF46"/>
      </patternFill>
    </fill>
    <fill>
      <patternFill patternType="solid">
        <fgColor rgb="FF2A6099"/>
        <bgColor rgb="FF3465A4"/>
      </patternFill>
    </fill>
    <fill>
      <patternFill patternType="solid">
        <fgColor rgb="FFFF0000"/>
        <bgColor rgb="FFC9211E"/>
      </patternFill>
    </fill>
    <fill>
      <patternFill patternType="solid">
        <fgColor rgb="FF4B2204"/>
        <bgColor rgb="FF611729"/>
      </patternFill>
    </fill>
    <fill>
      <patternFill patternType="solid">
        <fgColor rgb="FFC9211E"/>
        <bgColor rgb="FFD62E4E"/>
      </patternFill>
    </fill>
    <fill>
      <patternFill patternType="solid">
        <fgColor rgb="FFFFB66C"/>
        <bgColor rgb="FFEC9BA4"/>
      </patternFill>
    </fill>
    <fill>
      <patternFill patternType="solid">
        <fgColor rgb="FFDDDDDD"/>
        <bgColor rgb="FFC0C0C0"/>
      </patternFill>
    </fill>
    <fill>
      <patternFill patternType="solid">
        <fgColor rgb="FF611729"/>
        <bgColor rgb="FF4E102D"/>
      </patternFill>
    </fill>
    <fill>
      <patternFill patternType="solid">
        <fgColor rgb="FFD62E4E"/>
        <bgColor rgb="FFC9211E"/>
      </patternFill>
    </fill>
    <fill>
      <patternFill patternType="solid">
        <fgColor rgb="FFFFFFFF"/>
        <bgColor rgb="FFCCFFFF"/>
      </patternFill>
    </fill>
    <fill>
      <patternFill patternType="solid">
        <fgColor rgb="FF666666"/>
        <bgColor rgb="FF808080"/>
      </patternFill>
    </fill>
    <fill>
      <patternFill patternType="solid">
        <fgColor rgb="FF3FAF46"/>
        <bgColor rgb="FF5EB91E"/>
      </patternFill>
    </fill>
    <fill>
      <patternFill patternType="solid">
        <fgColor rgb="FFFFFFA6"/>
        <bgColor rgb="FFFFFF6D"/>
      </patternFill>
    </fill>
    <fill>
      <patternFill patternType="solid">
        <fgColor rgb="FFE6E905"/>
        <bgColor rgb="FFFFFF00"/>
      </patternFill>
    </fill>
    <fill>
      <patternFill patternType="solid">
        <fgColor rgb="FF127622"/>
        <bgColor rgb="FF008080"/>
      </patternFill>
    </fill>
    <fill>
      <patternFill patternType="solid">
        <fgColor rgb="FF3465A4"/>
        <bgColor rgb="FF2A6099"/>
      </patternFill>
    </fill>
    <fill>
      <patternFill patternType="solid">
        <fgColor rgb="FF81ACA6"/>
        <bgColor rgb="FF729FCF"/>
      </patternFill>
    </fill>
    <fill>
      <patternFill patternType="solid">
        <fgColor rgb="FF355269"/>
        <bgColor rgb="FF2A6099"/>
      </patternFill>
    </fill>
    <fill>
      <patternFill patternType="solid">
        <fgColor rgb="FFEC9BA4"/>
        <bgColor rgb="FFFF8080"/>
      </patternFill>
    </fill>
    <fill>
      <patternFill patternType="solid">
        <fgColor rgb="FF729FCF"/>
        <bgColor rgb="FF81ACA6"/>
      </patternFill>
    </fill>
    <fill>
      <patternFill patternType="solid">
        <fgColor rgb="FF224B12"/>
        <bgColor rgb="FF28471F"/>
      </patternFill>
    </fill>
    <fill>
      <patternFill patternType="solid">
        <fgColor rgb="FFFF3838"/>
        <bgColor rgb="FFD62E4E"/>
      </patternFill>
    </fill>
    <fill>
      <patternFill patternType="solid">
        <fgColor rgb="FFFFFF6D"/>
        <bgColor rgb="FFFFFFA6"/>
      </patternFill>
    </fill>
    <fill>
      <patternFill patternType="solid">
        <fgColor rgb="FF28471F"/>
        <bgColor rgb="FF224B12"/>
      </patternFill>
    </fill>
    <fill>
      <patternFill patternType="solid">
        <fgColor rgb="FFBBE33D"/>
        <bgColor rgb="FFD4EA6B"/>
      </patternFill>
    </fill>
    <fill>
      <patternFill patternType="solid">
        <fgColor rgb="FF861141"/>
        <bgColor rgb="FF611729"/>
      </patternFill>
    </fill>
    <fill>
      <patternFill patternType="solid">
        <fgColor rgb="FF4E102D"/>
        <bgColor rgb="FF611729"/>
      </patternFill>
    </fill>
    <fill>
      <patternFill patternType="solid">
        <fgColor rgb="FFEA7500"/>
        <bgColor rgb="FFFF9900"/>
      </patternFill>
    </fill>
    <fill>
      <patternFill patternType="solid">
        <fgColor rgb="FFD4EA6B"/>
        <bgColor rgb="FFBBE33D"/>
      </patternFill>
    </fill>
  </fills>
  <borders count="1">
    <border diagonalUp="false" diagonalDown="false">
      <left/>
      <right/>
      <top/>
      <bottom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  <xf numFmtId="164" fontId="4" fillId="8" borderId="0" applyFont="true" applyBorder="tru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MMK" xfId="20"/>
    <cellStyle name="BSP" xfId="21"/>
    <cellStyle name="CPI" xfId="22"/>
    <cellStyle name="DMDK" xfId="23"/>
    <cellStyle name="DMK" xfId="24"/>
    <cellStyle name="DMK_New" xfId="25"/>
    <cellStyle name="Fascists" xfId="26"/>
    <cellStyle name="INC" xfId="27"/>
    <cellStyle name="Independant" xfId="28"/>
    <cellStyle name="MDMK" xfId="29"/>
    <cellStyle name="MNK_New" xfId="30"/>
    <cellStyle name="MNM" xfId="31"/>
    <cellStyle name="NOTA" xfId="32"/>
    <cellStyle name="NTK" xfId="33"/>
    <cellStyle name="People's Front" xfId="34"/>
    <cellStyle name="PFA" xfId="35"/>
    <cellStyle name="PMK" xfId="36"/>
    <cellStyle name="Untitled4" xfId="37"/>
    <cellStyle name="Untitled5" xfId="38"/>
    <cellStyle name="VCK" xfId="39"/>
  </cellStyles>
  <dxfs count="41">
    <dxf>
      <fill>
        <patternFill>
          <bgColor rgb="FF127622"/>
        </patternFill>
      </fill>
    </dxf>
    <dxf>
      <fill>
        <patternFill>
          <bgColor rgb="FF4B2204"/>
        </patternFill>
      </fill>
    </dxf>
    <dxf>
      <fill>
        <patternFill>
          <bgColor rgb="FF611729"/>
        </patternFill>
      </fill>
    </dxf>
    <dxf>
      <font>
        <color rgb="FF000000"/>
      </font>
      <fill>
        <patternFill>
          <bgColor rgb="FFC9211E"/>
        </patternFill>
      </fill>
    </dxf>
    <dxf>
      <font>
        <color rgb="FF000000"/>
      </font>
      <fill>
        <patternFill>
          <bgColor rgb="FFE6E905"/>
        </patternFill>
      </fill>
    </dxf>
    <dxf>
      <font>
        <color rgb="FF000000"/>
      </font>
      <fill>
        <patternFill>
          <bgColor rgb="FF3465A4"/>
        </patternFill>
      </fill>
    </dxf>
    <dxf>
      <fill>
        <patternFill>
          <bgColor rgb="FFFF0000"/>
        </patternFill>
      </fill>
    </dxf>
    <dxf>
      <fill>
        <patternFill>
          <bgColor rgb="FF666666"/>
        </patternFill>
      </fill>
    </dxf>
    <dxf>
      <font>
        <color rgb="FF000000"/>
      </font>
      <fill>
        <patternFill>
          <bgColor rgb="FFDDDDDD"/>
        </patternFill>
      </fill>
    </dxf>
    <dxf>
      <font>
        <color rgb="FF000000"/>
      </font>
      <fill>
        <patternFill>
          <bgColor rgb="FFDDDDDD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FFFF"/>
        </patternFill>
      </fill>
    </dxf>
    <dxf>
      <font>
        <color rgb="FF000000"/>
      </font>
      <fill>
        <patternFill>
          <bgColor rgb="FFFFFFA6"/>
        </patternFill>
      </fill>
    </dxf>
    <dxf>
      <font>
        <color rgb="FF000000"/>
      </font>
      <fill>
        <patternFill>
          <bgColor rgb="FFFFB66C"/>
        </patternFill>
      </fill>
    </dxf>
    <dxf>
      <fill>
        <patternFill>
          <bgColor rgb="FF2A6099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D62E4E"/>
        </patternFill>
      </fill>
    </dxf>
    <dxf>
      <font>
        <color rgb="FF000000"/>
      </font>
      <fill>
        <patternFill>
          <bgColor rgb="FF5EB9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127622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4B2204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611729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C921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E6E905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3465A4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FF0000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66666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DDDDD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DDDDD"/>
        </patternFill>
      </fill>
      <border diagonalUp="false" diagonalDown="false">
        <left/>
        <right/>
        <top/>
        <bottom/>
        <diagonal/>
      </border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FF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A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B66C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2A6099"/>
        </patternFill>
      </fill>
      <border diagonalUp="false" diagonalDown="false">
        <left/>
        <right/>
        <top/>
        <bottom/>
        <diagonal/>
      </border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3FAF46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D62E4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5EB9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127622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C921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C9211E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E6E905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B66C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4B2204"/>
        </patternFill>
      </fill>
    </dxf>
    <dxf>
      <font>
        <name val="Arial"/>
        <charset val="1"/>
        <family val="2"/>
        <b val="0"/>
        <i val="0"/>
        <strike val="0"/>
        <outline val="0"/>
        <shadow val="0"/>
        <color rgb="FF000000"/>
        <sz val="10"/>
        <u val="none"/>
      </font>
      <numFmt numFmtId="164" formatCode="General"/>
      <fill>
        <patternFill>
          <bgColor rgb="FFFFFFA6"/>
        </patternFill>
      </fill>
    </dxf>
    <dxf>
      <font>
        <name val="Arial"/>
        <charset val="1"/>
        <family val="2"/>
      </font>
      <fill>
        <patternFill>
          <bgColor rgb="FF2A6099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611729"/>
      <rgbColor rgb="FF127622"/>
      <rgbColor rgb="FF000080"/>
      <rgbColor rgb="FF5EB91E"/>
      <rgbColor rgb="FF861141"/>
      <rgbColor rgb="FF008080"/>
      <rgbColor rgb="FFC0C0C0"/>
      <rgbColor rgb="FF808080"/>
      <rgbColor rgb="FF729FCF"/>
      <rgbColor rgb="FFD62E4E"/>
      <rgbColor rgb="FFFFFF6D"/>
      <rgbColor rgb="FFCCFFFF"/>
      <rgbColor rgb="FF4E102D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EC9BA4"/>
      <rgbColor rgb="FFCC99FF"/>
      <rgbColor rgb="FFFFB66C"/>
      <rgbColor rgb="FF3465A4"/>
      <rgbColor rgb="FF33CCCC"/>
      <rgbColor rgb="FFBBE33D"/>
      <rgbColor rgb="FFFFCC00"/>
      <rgbColor rgb="FFFF9900"/>
      <rgbColor rgb="FFEA7500"/>
      <rgbColor rgb="FF666666"/>
      <rgbColor rgb="FF81ACA6"/>
      <rgbColor rgb="FF003366"/>
      <rgbColor rgb="FF3FAF46"/>
      <rgbColor rgb="FF224B12"/>
      <rgbColor rgb="FF4B2204"/>
      <rgbColor rgb="FFC9211E"/>
      <rgbColor rgb="FFFF3838"/>
      <rgbColor rgb="FF355269"/>
      <rgbColor rgb="FF2847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0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3" ySplit="1" topLeftCell="D467" activePane="bottomRight" state="frozen"/>
      <selection pane="topLeft" activeCell="A1" activeCellId="0" sqref="A1"/>
      <selection pane="topRight" activeCell="D1" activeCellId="0" sqref="D1"/>
      <selection pane="bottomLeft" activeCell="A467" activeCellId="0" sqref="A467"/>
      <selection pane="bottomRight" activeCell="E498" activeCellId="0" sqref="E49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9.13"/>
    <col collapsed="false" customWidth="true" hidden="false" outlineLevel="0" max="3" min="3" style="1" width="23.97"/>
    <col collapsed="false" customWidth="true" hidden="false" outlineLevel="0" max="4" min="4" style="1" width="16.78"/>
    <col collapsed="false" customWidth="true" hidden="false" outlineLevel="0" max="5" min="5" style="1" width="17.61"/>
    <col collapsed="false" customWidth="true" hidden="false" outlineLevel="0" max="6" min="6" style="1" width="20.03"/>
    <col collapsed="false" customWidth="true" hidden="false" outlineLevel="0" max="7" min="7" style="1" width="11.22"/>
    <col collapsed="false" customWidth="true" hidden="false" outlineLevel="0" max="8" min="8" style="1" width="10.85"/>
    <col collapsed="false" customWidth="true" hidden="false" outlineLevel="0" max="9" min="9" style="1" width="9.6"/>
    <col collapsed="false" customWidth="true" hidden="false" outlineLevel="0" max="10" min="10" style="1" width="9.13"/>
    <col collapsed="false" customWidth="true" hidden="false" outlineLevel="0" max="11" min="11" style="1" width="9.6"/>
    <col collapsed="false" customWidth="true" hidden="false" outlineLevel="0" max="12" min="12" style="1" width="13.07"/>
    <col collapsed="false" customWidth="true" hidden="false" outlineLevel="0" max="13" min="13" style="1" width="9.13"/>
    <col collapsed="false" customWidth="true" hidden="false" outlineLevel="0" max="14" min="14" style="1" width="13.07"/>
    <col collapsed="false" customWidth="true" hidden="false" outlineLevel="0" max="15" min="15" style="1" width="11.33"/>
    <col collapsed="false" customWidth="true" hidden="false" outlineLevel="0" max="16" min="16" style="1" width="12.61"/>
    <col collapsed="false" customWidth="true" hidden="false" outlineLevel="0" max="17" min="17" style="1" width="9.71"/>
    <col collapsed="false" customWidth="true" hidden="false" outlineLevel="0" max="18" min="18" style="1" width="10.85"/>
    <col collapsed="false" customWidth="true" hidden="false" outlineLevel="0" max="19" min="19" style="1" width="8.9"/>
    <col collapsed="false" customWidth="true" hidden="false" outlineLevel="0" max="20" min="20" style="1" width="10.06"/>
    <col collapsed="false" customWidth="true" hidden="false" outlineLevel="0" max="21" min="21" style="1" width="6.46"/>
    <col collapsed="false" customWidth="true" hidden="false" outlineLevel="0" max="22" min="22" style="1" width="15.74"/>
    <col collapsed="false" customWidth="true" hidden="false" outlineLevel="0" max="23" min="23" style="1" width="12.61"/>
    <col collapsed="false" customWidth="true" hidden="false" outlineLevel="0" max="24" min="24" style="1" width="27.45"/>
    <col collapsed="false" customWidth="true" hidden="false" outlineLevel="0" max="25" min="25" style="1" width="11.22"/>
    <col collapsed="false" customWidth="true" hidden="false" outlineLevel="0" max="26" min="26" style="1" width="13.88"/>
    <col collapsed="false" customWidth="true" hidden="false" outlineLevel="0" max="27" min="27" style="1" width="15.74"/>
    <col collapsed="false" customWidth="true" hidden="false" outlineLevel="0" max="28" min="28" style="1" width="12.61"/>
    <col collapsed="false" customWidth="true" hidden="false" outlineLevel="0" max="29" min="29" style="1" width="25.94"/>
    <col collapsed="false" customWidth="true" hidden="false" outlineLevel="0" max="30" min="30" style="1" width="11.22"/>
    <col collapsed="false" customWidth="true" hidden="false" outlineLevel="0" max="31" min="31" style="1" width="13.88"/>
    <col collapsed="false" customWidth="true" hidden="false" outlineLevel="0" max="32" min="32" style="1" width="18.17"/>
    <col collapsed="false" customWidth="true" hidden="false" outlineLevel="0" max="33" min="33" style="1" width="15.05"/>
    <col collapsed="false" customWidth="true" hidden="false" outlineLevel="0" max="34" min="34" style="1" width="27.1"/>
    <col collapsed="false" customWidth="true" hidden="false" outlineLevel="0" max="35" min="35" style="1" width="13.65"/>
    <col collapsed="false" customWidth="true" hidden="false" outlineLevel="0" max="36" min="36" style="1" width="16.31"/>
    <col collapsed="false" customWidth="true" hidden="false" outlineLevel="0" max="37" min="37" style="1" width="17.01"/>
    <col collapsed="false" customWidth="true" hidden="false" outlineLevel="0" max="38" min="38" style="1" width="13.88"/>
    <col collapsed="false" customWidth="true" hidden="false" outlineLevel="0" max="39" min="39" style="1" width="25.01"/>
    <col collapsed="false" customWidth="true" hidden="false" outlineLevel="0" max="40" min="40" style="1" width="12.5"/>
    <col collapsed="false" customWidth="true" hidden="false" outlineLevel="0" max="41" min="41" style="1" width="15.16"/>
    <col collapsed="false" customWidth="true" hidden="false" outlineLevel="0" max="42" min="42" style="1" width="16.9"/>
    <col collapsed="false" customWidth="true" hidden="false" outlineLevel="0" max="43" min="43" style="1" width="13.75"/>
    <col collapsed="false" customWidth="true" hidden="false" outlineLevel="0" max="44" min="44" style="1" width="28.94"/>
    <col collapsed="false" customWidth="true" hidden="false" outlineLevel="0" max="45" min="45" style="1" width="12.38"/>
    <col collapsed="false" customWidth="true" hidden="false" outlineLevel="0" max="46" min="46" style="1" width="15.05"/>
    <col collapsed="false" customWidth="false" hidden="false" outlineLevel="0" max="47" min="47" style="1" width="11.53"/>
    <col collapsed="false" customWidth="false" hidden="false" outlineLevel="0" max="16384" min="49" style="1" width="11.53"/>
  </cols>
  <sheetData>
    <row r="1" customFormat="false" ht="15.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 customFormat="false" ht="12.8" hidden="false" customHeight="false" outlineLevel="0" collapsed="false">
      <c r="A2" s="7" t="n">
        <v>2021</v>
      </c>
      <c r="B2" s="8" t="n">
        <v>1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51</v>
      </c>
      <c r="J2" s="9" t="s">
        <v>51</v>
      </c>
      <c r="K2" s="9" t="s">
        <v>51</v>
      </c>
      <c r="L2" s="9" t="s">
        <v>51</v>
      </c>
      <c r="M2" s="9" t="s">
        <v>51</v>
      </c>
      <c r="N2" s="9" t="s">
        <v>51</v>
      </c>
      <c r="O2" s="9" t="s">
        <v>51</v>
      </c>
      <c r="P2" s="9" t="n">
        <v>281688</v>
      </c>
      <c r="Q2" s="9" t="n">
        <v>222069</v>
      </c>
      <c r="R2" s="10" t="n">
        <f aca="false">(Q2/P2)*100</f>
        <v>78.8350941467155</v>
      </c>
      <c r="S2" s="9" t="n">
        <f aca="false">Y2-AD2</f>
        <v>50938</v>
      </c>
      <c r="T2" s="10" t="n">
        <f aca="false">(S2/Q2)*100</f>
        <v>22.9379156928702</v>
      </c>
      <c r="U2" s="10" t="n">
        <f aca="false">Z2+AE2</f>
        <v>90.9474082379801</v>
      </c>
      <c r="V2" s="9" t="s">
        <v>52</v>
      </c>
      <c r="W2" s="9" t="s">
        <v>53</v>
      </c>
      <c r="X2" s="9" t="s">
        <v>54</v>
      </c>
      <c r="Y2" s="9" t="n">
        <v>126452</v>
      </c>
      <c r="Z2" s="10" t="n">
        <f aca="false">(Y2/Q2)*100</f>
        <v>56.9426619654252</v>
      </c>
      <c r="AA2" s="9" t="s">
        <v>55</v>
      </c>
      <c r="AB2" s="9" t="s">
        <v>56</v>
      </c>
      <c r="AC2" s="9" t="s">
        <v>57</v>
      </c>
      <c r="AD2" s="9" t="n">
        <v>75514</v>
      </c>
      <c r="AE2" s="10" t="n">
        <f aca="false">(AD2/Q2)*100</f>
        <v>34.0047462725549</v>
      </c>
      <c r="AF2" s="9" t="s">
        <v>58</v>
      </c>
      <c r="AG2" s="9" t="s">
        <v>58</v>
      </c>
      <c r="AH2" s="9" t="s">
        <v>59</v>
      </c>
      <c r="AI2" s="9" t="n">
        <v>11701</v>
      </c>
      <c r="AJ2" s="10" t="n">
        <f aca="false">(AI2/Q2)*100</f>
        <v>5.26908303275108</v>
      </c>
      <c r="AK2" s="11" t="s">
        <v>60</v>
      </c>
      <c r="AL2" s="9" t="s">
        <v>61</v>
      </c>
      <c r="AM2" s="9" t="s">
        <v>62</v>
      </c>
      <c r="AN2" s="9" t="n">
        <v>2576</v>
      </c>
      <c r="AO2" s="10" t="n">
        <f aca="false">(AN2/Q2)*100</f>
        <v>1.1599998198758</v>
      </c>
      <c r="AP2" s="9" t="s">
        <v>63</v>
      </c>
      <c r="AQ2" s="9" t="s">
        <v>63</v>
      </c>
      <c r="AR2" s="9" t="s">
        <v>63</v>
      </c>
      <c r="AS2" s="9" t="n">
        <v>1783</v>
      </c>
      <c r="AT2" s="10" t="n">
        <f aca="false">(AS2/Q2)*100</f>
        <v>0.802903602033602</v>
      </c>
    </row>
    <row r="3" customFormat="false" ht="12.8" hidden="false" customHeight="false" outlineLevel="0" collapsed="false">
      <c r="A3" s="7" t="n">
        <v>2021</v>
      </c>
      <c r="B3" s="8" t="n">
        <v>2</v>
      </c>
      <c r="C3" s="9" t="s">
        <v>64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65</v>
      </c>
      <c r="I3" s="9" t="s">
        <v>51</v>
      </c>
      <c r="J3" s="9" t="s">
        <v>51</v>
      </c>
      <c r="K3" s="9" t="s">
        <v>51</v>
      </c>
      <c r="L3" s="9" t="s">
        <v>51</v>
      </c>
      <c r="M3" s="9" t="s">
        <v>51</v>
      </c>
      <c r="N3" s="9" t="s">
        <v>51</v>
      </c>
      <c r="O3" s="9" t="s">
        <v>51</v>
      </c>
      <c r="P3" s="9" t="n">
        <v>267368</v>
      </c>
      <c r="Q3" s="9" t="n">
        <v>210354</v>
      </c>
      <c r="R3" s="10" t="n">
        <f aca="false">(Q3/P3)*100</f>
        <v>78.6758325603662</v>
      </c>
      <c r="S3" s="9" t="n">
        <f aca="false">Y3-AD3</f>
        <v>9689</v>
      </c>
      <c r="T3" s="10" t="n">
        <f aca="false">(S3/Q3)*100</f>
        <v>4.60604504787168</v>
      </c>
      <c r="U3" s="10" t="n">
        <f aca="false">Z3+AE3</f>
        <v>85.2691177728971</v>
      </c>
      <c r="V3" s="9" t="s">
        <v>52</v>
      </c>
      <c r="W3" s="9" t="s">
        <v>66</v>
      </c>
      <c r="X3" s="9" t="s">
        <v>67</v>
      </c>
      <c r="Y3" s="9" t="n">
        <v>94528</v>
      </c>
      <c r="Z3" s="10" t="n">
        <f aca="false">(Y3/Q3)*100</f>
        <v>44.9375814103844</v>
      </c>
      <c r="AA3" s="9" t="s">
        <v>55</v>
      </c>
      <c r="AB3" s="9" t="s">
        <v>68</v>
      </c>
      <c r="AC3" s="9" t="s">
        <v>69</v>
      </c>
      <c r="AD3" s="9" t="n">
        <v>84839</v>
      </c>
      <c r="AE3" s="10" t="n">
        <f aca="false">(AD3/Q3)*100</f>
        <v>40.3315363625127</v>
      </c>
      <c r="AF3" s="9" t="s">
        <v>58</v>
      </c>
      <c r="AG3" s="9" t="s">
        <v>58</v>
      </c>
      <c r="AH3" s="9" t="s">
        <v>70</v>
      </c>
      <c r="AI3" s="9" t="n">
        <v>19027</v>
      </c>
      <c r="AJ3" s="10" t="n">
        <f aca="false">(AI3/Q3)*100</f>
        <v>9.04522851954325</v>
      </c>
      <c r="AK3" s="9" t="s">
        <v>71</v>
      </c>
      <c r="AL3" s="9" t="s">
        <v>72</v>
      </c>
      <c r="AM3" s="9" t="s">
        <v>73</v>
      </c>
      <c r="AN3" s="9" t="n">
        <v>5394</v>
      </c>
      <c r="AO3" s="10" t="n">
        <f aca="false">(AN3/Q3)*100</f>
        <v>2.56424883767364</v>
      </c>
      <c r="AP3" s="12" t="s">
        <v>60</v>
      </c>
      <c r="AQ3" s="9" t="s">
        <v>74</v>
      </c>
      <c r="AR3" s="9" t="s">
        <v>75</v>
      </c>
      <c r="AS3" s="9" t="n">
        <v>2832</v>
      </c>
      <c r="AT3" s="10" t="n">
        <f aca="false">(AS3/Q3)*100</f>
        <v>1.34630194814456</v>
      </c>
    </row>
    <row r="4" customFormat="false" ht="12.8" hidden="false" customHeight="false" outlineLevel="0" collapsed="false">
      <c r="A4" s="7" t="n">
        <v>2021</v>
      </c>
      <c r="B4" s="8" t="n">
        <v>3</v>
      </c>
      <c r="C4" s="9" t="s">
        <v>76</v>
      </c>
      <c r="D4" s="9" t="s">
        <v>47</v>
      </c>
      <c r="E4" s="9" t="s">
        <v>48</v>
      </c>
      <c r="F4" s="9" t="s">
        <v>49</v>
      </c>
      <c r="G4" s="9" t="s">
        <v>77</v>
      </c>
      <c r="H4" s="9" t="s">
        <v>51</v>
      </c>
      <c r="I4" s="9" t="s">
        <v>51</v>
      </c>
      <c r="J4" s="9" t="s">
        <v>51</v>
      </c>
      <c r="K4" s="9" t="s">
        <v>51</v>
      </c>
      <c r="L4" s="9" t="s">
        <v>68</v>
      </c>
      <c r="M4" s="9" t="s">
        <v>51</v>
      </c>
      <c r="N4" s="9" t="s">
        <v>51</v>
      </c>
      <c r="O4" s="9" t="s">
        <v>51</v>
      </c>
      <c r="P4" s="9" t="n">
        <v>291336</v>
      </c>
      <c r="Q4" s="9" t="n">
        <v>232624</v>
      </c>
      <c r="R4" s="10" t="n">
        <f aca="false">(Q4/P4)*100</f>
        <v>79.8473240519538</v>
      </c>
      <c r="S4" s="9" t="n">
        <f aca="false">Y4-AD4</f>
        <v>29253</v>
      </c>
      <c r="T4" s="10" t="n">
        <f aca="false">(S4/Q4)*100</f>
        <v>12.5752286952335</v>
      </c>
      <c r="U4" s="10" t="n">
        <f aca="false">Z4+AE4</f>
        <v>90.865516885618</v>
      </c>
      <c r="V4" s="9" t="s">
        <v>52</v>
      </c>
      <c r="W4" s="9" t="s">
        <v>53</v>
      </c>
      <c r="X4" s="9" t="s">
        <v>78</v>
      </c>
      <c r="Y4" s="9" t="n">
        <v>120314</v>
      </c>
      <c r="Z4" s="10" t="n">
        <f aca="false">(Y4/Q4)*100</f>
        <v>51.7203727904258</v>
      </c>
      <c r="AA4" s="9" t="s">
        <v>55</v>
      </c>
      <c r="AB4" s="9" t="s">
        <v>68</v>
      </c>
      <c r="AC4" s="9" t="s">
        <v>79</v>
      </c>
      <c r="AD4" s="9" t="n">
        <v>91061</v>
      </c>
      <c r="AE4" s="10" t="n">
        <f aca="false">(AD4/Q4)*100</f>
        <v>39.1451440951922</v>
      </c>
      <c r="AF4" s="9" t="s">
        <v>58</v>
      </c>
      <c r="AG4" s="9" t="s">
        <v>58</v>
      </c>
      <c r="AH4" s="9" t="s">
        <v>80</v>
      </c>
      <c r="AI4" s="9" t="n">
        <v>12007</v>
      </c>
      <c r="AJ4" s="10" t="n">
        <f aca="false">(AI4/Q4)*100</f>
        <v>5.16154824953573</v>
      </c>
      <c r="AK4" s="12" t="s">
        <v>60</v>
      </c>
      <c r="AL4" s="9" t="s">
        <v>61</v>
      </c>
      <c r="AM4" s="9" t="s">
        <v>81</v>
      </c>
      <c r="AN4" s="9" t="n">
        <v>3928</v>
      </c>
      <c r="AO4" s="10" t="n">
        <f aca="false">(AN4/Q4)*100</f>
        <v>1.68856179929844</v>
      </c>
      <c r="AP4" s="9" t="s">
        <v>63</v>
      </c>
      <c r="AQ4" s="9" t="s">
        <v>63</v>
      </c>
      <c r="AR4" s="9" t="s">
        <v>63</v>
      </c>
      <c r="AS4" s="9" t="n">
        <v>1665</v>
      </c>
      <c r="AT4" s="10" t="n">
        <f aca="false">(AS4/Q4)*100</f>
        <v>0.715747300364537</v>
      </c>
    </row>
    <row r="5" customFormat="false" ht="12.8" hidden="false" customHeight="false" outlineLevel="0" collapsed="false">
      <c r="A5" s="7" t="n">
        <v>2021</v>
      </c>
      <c r="B5" s="8" t="n">
        <v>4</v>
      </c>
      <c r="C5" s="9" t="s">
        <v>47</v>
      </c>
      <c r="D5" s="9" t="s">
        <v>47</v>
      </c>
      <c r="E5" s="9" t="s">
        <v>48</v>
      </c>
      <c r="F5" s="9" t="s">
        <v>49</v>
      </c>
      <c r="G5" s="9" t="s">
        <v>77</v>
      </c>
      <c r="H5" s="9" t="s">
        <v>51</v>
      </c>
      <c r="I5" s="9" t="s">
        <v>51</v>
      </c>
      <c r="J5" s="9" t="s">
        <v>51</v>
      </c>
      <c r="K5" s="9" t="s">
        <v>51</v>
      </c>
      <c r="L5" s="9" t="s">
        <v>68</v>
      </c>
      <c r="M5" s="9" t="s">
        <v>51</v>
      </c>
      <c r="N5" s="9" t="s">
        <v>51</v>
      </c>
      <c r="O5" s="9" t="s">
        <v>51</v>
      </c>
      <c r="P5" s="9" t="n">
        <v>274982</v>
      </c>
      <c r="Q5" s="9" t="n">
        <v>214243</v>
      </c>
      <c r="R5" s="10" t="n">
        <f aca="false">(Q5/P5)*100</f>
        <v>77.9116451258628</v>
      </c>
      <c r="S5" s="9" t="n">
        <f aca="false">Y5-AD5</f>
        <v>22701</v>
      </c>
      <c r="T5" s="10" t="n">
        <f aca="false">(S5/Q5)*100</f>
        <v>10.5959121184823</v>
      </c>
      <c r="U5" s="10" t="n">
        <f aca="false">Z5+AE5</f>
        <v>89.9525305377539</v>
      </c>
      <c r="V5" s="9" t="s">
        <v>52</v>
      </c>
      <c r="W5" s="9" t="s">
        <v>53</v>
      </c>
      <c r="X5" s="9" t="s">
        <v>82</v>
      </c>
      <c r="Y5" s="9" t="n">
        <v>107709</v>
      </c>
      <c r="Z5" s="10" t="n">
        <f aca="false">(Y5/Q5)*100</f>
        <v>50.2742213281181</v>
      </c>
      <c r="AA5" s="9" t="s">
        <v>55</v>
      </c>
      <c r="AB5" s="9" t="s">
        <v>68</v>
      </c>
      <c r="AC5" s="9" t="s">
        <v>83</v>
      </c>
      <c r="AD5" s="9" t="n">
        <v>85008</v>
      </c>
      <c r="AE5" s="10" t="n">
        <f aca="false">(AD5/Q5)*100</f>
        <v>39.6783092096358</v>
      </c>
      <c r="AF5" s="9" t="s">
        <v>58</v>
      </c>
      <c r="AG5" s="9" t="s">
        <v>58</v>
      </c>
      <c r="AH5" s="9" t="s">
        <v>84</v>
      </c>
      <c r="AI5" s="9" t="n">
        <v>15028</v>
      </c>
      <c r="AJ5" s="10" t="n">
        <f aca="false">(AI5/Q5)*100</f>
        <v>7.01446488333341</v>
      </c>
      <c r="AK5" s="13" t="s">
        <v>85</v>
      </c>
      <c r="AL5" s="13" t="s">
        <v>85</v>
      </c>
      <c r="AM5" s="9" t="s">
        <v>86</v>
      </c>
      <c r="AN5" s="9" t="n">
        <v>2329</v>
      </c>
      <c r="AO5" s="10" t="n">
        <f aca="false">(AN5/Q5)*100</f>
        <v>1.08708335861615</v>
      </c>
      <c r="AP5" s="9" t="s">
        <v>63</v>
      </c>
      <c r="AQ5" s="9" t="s">
        <v>63</v>
      </c>
      <c r="AR5" s="9" t="s">
        <v>63</v>
      </c>
      <c r="AS5" s="9" t="n">
        <v>1872</v>
      </c>
      <c r="AT5" s="10" t="n">
        <f aca="false">(AS5/Q5)*100</f>
        <v>0.873774172318349</v>
      </c>
    </row>
    <row r="6" customFormat="false" ht="12.8" hidden="false" customHeight="false" outlineLevel="0" collapsed="false">
      <c r="A6" s="7" t="n">
        <v>2021</v>
      </c>
      <c r="B6" s="8" t="n">
        <v>5</v>
      </c>
      <c r="C6" s="9" t="s">
        <v>87</v>
      </c>
      <c r="D6" s="9" t="s">
        <v>47</v>
      </c>
      <c r="E6" s="9" t="s">
        <v>48</v>
      </c>
      <c r="F6" s="9" t="s">
        <v>49</v>
      </c>
      <c r="G6" s="9" t="s">
        <v>88</v>
      </c>
      <c r="H6" s="9" t="s">
        <v>65</v>
      </c>
      <c r="I6" s="9" t="s">
        <v>51</v>
      </c>
      <c r="J6" s="9" t="s">
        <v>51</v>
      </c>
      <c r="K6" s="9" t="s">
        <v>51</v>
      </c>
      <c r="L6" s="9" t="s">
        <v>51</v>
      </c>
      <c r="M6" s="9" t="s">
        <v>51</v>
      </c>
      <c r="N6" s="9" t="s">
        <v>51</v>
      </c>
      <c r="O6" s="9" t="s">
        <v>51</v>
      </c>
      <c r="P6" s="9" t="n">
        <v>358218</v>
      </c>
      <c r="Q6" s="9" t="n">
        <v>263736</v>
      </c>
      <c r="R6" s="10" t="n">
        <f aca="false">(Q6/P6)*100</f>
        <v>73.6244409828652</v>
      </c>
      <c r="S6" s="9" t="n">
        <f aca="false">Y6-AD6</f>
        <v>94110</v>
      </c>
      <c r="T6" s="10" t="n">
        <f aca="false">(S6/Q6)*100</f>
        <v>35.6834106834107</v>
      </c>
      <c r="U6" s="10" t="n">
        <f aca="false">Z6+AE6</f>
        <v>77.7466860800194</v>
      </c>
      <c r="V6" s="9" t="s">
        <v>52</v>
      </c>
      <c r="W6" s="9" t="s">
        <v>53</v>
      </c>
      <c r="X6" s="9" t="s">
        <v>89</v>
      </c>
      <c r="Y6" s="9" t="n">
        <v>149578</v>
      </c>
      <c r="Z6" s="10" t="n">
        <f aca="false">(Y6/Q6)*100</f>
        <v>56.7150483817151</v>
      </c>
      <c r="AA6" s="9" t="s">
        <v>55</v>
      </c>
      <c r="AB6" s="9" t="s">
        <v>56</v>
      </c>
      <c r="AC6" s="9" t="s">
        <v>90</v>
      </c>
      <c r="AD6" s="9" t="n">
        <v>55468</v>
      </c>
      <c r="AE6" s="10" t="n">
        <f aca="false">(AD6/Q6)*100</f>
        <v>21.0316376983044</v>
      </c>
      <c r="AF6" s="9" t="s">
        <v>58</v>
      </c>
      <c r="AG6" s="9" t="s">
        <v>58</v>
      </c>
      <c r="AH6" s="9" t="s">
        <v>91</v>
      </c>
      <c r="AI6" s="9" t="n">
        <v>29871</v>
      </c>
      <c r="AJ6" s="10" t="n">
        <f aca="false">(AI6/Q6)*100</f>
        <v>11.3260988260988</v>
      </c>
      <c r="AK6" s="9" t="s">
        <v>71</v>
      </c>
      <c r="AL6" s="9" t="s">
        <v>72</v>
      </c>
      <c r="AM6" s="9" t="s">
        <v>92</v>
      </c>
      <c r="AN6" s="9" t="n">
        <v>11927</v>
      </c>
      <c r="AO6" s="10" t="n">
        <f aca="false">(AN6/Q6)*100</f>
        <v>4.52232535565869</v>
      </c>
      <c r="AP6" s="11" t="s">
        <v>60</v>
      </c>
      <c r="AQ6" s="9" t="s">
        <v>74</v>
      </c>
      <c r="AR6" s="9" t="s">
        <v>93</v>
      </c>
      <c r="AS6" s="9" t="n">
        <v>8805</v>
      </c>
      <c r="AT6" s="10" t="n">
        <f aca="false">(AS6/Q6)*100</f>
        <v>3.33856583856584</v>
      </c>
    </row>
    <row r="7" customFormat="false" ht="12.8" hidden="false" customHeight="false" outlineLevel="0" collapsed="false">
      <c r="A7" s="7" t="n">
        <v>2021</v>
      </c>
      <c r="B7" s="8" t="n">
        <v>6</v>
      </c>
      <c r="C7" s="9" t="s">
        <v>94</v>
      </c>
      <c r="D7" s="9" t="s">
        <v>47</v>
      </c>
      <c r="E7" s="9" t="s">
        <v>48</v>
      </c>
      <c r="F7" s="9" t="s">
        <v>49</v>
      </c>
      <c r="G7" s="9" t="s">
        <v>88</v>
      </c>
      <c r="H7" s="9" t="s">
        <v>51</v>
      </c>
      <c r="I7" s="9" t="s">
        <v>51</v>
      </c>
      <c r="J7" s="9" t="s">
        <v>51</v>
      </c>
      <c r="K7" s="9" t="s">
        <v>51</v>
      </c>
      <c r="L7" s="9" t="s">
        <v>51</v>
      </c>
      <c r="M7" s="9" t="s">
        <v>51</v>
      </c>
      <c r="N7" s="9" t="s">
        <v>51</v>
      </c>
      <c r="O7" s="9" t="s">
        <v>51</v>
      </c>
      <c r="P7" s="9" t="n">
        <v>442831</v>
      </c>
      <c r="Q7" s="9" t="n">
        <v>300927</v>
      </c>
      <c r="R7" s="10" t="n">
        <f aca="false">(Q7/P7)*100</f>
        <v>67.955269617529</v>
      </c>
      <c r="S7" s="9" t="n">
        <f aca="false">Y7-AD7</f>
        <v>55275</v>
      </c>
      <c r="T7" s="10" t="n">
        <f aca="false">(S7/Q7)*100</f>
        <v>18.3682421318127</v>
      </c>
      <c r="U7" s="10" t="n">
        <f aca="false">Z7+AE7</f>
        <v>81.5144536714884</v>
      </c>
      <c r="V7" s="9" t="s">
        <v>52</v>
      </c>
      <c r="W7" s="9" t="s">
        <v>53</v>
      </c>
      <c r="X7" s="9" t="s">
        <v>95</v>
      </c>
      <c r="Y7" s="9" t="n">
        <v>150287</v>
      </c>
      <c r="Z7" s="10" t="n">
        <f aca="false">(Y7/Q7)*100</f>
        <v>49.9413479016506</v>
      </c>
      <c r="AA7" s="9" t="s">
        <v>55</v>
      </c>
      <c r="AB7" s="9" t="s">
        <v>68</v>
      </c>
      <c r="AC7" s="9" t="s">
        <v>96</v>
      </c>
      <c r="AD7" s="9" t="n">
        <v>95012</v>
      </c>
      <c r="AE7" s="10" t="n">
        <f aca="false">(AD7/Q7)*100</f>
        <v>31.5731057698379</v>
      </c>
      <c r="AF7" s="9" t="s">
        <v>58</v>
      </c>
      <c r="AG7" s="9" t="s">
        <v>58</v>
      </c>
      <c r="AH7" s="9" t="s">
        <v>97</v>
      </c>
      <c r="AI7" s="9" t="n">
        <v>30087</v>
      </c>
      <c r="AJ7" s="10" t="n">
        <f aca="false">(AI7/Q7)*100</f>
        <v>9.9981058529145</v>
      </c>
      <c r="AK7" s="9" t="s">
        <v>71</v>
      </c>
      <c r="AL7" s="9" t="s">
        <v>72</v>
      </c>
      <c r="AM7" s="9" t="s">
        <v>98</v>
      </c>
      <c r="AN7" s="9" t="n">
        <v>17092</v>
      </c>
      <c r="AO7" s="10" t="n">
        <f aca="false">(AN7/Q7)*100</f>
        <v>5.67978280446753</v>
      </c>
      <c r="AP7" s="9" t="s">
        <v>63</v>
      </c>
      <c r="AQ7" s="9" t="s">
        <v>63</v>
      </c>
      <c r="AR7" s="9" t="s">
        <v>63</v>
      </c>
      <c r="AS7" s="9" t="n">
        <v>2381</v>
      </c>
      <c r="AT7" s="10" t="n">
        <f aca="false">(AS7/Q7)*100</f>
        <v>0.791221791331453</v>
      </c>
    </row>
    <row r="8" customFormat="false" ht="12.8" hidden="false" customHeight="false" outlineLevel="0" collapsed="false">
      <c r="A8" s="7" t="n">
        <v>2021</v>
      </c>
      <c r="B8" s="8" t="n">
        <v>7</v>
      </c>
      <c r="C8" s="9" t="s">
        <v>99</v>
      </c>
      <c r="D8" s="9" t="s">
        <v>100</v>
      </c>
      <c r="E8" s="9" t="s">
        <v>100</v>
      </c>
      <c r="F8" s="9" t="s">
        <v>48</v>
      </c>
      <c r="G8" s="9" t="s">
        <v>88</v>
      </c>
      <c r="H8" s="9" t="s">
        <v>51</v>
      </c>
      <c r="I8" s="9" t="s">
        <v>51</v>
      </c>
      <c r="J8" s="9" t="s">
        <v>51</v>
      </c>
      <c r="K8" s="9" t="s">
        <v>51</v>
      </c>
      <c r="L8" s="9" t="s">
        <v>51</v>
      </c>
      <c r="M8" s="9" t="s">
        <v>51</v>
      </c>
      <c r="N8" s="9" t="s">
        <v>51</v>
      </c>
      <c r="O8" s="9" t="s">
        <v>51</v>
      </c>
      <c r="P8" s="9" t="n">
        <v>452195</v>
      </c>
      <c r="Q8" s="9" t="n">
        <v>273870</v>
      </c>
      <c r="R8" s="10" t="n">
        <f aca="false">(Q8/P8)*100</f>
        <v>60.5645794402857</v>
      </c>
      <c r="S8" s="9" t="n">
        <f aca="false">Y8-AD8</f>
        <v>31721</v>
      </c>
      <c r="T8" s="10" t="n">
        <f aca="false">(S8/Q8)*100</f>
        <v>11.5825026472414</v>
      </c>
      <c r="U8" s="10" t="n">
        <f aca="false">Z8+AE8</f>
        <v>76.9982108299558</v>
      </c>
      <c r="V8" s="9" t="s">
        <v>52</v>
      </c>
      <c r="W8" s="9" t="s">
        <v>53</v>
      </c>
      <c r="X8" s="9" t="s">
        <v>101</v>
      </c>
      <c r="Y8" s="9" t="n">
        <v>121298</v>
      </c>
      <c r="Z8" s="10" t="n">
        <f aca="false">(Y8/Q8)*100</f>
        <v>44.2903567385986</v>
      </c>
      <c r="AA8" s="9" t="s">
        <v>55</v>
      </c>
      <c r="AB8" s="9" t="s">
        <v>68</v>
      </c>
      <c r="AC8" s="9" t="s">
        <v>102</v>
      </c>
      <c r="AD8" s="9" t="n">
        <v>89577</v>
      </c>
      <c r="AE8" s="10" t="n">
        <f aca="false">(AD8/Q8)*100</f>
        <v>32.7078540913572</v>
      </c>
      <c r="AF8" s="9" t="s">
        <v>71</v>
      </c>
      <c r="AG8" s="9" t="s">
        <v>72</v>
      </c>
      <c r="AH8" s="9" t="s">
        <v>103</v>
      </c>
      <c r="AI8" s="9" t="n">
        <v>33401</v>
      </c>
      <c r="AJ8" s="10" t="n">
        <f aca="false">(AI8/Q8)*100</f>
        <v>12.1959323766751</v>
      </c>
      <c r="AK8" s="9" t="s">
        <v>58</v>
      </c>
      <c r="AL8" s="9" t="s">
        <v>58</v>
      </c>
      <c r="AM8" s="9" t="s">
        <v>104</v>
      </c>
      <c r="AN8" s="9" t="n">
        <v>21045</v>
      </c>
      <c r="AO8" s="10" t="n">
        <f aca="false">(AN8/Q8)*100</f>
        <v>7.68430277138789</v>
      </c>
      <c r="AP8" s="12" t="s">
        <v>60</v>
      </c>
      <c r="AQ8" s="9" t="s">
        <v>74</v>
      </c>
      <c r="AR8" s="9" t="s">
        <v>105</v>
      </c>
      <c r="AS8" s="9" t="n">
        <v>2660</v>
      </c>
      <c r="AT8" s="10" t="n">
        <f aca="false">(AS8/Q8)*100</f>
        <v>0.971263738269982</v>
      </c>
    </row>
    <row r="9" customFormat="false" ht="12.8" hidden="false" customHeight="false" outlineLevel="0" collapsed="false">
      <c r="A9" s="7" t="n">
        <v>2021</v>
      </c>
      <c r="B9" s="8" t="n">
        <v>8</v>
      </c>
      <c r="C9" s="9" t="s">
        <v>106</v>
      </c>
      <c r="D9" s="9" t="s">
        <v>100</v>
      </c>
      <c r="E9" s="9" t="s">
        <v>100</v>
      </c>
      <c r="F9" s="9" t="s">
        <v>48</v>
      </c>
      <c r="G9" s="9" t="s">
        <v>88</v>
      </c>
      <c r="H9" s="9" t="s">
        <v>51</v>
      </c>
      <c r="I9" s="9" t="s">
        <v>51</v>
      </c>
      <c r="J9" s="9" t="s">
        <v>51</v>
      </c>
      <c r="K9" s="9" t="s">
        <v>51</v>
      </c>
      <c r="L9" s="9" t="s">
        <v>51</v>
      </c>
      <c r="M9" s="9" t="s">
        <v>51</v>
      </c>
      <c r="N9" s="9" t="s">
        <v>51</v>
      </c>
      <c r="O9" s="9" t="s">
        <v>51</v>
      </c>
      <c r="P9" s="9" t="n">
        <v>384377</v>
      </c>
      <c r="Q9" s="9" t="n">
        <v>240299</v>
      </c>
      <c r="R9" s="10" t="n">
        <f aca="false">(Q9/P9)*100</f>
        <v>62.5164877190883</v>
      </c>
      <c r="S9" s="9" t="n">
        <f aca="false">Y9-AD9</f>
        <v>42146</v>
      </c>
      <c r="T9" s="10" t="n">
        <f aca="false">(S9/Q9)*100</f>
        <v>17.5389826840728</v>
      </c>
      <c r="U9" s="10" t="n">
        <f aca="false">Z9+AE9</f>
        <v>77.8039026379636</v>
      </c>
      <c r="V9" s="9" t="s">
        <v>52</v>
      </c>
      <c r="W9" s="9" t="s">
        <v>53</v>
      </c>
      <c r="X9" s="9" t="s">
        <v>107</v>
      </c>
      <c r="Y9" s="9" t="n">
        <v>114554</v>
      </c>
      <c r="Z9" s="10" t="n">
        <f aca="false">(Y9/Q9)*100</f>
        <v>47.6714426610182</v>
      </c>
      <c r="AA9" s="9" t="s">
        <v>55</v>
      </c>
      <c r="AB9" s="9" t="s">
        <v>68</v>
      </c>
      <c r="AC9" s="9" t="s">
        <v>108</v>
      </c>
      <c r="AD9" s="9" t="n">
        <v>72408</v>
      </c>
      <c r="AE9" s="10" t="n">
        <f aca="false">(AD9/Q9)*100</f>
        <v>30.1324599769454</v>
      </c>
      <c r="AF9" s="9" t="s">
        <v>58</v>
      </c>
      <c r="AG9" s="9" t="s">
        <v>58</v>
      </c>
      <c r="AH9" s="9" t="s">
        <v>109</v>
      </c>
      <c r="AI9" s="9" t="n">
        <v>22701</v>
      </c>
      <c r="AJ9" s="10" t="n">
        <f aca="false">(AI9/Q9)*100</f>
        <v>9.44698063662354</v>
      </c>
      <c r="AK9" s="9" t="s">
        <v>71</v>
      </c>
      <c r="AL9" s="9" t="s">
        <v>72</v>
      </c>
      <c r="AM9" s="9" t="s">
        <v>110</v>
      </c>
      <c r="AN9" s="9" t="n">
        <v>22370</v>
      </c>
      <c r="AO9" s="10" t="n">
        <f aca="false">(AN9/Q9)*100</f>
        <v>9.30923557734323</v>
      </c>
      <c r="AP9" s="12" t="s">
        <v>60</v>
      </c>
      <c r="AQ9" s="9" t="s">
        <v>74</v>
      </c>
      <c r="AR9" s="9" t="s">
        <v>111</v>
      </c>
      <c r="AS9" s="9" t="n">
        <v>2631</v>
      </c>
      <c r="AT9" s="10" t="n">
        <f aca="false">(AS9/Q9)*100</f>
        <v>1.09488595458158</v>
      </c>
    </row>
    <row r="10" customFormat="false" ht="12.8" hidden="false" customHeight="false" outlineLevel="0" collapsed="false">
      <c r="A10" s="7" t="n">
        <v>2021</v>
      </c>
      <c r="B10" s="8" t="n">
        <v>9</v>
      </c>
      <c r="C10" s="9" t="s">
        <v>112</v>
      </c>
      <c r="D10" s="9" t="s">
        <v>100</v>
      </c>
      <c r="E10" s="9" t="s">
        <v>100</v>
      </c>
      <c r="F10" s="9" t="s">
        <v>48</v>
      </c>
      <c r="G10" s="9" t="s">
        <v>88</v>
      </c>
      <c r="H10" s="9" t="s">
        <v>51</v>
      </c>
      <c r="I10" s="9" t="s">
        <v>51</v>
      </c>
      <c r="J10" s="9" t="s">
        <v>51</v>
      </c>
      <c r="K10" s="9" t="s">
        <v>51</v>
      </c>
      <c r="L10" s="9" t="s">
        <v>51</v>
      </c>
      <c r="M10" s="9" t="s">
        <v>51</v>
      </c>
      <c r="N10" s="9" t="s">
        <v>51</v>
      </c>
      <c r="O10" s="9" t="s">
        <v>51</v>
      </c>
      <c r="P10" s="9" t="n">
        <v>454474</v>
      </c>
      <c r="Q10" s="9" t="n">
        <v>302700</v>
      </c>
      <c r="R10" s="10" t="n">
        <f aca="false">(Q10/P10)*100</f>
        <v>66.604470222719</v>
      </c>
      <c r="S10" s="9" t="n">
        <f aca="false">Y10-AD10</f>
        <v>57071</v>
      </c>
      <c r="T10" s="10" t="n">
        <f aca="false">(S10/Q10)*100</f>
        <v>18.8539808391146</v>
      </c>
      <c r="U10" s="10" t="n">
        <f aca="false">Z10+AE10</f>
        <v>81.2352163858606</v>
      </c>
      <c r="V10" s="9" t="s">
        <v>52</v>
      </c>
      <c r="W10" s="9" t="s">
        <v>53</v>
      </c>
      <c r="X10" s="9" t="s">
        <v>113</v>
      </c>
      <c r="Y10" s="9" t="n">
        <v>151485</v>
      </c>
      <c r="Z10" s="10" t="n">
        <f aca="false">(Y10/Q10)*100</f>
        <v>50.0445986124876</v>
      </c>
      <c r="AA10" s="9" t="s">
        <v>55</v>
      </c>
      <c r="AB10" s="9" t="s">
        <v>68</v>
      </c>
      <c r="AC10" s="9" t="s">
        <v>114</v>
      </c>
      <c r="AD10" s="9" t="n">
        <v>94414</v>
      </c>
      <c r="AE10" s="10" t="n">
        <f aca="false">(AD10/Q10)*100</f>
        <v>31.190617773373</v>
      </c>
      <c r="AF10" s="9" t="s">
        <v>58</v>
      </c>
      <c r="AG10" s="9" t="s">
        <v>58</v>
      </c>
      <c r="AH10" s="9" t="s">
        <v>115</v>
      </c>
      <c r="AI10" s="9" t="n">
        <v>27453</v>
      </c>
      <c r="AJ10" s="10" t="n">
        <f aca="false">(AI10/Q10)*100</f>
        <v>9.06937561942517</v>
      </c>
      <c r="AK10" s="9" t="s">
        <v>71</v>
      </c>
      <c r="AL10" s="9" t="s">
        <v>72</v>
      </c>
      <c r="AM10" s="9" t="s">
        <v>116</v>
      </c>
      <c r="AN10" s="9" t="n">
        <v>15877</v>
      </c>
      <c r="AO10" s="10" t="n">
        <f aca="false">(AN10/Q10)*100</f>
        <v>5.24512718863561</v>
      </c>
      <c r="AP10" s="12" t="s">
        <v>60</v>
      </c>
      <c r="AQ10" s="9" t="s">
        <v>74</v>
      </c>
      <c r="AR10" s="9" t="s">
        <v>117</v>
      </c>
      <c r="AS10" s="9" t="n">
        <v>7104</v>
      </c>
      <c r="AT10" s="10" t="n">
        <f aca="false">(AS10/Q10)*100</f>
        <v>2.34687809712587</v>
      </c>
    </row>
    <row r="11" customFormat="false" ht="12.8" hidden="false" customHeight="false" outlineLevel="0" collapsed="false">
      <c r="A11" s="7" t="n">
        <v>2021</v>
      </c>
      <c r="B11" s="8" t="n">
        <v>10</v>
      </c>
      <c r="C11" s="9" t="s">
        <v>118</v>
      </c>
      <c r="D11" s="9" t="s">
        <v>100</v>
      </c>
      <c r="E11" s="9" t="s">
        <v>100</v>
      </c>
      <c r="F11" s="9" t="s">
        <v>48</v>
      </c>
      <c r="G11" s="9" t="s">
        <v>88</v>
      </c>
      <c r="H11" s="9" t="s">
        <v>51</v>
      </c>
      <c r="I11" s="9" t="s">
        <v>51</v>
      </c>
      <c r="J11" s="9" t="s">
        <v>58</v>
      </c>
      <c r="K11" s="9" t="s">
        <v>51</v>
      </c>
      <c r="L11" s="9" t="s">
        <v>51</v>
      </c>
      <c r="M11" s="9" t="s">
        <v>51</v>
      </c>
      <c r="N11" s="9" t="s">
        <v>51</v>
      </c>
      <c r="O11" s="9" t="s">
        <v>51</v>
      </c>
      <c r="P11" s="9" t="n">
        <v>306005</v>
      </c>
      <c r="Q11" s="9" t="n">
        <v>199996</v>
      </c>
      <c r="R11" s="10" t="n">
        <f aca="false">(Q11/P11)*100</f>
        <v>65.3571020081371</v>
      </c>
      <c r="S11" s="9" t="n">
        <f aca="false">Y11-AD11</f>
        <v>37661</v>
      </c>
      <c r="T11" s="10" t="n">
        <f aca="false">(S11/Q11)*100</f>
        <v>18.8308766175324</v>
      </c>
      <c r="U11" s="10" t="n">
        <f aca="false">Z11+AE11</f>
        <v>69.3558871177424</v>
      </c>
      <c r="V11" s="9" t="s">
        <v>52</v>
      </c>
      <c r="W11" s="9" t="s">
        <v>53</v>
      </c>
      <c r="X11" s="9" t="s">
        <v>119</v>
      </c>
      <c r="Y11" s="9" t="n">
        <v>88185</v>
      </c>
      <c r="Z11" s="10" t="n">
        <f aca="false">(Y11/Q11)*100</f>
        <v>44.0933818676374</v>
      </c>
      <c r="AA11" s="9" t="s">
        <v>55</v>
      </c>
      <c r="AB11" s="9" t="s">
        <v>68</v>
      </c>
      <c r="AC11" s="9" t="s">
        <v>120</v>
      </c>
      <c r="AD11" s="9" t="n">
        <v>50524</v>
      </c>
      <c r="AE11" s="10" t="n">
        <f aca="false">(AD11/Q11)*100</f>
        <v>25.262505250105</v>
      </c>
      <c r="AF11" s="9" t="s">
        <v>58</v>
      </c>
      <c r="AG11" s="9" t="s">
        <v>58</v>
      </c>
      <c r="AH11" s="9" t="s">
        <v>121</v>
      </c>
      <c r="AI11" s="9" t="n">
        <v>48597</v>
      </c>
      <c r="AJ11" s="10" t="n">
        <f aca="false">(AI11/Q11)*100</f>
        <v>24.2989859797196</v>
      </c>
      <c r="AK11" s="9" t="s">
        <v>71</v>
      </c>
      <c r="AL11" s="9" t="s">
        <v>72</v>
      </c>
      <c r="AM11" s="9" t="s">
        <v>122</v>
      </c>
      <c r="AN11" s="9" t="n">
        <v>7053</v>
      </c>
      <c r="AO11" s="10" t="n">
        <f aca="false">(AN11/Q11)*100</f>
        <v>3.52657053141063</v>
      </c>
      <c r="AP11" s="12" t="s">
        <v>60</v>
      </c>
      <c r="AQ11" s="9" t="s">
        <v>74</v>
      </c>
      <c r="AR11" s="9" t="s">
        <v>123</v>
      </c>
      <c r="AS11" s="9" t="n">
        <v>1417</v>
      </c>
      <c r="AT11" s="10" t="n">
        <f aca="false">(AS11/Q11)*100</f>
        <v>0.708514170283406</v>
      </c>
    </row>
    <row r="12" customFormat="false" ht="12.8" hidden="false" customHeight="false" outlineLevel="0" collapsed="false">
      <c r="A12" s="7" t="n">
        <v>2021</v>
      </c>
      <c r="B12" s="8" t="n">
        <v>11</v>
      </c>
      <c r="C12" s="9" t="s">
        <v>124</v>
      </c>
      <c r="D12" s="9" t="s">
        <v>100</v>
      </c>
      <c r="E12" s="9" t="s">
        <v>100</v>
      </c>
      <c r="F12" s="9" t="s">
        <v>48</v>
      </c>
      <c r="G12" s="9" t="s">
        <v>125</v>
      </c>
      <c r="H12" s="9" t="s">
        <v>51</v>
      </c>
      <c r="I12" s="9" t="s">
        <v>51</v>
      </c>
      <c r="J12" s="9" t="s">
        <v>51</v>
      </c>
      <c r="K12" s="9" t="s">
        <v>51</v>
      </c>
      <c r="L12" s="9" t="s">
        <v>51</v>
      </c>
      <c r="M12" s="9" t="s">
        <v>51</v>
      </c>
      <c r="N12" s="9" t="s">
        <v>68</v>
      </c>
      <c r="O12" s="9" t="s">
        <v>126</v>
      </c>
      <c r="P12" s="9" t="n">
        <v>262980</v>
      </c>
      <c r="Q12" s="9" t="n">
        <v>187027</v>
      </c>
      <c r="R12" s="10" t="n">
        <f aca="false">(Q12/P12)*100</f>
        <v>71.1183359951327</v>
      </c>
      <c r="S12" s="9" t="n">
        <f aca="false">Y12-AD12</f>
        <v>42479</v>
      </c>
      <c r="T12" s="10" t="n">
        <f aca="false">(S12/Q12)*100</f>
        <v>22.7127633977982</v>
      </c>
      <c r="U12" s="10" t="n">
        <f aca="false">Z12+AE12</f>
        <v>79.6927716319034</v>
      </c>
      <c r="V12" s="9" t="s">
        <v>52</v>
      </c>
      <c r="W12" s="9" t="s">
        <v>53</v>
      </c>
      <c r="X12" s="9" t="s">
        <v>127</v>
      </c>
      <c r="Y12" s="9" t="n">
        <v>95763</v>
      </c>
      <c r="Z12" s="10" t="n">
        <f aca="false">(Y12/Q12)*100</f>
        <v>51.2027675148508</v>
      </c>
      <c r="AA12" s="9" t="s">
        <v>55</v>
      </c>
      <c r="AB12" s="9" t="s">
        <v>68</v>
      </c>
      <c r="AC12" s="9" t="s">
        <v>128</v>
      </c>
      <c r="AD12" s="9" t="n">
        <v>53284</v>
      </c>
      <c r="AE12" s="10" t="n">
        <f aca="false">(AD12/Q12)*100</f>
        <v>28.4900041170526</v>
      </c>
      <c r="AF12" s="9" t="s">
        <v>58</v>
      </c>
      <c r="AG12" s="9" t="s">
        <v>58</v>
      </c>
      <c r="AH12" s="9" t="s">
        <v>129</v>
      </c>
      <c r="AI12" s="9" t="n">
        <v>20437</v>
      </c>
      <c r="AJ12" s="10" t="n">
        <f aca="false">(AI12/Q12)*100</f>
        <v>10.9272992669508</v>
      </c>
      <c r="AK12" s="9" t="s">
        <v>71</v>
      </c>
      <c r="AL12" s="9" t="s">
        <v>72</v>
      </c>
      <c r="AM12" s="9" t="s">
        <v>130</v>
      </c>
      <c r="AN12" s="9" t="n">
        <v>11198</v>
      </c>
      <c r="AO12" s="10" t="n">
        <f aca="false">(AN12/Q12)*100</f>
        <v>5.98737080742353</v>
      </c>
      <c r="AP12" s="12" t="s">
        <v>60</v>
      </c>
      <c r="AQ12" s="9" t="s">
        <v>74</v>
      </c>
      <c r="AR12" s="9" t="s">
        <v>131</v>
      </c>
      <c r="AS12" s="9" t="n">
        <v>1852</v>
      </c>
      <c r="AT12" s="10" t="n">
        <f aca="false">(AS12/Q12)*100</f>
        <v>0.990231356969849</v>
      </c>
    </row>
    <row r="13" customFormat="false" ht="12.8" hidden="false" customHeight="false" outlineLevel="0" collapsed="false">
      <c r="A13" s="7" t="n">
        <v>2021</v>
      </c>
      <c r="B13" s="8" t="n">
        <v>12</v>
      </c>
      <c r="C13" s="9" t="s">
        <v>132</v>
      </c>
      <c r="D13" s="9" t="s">
        <v>100</v>
      </c>
      <c r="E13" s="9" t="s">
        <v>100</v>
      </c>
      <c r="F13" s="9" t="s">
        <v>48</v>
      </c>
      <c r="G13" s="9" t="s">
        <v>125</v>
      </c>
      <c r="H13" s="9" t="s">
        <v>51</v>
      </c>
      <c r="I13" s="9" t="s">
        <v>51</v>
      </c>
      <c r="J13" s="9" t="s">
        <v>51</v>
      </c>
      <c r="K13" s="9" t="s">
        <v>51</v>
      </c>
      <c r="L13" s="9" t="s">
        <v>51</v>
      </c>
      <c r="M13" s="9" t="s">
        <v>51</v>
      </c>
      <c r="N13" s="9" t="s">
        <v>53</v>
      </c>
      <c r="O13" s="9" t="s">
        <v>51</v>
      </c>
      <c r="P13" s="9" t="n">
        <v>315942</v>
      </c>
      <c r="Q13" s="9" t="n">
        <v>200387</v>
      </c>
      <c r="R13" s="10" t="n">
        <f aca="false">(Q13/P13)*100</f>
        <v>63.4252489380962</v>
      </c>
      <c r="S13" s="9" t="n">
        <f aca="false">Y13-AD13</f>
        <v>54976</v>
      </c>
      <c r="T13" s="10" t="n">
        <f aca="false">(S13/Q13)*100</f>
        <v>27.4349134424888</v>
      </c>
      <c r="U13" s="10" t="n">
        <f aca="false">Z13+AE13</f>
        <v>77.6287882946499</v>
      </c>
      <c r="V13" s="9" t="s">
        <v>52</v>
      </c>
      <c r="W13" s="9" t="s">
        <v>53</v>
      </c>
      <c r="X13" s="9" t="s">
        <v>133</v>
      </c>
      <c r="Y13" s="9" t="n">
        <v>105267</v>
      </c>
      <c r="Z13" s="10" t="n">
        <f aca="false">(Y13/Q13)*100</f>
        <v>52.5318508685693</v>
      </c>
      <c r="AA13" s="9" t="s">
        <v>55</v>
      </c>
      <c r="AB13" s="9" t="s">
        <v>68</v>
      </c>
      <c r="AC13" s="9" t="s">
        <v>134</v>
      </c>
      <c r="AD13" s="9" t="n">
        <v>50291</v>
      </c>
      <c r="AE13" s="10" t="n">
        <f aca="false">(AD13/Q13)*100</f>
        <v>25.0969374260805</v>
      </c>
      <c r="AF13" s="9" t="s">
        <v>58</v>
      </c>
      <c r="AG13" s="9" t="s">
        <v>58</v>
      </c>
      <c r="AH13" s="9" t="s">
        <v>135</v>
      </c>
      <c r="AI13" s="9" t="n">
        <v>19821</v>
      </c>
      <c r="AJ13" s="10" t="n">
        <f aca="false">(AI13/Q13)*100</f>
        <v>9.89136021797821</v>
      </c>
      <c r="AK13" s="9" t="s">
        <v>71</v>
      </c>
      <c r="AL13" s="9" t="s">
        <v>72</v>
      </c>
      <c r="AM13" s="9" t="s">
        <v>136</v>
      </c>
      <c r="AN13" s="9" t="n">
        <v>17072</v>
      </c>
      <c r="AO13" s="10" t="n">
        <f aca="false">(AN13/Q13)*100</f>
        <v>8.51951473898007</v>
      </c>
      <c r="AP13" s="12" t="s">
        <v>60</v>
      </c>
      <c r="AQ13" s="9" t="s">
        <v>74</v>
      </c>
      <c r="AR13" s="9" t="s">
        <v>137</v>
      </c>
      <c r="AS13" s="9" t="n">
        <v>4042</v>
      </c>
      <c r="AT13" s="10" t="n">
        <f aca="false">(AS13/Q13)*100</f>
        <v>2.01709691746471</v>
      </c>
    </row>
    <row r="14" customFormat="false" ht="12.8" hidden="false" customHeight="false" outlineLevel="0" collapsed="false">
      <c r="A14" s="7" t="n">
        <v>2021</v>
      </c>
      <c r="B14" s="8" t="n">
        <v>13</v>
      </c>
      <c r="C14" s="9" t="s">
        <v>138</v>
      </c>
      <c r="D14" s="9" t="s">
        <v>100</v>
      </c>
      <c r="E14" s="9" t="s">
        <v>100</v>
      </c>
      <c r="F14" s="9" t="s">
        <v>48</v>
      </c>
      <c r="G14" s="9" t="s">
        <v>125</v>
      </c>
      <c r="H14" s="9" t="s">
        <v>51</v>
      </c>
      <c r="I14" s="9" t="s">
        <v>51</v>
      </c>
      <c r="J14" s="9" t="s">
        <v>53</v>
      </c>
      <c r="K14" s="9" t="s">
        <v>53</v>
      </c>
      <c r="L14" s="9" t="s">
        <v>51</v>
      </c>
      <c r="M14" s="9" t="s">
        <v>53</v>
      </c>
      <c r="N14" s="9" t="s">
        <v>51</v>
      </c>
      <c r="O14" s="9" t="s">
        <v>51</v>
      </c>
      <c r="P14" s="9" t="n">
        <v>281197</v>
      </c>
      <c r="Q14" s="9" t="n">
        <v>173388</v>
      </c>
      <c r="R14" s="10" t="n">
        <f aca="false">(Q14/P14)*100</f>
        <v>61.6606862804369</v>
      </c>
      <c r="S14" s="9" t="n">
        <f aca="false">Y14-AD14</f>
        <v>70384</v>
      </c>
      <c r="T14" s="10" t="n">
        <f aca="false">(S14/Q14)*100</f>
        <v>40.5933513276582</v>
      </c>
      <c r="U14" s="10" t="n">
        <f aca="false">Z14+AE14</f>
        <v>81.1244146077007</v>
      </c>
      <c r="V14" s="9" t="s">
        <v>52</v>
      </c>
      <c r="W14" s="9" t="s">
        <v>53</v>
      </c>
      <c r="X14" s="9" t="s">
        <v>139</v>
      </c>
      <c r="Y14" s="9" t="n">
        <v>105522</v>
      </c>
      <c r="Z14" s="10" t="n">
        <f aca="false">(Y14/Q14)*100</f>
        <v>60.8588829676794</v>
      </c>
      <c r="AA14" s="9" t="s">
        <v>55</v>
      </c>
      <c r="AB14" s="9" t="s">
        <v>68</v>
      </c>
      <c r="AC14" s="9" t="s">
        <v>140</v>
      </c>
      <c r="AD14" s="9" t="n">
        <v>35138</v>
      </c>
      <c r="AE14" s="10" t="n">
        <f aca="false">(AD14/Q14)*100</f>
        <v>20.2655316400212</v>
      </c>
      <c r="AF14" s="9" t="s">
        <v>71</v>
      </c>
      <c r="AG14" s="9" t="s">
        <v>72</v>
      </c>
      <c r="AH14" s="9" t="s">
        <v>141</v>
      </c>
      <c r="AI14" s="9" t="n">
        <v>14210</v>
      </c>
      <c r="AJ14" s="10" t="n">
        <f aca="false">(AI14/Q14)*100</f>
        <v>8.1954921909244</v>
      </c>
      <c r="AK14" s="9" t="s">
        <v>58</v>
      </c>
      <c r="AL14" s="9" t="s">
        <v>58</v>
      </c>
      <c r="AM14" s="9" t="s">
        <v>142</v>
      </c>
      <c r="AN14" s="9" t="n">
        <v>11304</v>
      </c>
      <c r="AO14" s="10" t="n">
        <f aca="false">(AN14/Q14)*100</f>
        <v>6.51948231711537</v>
      </c>
      <c r="AP14" s="9" t="s">
        <v>63</v>
      </c>
      <c r="AQ14" s="9" t="s">
        <v>63</v>
      </c>
      <c r="AR14" s="9" t="s">
        <v>63</v>
      </c>
      <c r="AS14" s="9" t="n">
        <v>1529</v>
      </c>
      <c r="AT14" s="10" t="n">
        <f aca="false">(AS14/Q14)*100</f>
        <v>0.881837266708192</v>
      </c>
    </row>
    <row r="15" customFormat="false" ht="12.8" hidden="false" customHeight="false" outlineLevel="0" collapsed="false">
      <c r="A15" s="7" t="n">
        <v>2021</v>
      </c>
      <c r="B15" s="8" t="n">
        <v>14</v>
      </c>
      <c r="C15" s="9" t="s">
        <v>143</v>
      </c>
      <c r="D15" s="9" t="s">
        <v>100</v>
      </c>
      <c r="E15" s="9" t="s">
        <v>100</v>
      </c>
      <c r="F15" s="9" t="s">
        <v>144</v>
      </c>
      <c r="G15" s="9" t="s">
        <v>125</v>
      </c>
      <c r="H15" s="9" t="s">
        <v>51</v>
      </c>
      <c r="I15" s="9" t="s">
        <v>51</v>
      </c>
      <c r="J15" s="9" t="s">
        <v>51</v>
      </c>
      <c r="K15" s="9" t="s">
        <v>51</v>
      </c>
      <c r="L15" s="9" t="s">
        <v>51</v>
      </c>
      <c r="M15" s="9" t="s">
        <v>51</v>
      </c>
      <c r="N15" s="9" t="s">
        <v>51</v>
      </c>
      <c r="O15" s="9" t="s">
        <v>51</v>
      </c>
      <c r="P15" s="9" t="n">
        <v>255328</v>
      </c>
      <c r="Q15" s="9" t="n">
        <v>144092</v>
      </c>
      <c r="R15" s="10" t="n">
        <f aca="false">(Q15/P15)*100</f>
        <v>56.434076951999</v>
      </c>
      <c r="S15" s="9" t="n">
        <f aca="false">Y15-AD15</f>
        <v>37237</v>
      </c>
      <c r="T15" s="10" t="n">
        <f aca="false">(S15/Q15)*100</f>
        <v>25.8425172806263</v>
      </c>
      <c r="U15" s="10" t="n">
        <f aca="false">Z15+AE15</f>
        <v>79.8219193293174</v>
      </c>
      <c r="V15" s="9" t="s">
        <v>52</v>
      </c>
      <c r="W15" s="9" t="s">
        <v>53</v>
      </c>
      <c r="X15" s="9" t="s">
        <v>145</v>
      </c>
      <c r="Y15" s="9" t="n">
        <v>76127</v>
      </c>
      <c r="Z15" s="10" t="n">
        <f aca="false">(Y15/Q15)*100</f>
        <v>52.8322183049718</v>
      </c>
      <c r="AA15" s="9" t="s">
        <v>55</v>
      </c>
      <c r="AB15" s="9" t="s">
        <v>68</v>
      </c>
      <c r="AC15" s="9" t="s">
        <v>146</v>
      </c>
      <c r="AD15" s="9" t="n">
        <v>38890</v>
      </c>
      <c r="AE15" s="10" t="n">
        <f aca="false">(AD15/Q15)*100</f>
        <v>26.9897010243456</v>
      </c>
      <c r="AF15" s="9" t="s">
        <v>71</v>
      </c>
      <c r="AG15" s="9" t="s">
        <v>72</v>
      </c>
      <c r="AH15" s="9" t="s">
        <v>147</v>
      </c>
      <c r="AI15" s="9" t="n">
        <v>13364</v>
      </c>
      <c r="AJ15" s="10" t="n">
        <f aca="false">(AI15/Q15)*100</f>
        <v>9.27463009743775</v>
      </c>
      <c r="AK15" s="9" t="s">
        <v>58</v>
      </c>
      <c r="AL15" s="9" t="s">
        <v>58</v>
      </c>
      <c r="AM15" s="9" t="s">
        <v>148</v>
      </c>
      <c r="AN15" s="9" t="n">
        <v>10914</v>
      </c>
      <c r="AO15" s="10" t="n">
        <f aca="false">(AN15/Q15)*100</f>
        <v>7.57432751297782</v>
      </c>
      <c r="AP15" s="9" t="s">
        <v>63</v>
      </c>
      <c r="AQ15" s="9" t="s">
        <v>63</v>
      </c>
      <c r="AR15" s="9" t="s">
        <v>63</v>
      </c>
      <c r="AS15" s="9" t="n">
        <v>1444</v>
      </c>
      <c r="AT15" s="10" t="n">
        <f aca="false">(AS15/Q15)*100</f>
        <v>1.00213752324904</v>
      </c>
    </row>
    <row r="16" customFormat="false" ht="12.8" hidden="false" customHeight="false" outlineLevel="0" collapsed="false">
      <c r="A16" s="7" t="n">
        <v>2021</v>
      </c>
      <c r="B16" s="8" t="n">
        <v>15</v>
      </c>
      <c r="C16" s="9" t="s">
        <v>149</v>
      </c>
      <c r="D16" s="9" t="s">
        <v>100</v>
      </c>
      <c r="E16" s="9" t="s">
        <v>100</v>
      </c>
      <c r="F16" s="9" t="s">
        <v>48</v>
      </c>
      <c r="G16" s="9" t="s">
        <v>125</v>
      </c>
      <c r="H16" s="9" t="s">
        <v>65</v>
      </c>
      <c r="I16" s="9" t="s">
        <v>51</v>
      </c>
      <c r="J16" s="9" t="s">
        <v>51</v>
      </c>
      <c r="K16" s="9" t="s">
        <v>51</v>
      </c>
      <c r="L16" s="9" t="s">
        <v>51</v>
      </c>
      <c r="M16" s="9" t="s">
        <v>51</v>
      </c>
      <c r="N16" s="9" t="s">
        <v>51</v>
      </c>
      <c r="O16" s="9" t="s">
        <v>51</v>
      </c>
      <c r="P16" s="9" t="n">
        <v>219438</v>
      </c>
      <c r="Q16" s="9" t="n">
        <v>133696</v>
      </c>
      <c r="R16" s="10" t="n">
        <f aca="false">(Q16/P16)*100</f>
        <v>60.926548729026</v>
      </c>
      <c r="S16" s="9" t="n">
        <f aca="false">Y16-AD16</f>
        <v>55013</v>
      </c>
      <c r="T16" s="10" t="n">
        <f aca="false">(S16/Q16)*100</f>
        <v>41.14782790809</v>
      </c>
      <c r="U16" s="10" t="n">
        <f aca="false">Z16+AE16</f>
        <v>81.1101304451891</v>
      </c>
      <c r="V16" s="9" t="s">
        <v>52</v>
      </c>
      <c r="W16" s="9" t="s">
        <v>53</v>
      </c>
      <c r="X16" s="9" t="s">
        <v>150</v>
      </c>
      <c r="Y16" s="9" t="n">
        <v>81727</v>
      </c>
      <c r="Z16" s="10" t="n">
        <f aca="false">(Y16/Q16)*100</f>
        <v>61.1289791766395</v>
      </c>
      <c r="AA16" s="9" t="s">
        <v>55</v>
      </c>
      <c r="AB16" s="9" t="s">
        <v>68</v>
      </c>
      <c r="AC16" s="9" t="s">
        <v>151</v>
      </c>
      <c r="AD16" s="9" t="n">
        <v>26714</v>
      </c>
      <c r="AE16" s="10" t="n">
        <f aca="false">(AD16/Q16)*100</f>
        <v>19.9811512685495</v>
      </c>
      <c r="AF16" s="9" t="s">
        <v>58</v>
      </c>
      <c r="AG16" s="9" t="s">
        <v>58</v>
      </c>
      <c r="AH16" s="9" t="s">
        <v>152</v>
      </c>
      <c r="AI16" s="9" t="n">
        <v>10921</v>
      </c>
      <c r="AJ16" s="10" t="n">
        <f aca="false">(AI16/Q16)*100</f>
        <v>8.16853159406415</v>
      </c>
      <c r="AK16" s="9" t="s">
        <v>71</v>
      </c>
      <c r="AL16" s="9" t="s">
        <v>72</v>
      </c>
      <c r="AM16" s="9" t="s">
        <v>153</v>
      </c>
      <c r="AN16" s="9" t="n">
        <v>9710</v>
      </c>
      <c r="AO16" s="10" t="n">
        <f aca="false">(AN16/Q16)*100</f>
        <v>7.26274533269507</v>
      </c>
      <c r="AP16" s="12" t="s">
        <v>60</v>
      </c>
      <c r="AQ16" s="9" t="s">
        <v>61</v>
      </c>
      <c r="AR16" s="9" t="s">
        <v>154</v>
      </c>
      <c r="AS16" s="9" t="n">
        <v>1787</v>
      </c>
      <c r="AT16" s="10" t="n">
        <f aca="false">(AS16/Q16)*100</f>
        <v>1.33661440880804</v>
      </c>
    </row>
    <row r="17" customFormat="false" ht="12.8" hidden="false" customHeight="false" outlineLevel="0" collapsed="false">
      <c r="A17" s="7" t="n">
        <v>2021</v>
      </c>
      <c r="B17" s="8" t="n">
        <v>16</v>
      </c>
      <c r="C17" s="9" t="s">
        <v>155</v>
      </c>
      <c r="D17" s="9" t="s">
        <v>100</v>
      </c>
      <c r="E17" s="9" t="s">
        <v>100</v>
      </c>
      <c r="F17" s="9" t="s">
        <v>144</v>
      </c>
      <c r="G17" s="9" t="s">
        <v>125</v>
      </c>
      <c r="H17" s="9" t="s">
        <v>65</v>
      </c>
      <c r="I17" s="9" t="s">
        <v>51</v>
      </c>
      <c r="J17" s="9" t="s">
        <v>51</v>
      </c>
      <c r="K17" s="9" t="s">
        <v>51</v>
      </c>
      <c r="L17" s="9" t="s">
        <v>53</v>
      </c>
      <c r="M17" s="9" t="s">
        <v>51</v>
      </c>
      <c r="N17" s="9" t="s">
        <v>53</v>
      </c>
      <c r="O17" s="9" t="s">
        <v>51</v>
      </c>
      <c r="P17" s="9" t="n">
        <v>193162</v>
      </c>
      <c r="Q17" s="9" t="n">
        <v>119271</v>
      </c>
      <c r="R17" s="10" t="n">
        <f aca="false">(Q17/P17)*100</f>
        <v>61.7466168293971</v>
      </c>
      <c r="S17" s="9" t="n">
        <f aca="false">Y17-AD17</f>
        <v>38768</v>
      </c>
      <c r="T17" s="10" t="n">
        <f aca="false">(S17/Q17)*100</f>
        <v>32.5041292518718</v>
      </c>
      <c r="U17" s="10" t="n">
        <f aca="false">Z17+AE17</f>
        <v>82.9170544390506</v>
      </c>
      <c r="V17" s="9" t="s">
        <v>52</v>
      </c>
      <c r="W17" s="9" t="s">
        <v>53</v>
      </c>
      <c r="X17" s="9" t="s">
        <v>156</v>
      </c>
      <c r="Y17" s="9" t="n">
        <v>68832</v>
      </c>
      <c r="Z17" s="10" t="n">
        <f aca="false">(Y17/Q17)*100</f>
        <v>57.7105918454612</v>
      </c>
      <c r="AA17" s="9" t="s">
        <v>55</v>
      </c>
      <c r="AB17" s="9" t="s">
        <v>68</v>
      </c>
      <c r="AC17" s="9" t="s">
        <v>157</v>
      </c>
      <c r="AD17" s="9" t="n">
        <v>30064</v>
      </c>
      <c r="AE17" s="10" t="n">
        <f aca="false">(AD17/Q17)*100</f>
        <v>25.2064625935894</v>
      </c>
      <c r="AF17" s="9" t="s">
        <v>71</v>
      </c>
      <c r="AG17" s="9" t="s">
        <v>72</v>
      </c>
      <c r="AH17" s="9" t="s">
        <v>158</v>
      </c>
      <c r="AI17" s="9" t="n">
        <v>9990</v>
      </c>
      <c r="AJ17" s="10" t="n">
        <f aca="false">(AI17/Q17)*100</f>
        <v>8.37588349221521</v>
      </c>
      <c r="AK17" s="9" t="s">
        <v>58</v>
      </c>
      <c r="AL17" s="9" t="s">
        <v>58</v>
      </c>
      <c r="AM17" s="9" t="s">
        <v>159</v>
      </c>
      <c r="AN17" s="9" t="n">
        <v>6276</v>
      </c>
      <c r="AO17" s="10" t="n">
        <f aca="false">(AN17/Q17)*100</f>
        <v>5.26196644616042</v>
      </c>
      <c r="AP17" s="12" t="s">
        <v>60</v>
      </c>
      <c r="AQ17" s="9" t="s">
        <v>61</v>
      </c>
      <c r="AR17" s="9" t="s">
        <v>160</v>
      </c>
      <c r="AS17" s="9" t="n">
        <v>1293</v>
      </c>
      <c r="AT17" s="10" t="n">
        <f aca="false">(AS17/Q17)*100</f>
        <v>1.08408582136479</v>
      </c>
    </row>
    <row r="18" customFormat="false" ht="12.8" hidden="false" customHeight="false" outlineLevel="0" collapsed="false">
      <c r="A18" s="7" t="n">
        <v>2021</v>
      </c>
      <c r="B18" s="8" t="n">
        <v>17</v>
      </c>
      <c r="C18" s="9" t="s">
        <v>161</v>
      </c>
      <c r="D18" s="9" t="s">
        <v>100</v>
      </c>
      <c r="E18" s="9" t="s">
        <v>100</v>
      </c>
      <c r="F18" s="9" t="s">
        <v>48</v>
      </c>
      <c r="G18" s="9" t="s">
        <v>125</v>
      </c>
      <c r="H18" s="9" t="s">
        <v>51</v>
      </c>
      <c r="I18" s="9" t="s">
        <v>51</v>
      </c>
      <c r="J18" s="9" t="s">
        <v>51</v>
      </c>
      <c r="K18" s="9" t="s">
        <v>51</v>
      </c>
      <c r="L18" s="9" t="s">
        <v>162</v>
      </c>
      <c r="M18" s="9" t="s">
        <v>51</v>
      </c>
      <c r="N18" s="9" t="s">
        <v>162</v>
      </c>
      <c r="O18" s="9" t="s">
        <v>51</v>
      </c>
      <c r="P18" s="9" t="n">
        <v>192635</v>
      </c>
      <c r="Q18" s="9" t="n">
        <v>121191</v>
      </c>
      <c r="R18" s="10" t="n">
        <f aca="false">(Q18/P18)*100</f>
        <v>62.9122433617982</v>
      </c>
      <c r="S18" s="9" t="n">
        <f aca="false">Y18-AD18</f>
        <v>27779</v>
      </c>
      <c r="T18" s="10" t="n">
        <f aca="false">(S18/Q18)*100</f>
        <v>22.9216691008408</v>
      </c>
      <c r="U18" s="10" t="n">
        <f aca="false">Z18+AE18</f>
        <v>83.3964568326031</v>
      </c>
      <c r="V18" s="9" t="s">
        <v>52</v>
      </c>
      <c r="W18" s="9" t="s">
        <v>53</v>
      </c>
      <c r="X18" s="9" t="s">
        <v>163</v>
      </c>
      <c r="Y18" s="9" t="n">
        <v>64424</v>
      </c>
      <c r="Z18" s="10" t="n">
        <f aca="false">(Y18/Q18)*100</f>
        <v>53.159062966722</v>
      </c>
      <c r="AA18" s="9" t="s">
        <v>55</v>
      </c>
      <c r="AB18" s="9" t="s">
        <v>68</v>
      </c>
      <c r="AC18" s="9" t="s">
        <v>164</v>
      </c>
      <c r="AD18" s="9" t="n">
        <v>36645</v>
      </c>
      <c r="AE18" s="10" t="n">
        <f aca="false">(AD18/Q18)*100</f>
        <v>30.2373938658811</v>
      </c>
      <c r="AF18" s="9" t="s">
        <v>71</v>
      </c>
      <c r="AG18" s="9" t="s">
        <v>72</v>
      </c>
      <c r="AH18" s="9" t="s">
        <v>165</v>
      </c>
      <c r="AI18" s="9" t="n">
        <v>8166</v>
      </c>
      <c r="AJ18" s="10" t="n">
        <f aca="false">(AI18/Q18)*100</f>
        <v>6.73812411812758</v>
      </c>
      <c r="AK18" s="9" t="s">
        <v>58</v>
      </c>
      <c r="AL18" s="9" t="s">
        <v>58</v>
      </c>
      <c r="AM18" s="9" t="s">
        <v>166</v>
      </c>
      <c r="AN18" s="9" t="n">
        <v>7953</v>
      </c>
      <c r="AO18" s="10" t="n">
        <f aca="false">(AN18/Q18)*100</f>
        <v>6.56236849270986</v>
      </c>
      <c r="AP18" s="12" t="s">
        <v>60</v>
      </c>
      <c r="AQ18" s="9" t="s">
        <v>74</v>
      </c>
      <c r="AR18" s="9" t="s">
        <v>167</v>
      </c>
      <c r="AS18" s="9" t="n">
        <v>1128</v>
      </c>
      <c r="AT18" s="10" t="n">
        <f aca="false">(AS18/Q18)*100</f>
        <v>0.93076218531079</v>
      </c>
    </row>
    <row r="19" customFormat="false" ht="12.8" hidden="false" customHeight="false" outlineLevel="0" collapsed="false">
      <c r="A19" s="7" t="n">
        <v>2021</v>
      </c>
      <c r="B19" s="8" t="n">
        <v>18</v>
      </c>
      <c r="C19" s="9" t="s">
        <v>168</v>
      </c>
      <c r="D19" s="9" t="s">
        <v>100</v>
      </c>
      <c r="E19" s="9" t="s">
        <v>100</v>
      </c>
      <c r="F19" s="9" t="s">
        <v>144</v>
      </c>
      <c r="G19" s="9" t="s">
        <v>125</v>
      </c>
      <c r="H19" s="9" t="s">
        <v>51</v>
      </c>
      <c r="I19" s="9" t="s">
        <v>51</v>
      </c>
      <c r="J19" s="9" t="s">
        <v>51</v>
      </c>
      <c r="K19" s="9" t="s">
        <v>51</v>
      </c>
      <c r="L19" s="14" t="s">
        <v>53</v>
      </c>
      <c r="M19" s="9" t="s">
        <v>51</v>
      </c>
      <c r="N19" s="14" t="s">
        <v>53</v>
      </c>
      <c r="O19" s="9" t="s">
        <v>169</v>
      </c>
      <c r="P19" s="9" t="n">
        <v>175785</v>
      </c>
      <c r="Q19" s="9" t="n">
        <v>101650</v>
      </c>
      <c r="R19" s="10" t="n">
        <f aca="false">(Q19/P19)*100</f>
        <v>57.8263219273544</v>
      </c>
      <c r="S19" s="9" t="n">
        <f aca="false">Y19-AD19</f>
        <v>27274</v>
      </c>
      <c r="T19" s="10" t="n">
        <f aca="false">(S19/Q19)*100</f>
        <v>26.8312838170192</v>
      </c>
      <c r="U19" s="10" t="n">
        <f aca="false">Z19+AE19</f>
        <v>89.877029021151</v>
      </c>
      <c r="V19" s="9" t="s">
        <v>52</v>
      </c>
      <c r="W19" s="9" t="s">
        <v>53</v>
      </c>
      <c r="X19" s="9" t="s">
        <v>170</v>
      </c>
      <c r="Y19" s="9" t="n">
        <v>59317</v>
      </c>
      <c r="Z19" s="10" t="n">
        <f aca="false">(Y19/Q19)*100</f>
        <v>58.3541564190851</v>
      </c>
      <c r="AA19" s="9" t="s">
        <v>55</v>
      </c>
      <c r="AB19" s="9" t="s">
        <v>171</v>
      </c>
      <c r="AC19" s="9" t="s">
        <v>172</v>
      </c>
      <c r="AD19" s="9" t="n">
        <v>32043</v>
      </c>
      <c r="AE19" s="10" t="n">
        <f aca="false">(AD19/Q19)*100</f>
        <v>31.5228726020659</v>
      </c>
      <c r="AF19" s="9" t="s">
        <v>71</v>
      </c>
      <c r="AG19" s="9" t="s">
        <v>72</v>
      </c>
      <c r="AH19" s="9" t="s">
        <v>173</v>
      </c>
      <c r="AI19" s="9" t="n">
        <v>3763</v>
      </c>
      <c r="AJ19" s="10" t="n">
        <f aca="false">(AI19/Q19)*100</f>
        <v>3.70191834727004</v>
      </c>
      <c r="AK19" s="9" t="s">
        <v>58</v>
      </c>
      <c r="AL19" s="9" t="s">
        <v>58</v>
      </c>
      <c r="AM19" s="9" t="s">
        <v>174</v>
      </c>
      <c r="AN19" s="9" t="n">
        <v>3357</v>
      </c>
      <c r="AO19" s="10" t="n">
        <f aca="false">(AN19/Q19)*100</f>
        <v>3.30250860796852</v>
      </c>
      <c r="AP19" s="9" t="s">
        <v>63</v>
      </c>
      <c r="AQ19" s="9" t="s">
        <v>63</v>
      </c>
      <c r="AR19" s="9" t="s">
        <v>63</v>
      </c>
      <c r="AS19" s="9" t="n">
        <v>913</v>
      </c>
      <c r="AT19" s="10" t="n">
        <f aca="false">(AS19/Q19)*100</f>
        <v>0.898180029513035</v>
      </c>
    </row>
    <row r="20" customFormat="false" ht="12.8" hidden="false" customHeight="false" outlineLevel="0" collapsed="false">
      <c r="A20" s="7" t="n">
        <v>2021</v>
      </c>
      <c r="B20" s="8" t="n">
        <v>19</v>
      </c>
      <c r="C20" s="9" t="s">
        <v>175</v>
      </c>
      <c r="D20" s="9" t="s">
        <v>100</v>
      </c>
      <c r="E20" s="9" t="s">
        <v>100</v>
      </c>
      <c r="F20" s="9" t="s">
        <v>144</v>
      </c>
      <c r="G20" s="9" t="s">
        <v>125</v>
      </c>
      <c r="H20" s="9" t="s">
        <v>51</v>
      </c>
      <c r="I20" s="9" t="s">
        <v>51</v>
      </c>
      <c r="J20" s="9" t="s">
        <v>51</v>
      </c>
      <c r="K20" s="9" t="s">
        <v>51</v>
      </c>
      <c r="L20" s="9" t="s">
        <v>51</v>
      </c>
      <c r="M20" s="9" t="s">
        <v>53</v>
      </c>
      <c r="N20" s="9" t="s">
        <v>51</v>
      </c>
      <c r="O20" s="9" t="s">
        <v>51</v>
      </c>
      <c r="P20" s="9" t="n">
        <v>234067</v>
      </c>
      <c r="Q20" s="9" t="n">
        <v>137405</v>
      </c>
      <c r="R20" s="10" t="n">
        <f aca="false">(Q20/P20)*100</f>
        <v>58.7032772667655</v>
      </c>
      <c r="S20" s="9" t="n">
        <f aca="false">Y20-AD20</f>
        <v>69355</v>
      </c>
      <c r="T20" s="10" t="n">
        <f aca="false">(S20/Q20)*100</f>
        <v>50.4748735489975</v>
      </c>
      <c r="U20" s="10" t="n">
        <f aca="false">Z20+AE20</f>
        <v>85.3062115643536</v>
      </c>
      <c r="V20" s="9" t="s">
        <v>52</v>
      </c>
      <c r="W20" s="9" t="s">
        <v>53</v>
      </c>
      <c r="X20" s="9" t="s">
        <v>176</v>
      </c>
      <c r="Y20" s="9" t="n">
        <v>93285</v>
      </c>
      <c r="Z20" s="10" t="n">
        <f aca="false">(Y20/Q20)*100</f>
        <v>67.8905425566755</v>
      </c>
      <c r="AA20" s="9" t="s">
        <v>55</v>
      </c>
      <c r="AB20" s="9" t="s">
        <v>56</v>
      </c>
      <c r="AC20" s="9" t="s">
        <v>177</v>
      </c>
      <c r="AD20" s="9" t="n">
        <v>23930</v>
      </c>
      <c r="AE20" s="10" t="n">
        <f aca="false">(AD20/Q20)*100</f>
        <v>17.415669007678</v>
      </c>
      <c r="AF20" s="9" t="s">
        <v>58</v>
      </c>
      <c r="AG20" s="9" t="s">
        <v>58</v>
      </c>
      <c r="AH20" s="9" t="s">
        <v>178</v>
      </c>
      <c r="AI20" s="9" t="n">
        <v>9193</v>
      </c>
      <c r="AJ20" s="10" t="n">
        <f aca="false">(AI20/Q20)*100</f>
        <v>6.69044066809796</v>
      </c>
      <c r="AK20" s="9" t="s">
        <v>71</v>
      </c>
      <c r="AL20" s="15" t="s">
        <v>179</v>
      </c>
      <c r="AM20" s="9" t="s">
        <v>180</v>
      </c>
      <c r="AN20" s="9" t="n">
        <v>4096</v>
      </c>
      <c r="AO20" s="10" t="n">
        <f aca="false">(AN20/Q20)*100</f>
        <v>2.9809686692624</v>
      </c>
      <c r="AP20" s="9" t="s">
        <v>63</v>
      </c>
      <c r="AQ20" s="9" t="s">
        <v>63</v>
      </c>
      <c r="AR20" s="9" t="s">
        <v>63</v>
      </c>
      <c r="AS20" s="9" t="n">
        <v>2061</v>
      </c>
      <c r="AT20" s="10" t="n">
        <f aca="false">(AS20/Q20)*100</f>
        <v>1.49994541683345</v>
      </c>
    </row>
    <row r="21" customFormat="false" ht="12.8" hidden="false" customHeight="false" outlineLevel="0" collapsed="false">
      <c r="A21" s="7" t="n">
        <v>2021</v>
      </c>
      <c r="B21" s="8" t="n">
        <v>20</v>
      </c>
      <c r="C21" s="9" t="s">
        <v>181</v>
      </c>
      <c r="D21" s="9" t="s">
        <v>100</v>
      </c>
      <c r="E21" s="9" t="s">
        <v>100</v>
      </c>
      <c r="F21" s="9" t="s">
        <v>144</v>
      </c>
      <c r="G21" s="9" t="s">
        <v>125</v>
      </c>
      <c r="H21" s="9" t="s">
        <v>51</v>
      </c>
      <c r="I21" s="9" t="s">
        <v>51</v>
      </c>
      <c r="J21" s="9" t="s">
        <v>51</v>
      </c>
      <c r="K21" s="9" t="s">
        <v>51</v>
      </c>
      <c r="L21" s="14" t="s">
        <v>53</v>
      </c>
      <c r="M21" s="9" t="s">
        <v>51</v>
      </c>
      <c r="N21" s="9" t="s">
        <v>51</v>
      </c>
      <c r="O21" s="9" t="s">
        <v>51</v>
      </c>
      <c r="P21" s="9" t="n">
        <v>240096</v>
      </c>
      <c r="Q21" s="9" t="n">
        <v>135940</v>
      </c>
      <c r="R21" s="10" t="n">
        <f aca="false">(Q21/P21)*100</f>
        <v>56.6190190590431</v>
      </c>
      <c r="S21" s="9" t="n">
        <f aca="false">Y21-AD21</f>
        <v>32462</v>
      </c>
      <c r="T21" s="10" t="n">
        <f aca="false">(S21/Q21)*100</f>
        <v>23.8796527879947</v>
      </c>
      <c r="U21" s="10" t="n">
        <f aca="false">Z21+AE21</f>
        <v>81.8537590113285</v>
      </c>
      <c r="V21" s="9" t="s">
        <v>52</v>
      </c>
      <c r="W21" s="9" t="s">
        <v>53</v>
      </c>
      <c r="X21" s="9" t="s">
        <v>182</v>
      </c>
      <c r="Y21" s="9" t="n">
        <v>71867</v>
      </c>
      <c r="Z21" s="10" t="n">
        <f aca="false">(Y21/Q21)*100</f>
        <v>52.8667058996616</v>
      </c>
      <c r="AA21" s="9" t="s">
        <v>55</v>
      </c>
      <c r="AB21" s="9" t="s">
        <v>171</v>
      </c>
      <c r="AC21" s="9" t="s">
        <v>183</v>
      </c>
      <c r="AD21" s="9" t="n">
        <v>39405</v>
      </c>
      <c r="AE21" s="10" t="n">
        <f aca="false">(AD21/Q21)*100</f>
        <v>28.9870531116669</v>
      </c>
      <c r="AF21" s="9" t="s">
        <v>71</v>
      </c>
      <c r="AG21" s="9" t="s">
        <v>72</v>
      </c>
      <c r="AH21" s="9" t="s">
        <v>184</v>
      </c>
      <c r="AI21" s="9" t="n">
        <v>11791</v>
      </c>
      <c r="AJ21" s="10" t="n">
        <f aca="false">(AI21/Q21)*100</f>
        <v>8.67367956451376</v>
      </c>
      <c r="AK21" s="9" t="s">
        <v>58</v>
      </c>
      <c r="AL21" s="9" t="s">
        <v>58</v>
      </c>
      <c r="AM21" s="9" t="s">
        <v>185</v>
      </c>
      <c r="AN21" s="9" t="n">
        <v>8884</v>
      </c>
      <c r="AO21" s="10" t="n">
        <f aca="false">(AN21/Q21)*100</f>
        <v>6.53523613358835</v>
      </c>
      <c r="AP21" s="9" t="s">
        <v>63</v>
      </c>
      <c r="AQ21" s="9" t="s">
        <v>63</v>
      </c>
      <c r="AR21" s="9" t="s">
        <v>63</v>
      </c>
      <c r="AS21" s="9" t="n">
        <v>1385</v>
      </c>
      <c r="AT21" s="10" t="n">
        <f aca="false">(AS21/Q21)*100</f>
        <v>1.0188318375754</v>
      </c>
    </row>
    <row r="22" customFormat="false" ht="12.8" hidden="false" customHeight="false" outlineLevel="0" collapsed="false">
      <c r="A22" s="7" t="n">
        <v>2021</v>
      </c>
      <c r="B22" s="8" t="n">
        <v>21</v>
      </c>
      <c r="C22" s="9" t="s">
        <v>186</v>
      </c>
      <c r="D22" s="9" t="s">
        <v>100</v>
      </c>
      <c r="E22" s="9" t="s">
        <v>100</v>
      </c>
      <c r="F22" s="9" t="s">
        <v>144</v>
      </c>
      <c r="G22" s="9" t="s">
        <v>125</v>
      </c>
      <c r="H22" s="9" t="s">
        <v>51</v>
      </c>
      <c r="I22" s="9" t="s">
        <v>51</v>
      </c>
      <c r="J22" s="9" t="s">
        <v>51</v>
      </c>
      <c r="K22" s="9" t="s">
        <v>51</v>
      </c>
      <c r="L22" s="14" t="s">
        <v>53</v>
      </c>
      <c r="M22" s="9" t="s">
        <v>51</v>
      </c>
      <c r="N22" s="9" t="s">
        <v>53</v>
      </c>
      <c r="O22" s="9" t="s">
        <v>169</v>
      </c>
      <c r="P22" s="9" t="n">
        <v>286090</v>
      </c>
      <c r="Q22" s="9" t="n">
        <v>165096</v>
      </c>
      <c r="R22" s="10" t="n">
        <f aca="false">(Q22/P22)*100</f>
        <v>57.7077143556224</v>
      </c>
      <c r="S22" s="9" t="n">
        <f aca="false">Y22-AD22</f>
        <v>27445</v>
      </c>
      <c r="T22" s="10" t="n">
        <f aca="false">(S22/Q22)*100</f>
        <v>16.6236613848912</v>
      </c>
      <c r="U22" s="10" t="n">
        <f aca="false">Z22+AE22</f>
        <v>80.3550661433348</v>
      </c>
      <c r="V22" s="9" t="s">
        <v>52</v>
      </c>
      <c r="W22" s="9" t="s">
        <v>53</v>
      </c>
      <c r="X22" s="9" t="s">
        <v>187</v>
      </c>
      <c r="Y22" s="9" t="n">
        <v>80054</v>
      </c>
      <c r="Z22" s="10" t="n">
        <f aca="false">(Y22/Q22)*100</f>
        <v>48.489363764113</v>
      </c>
      <c r="AA22" s="9" t="s">
        <v>55</v>
      </c>
      <c r="AB22" s="9" t="s">
        <v>68</v>
      </c>
      <c r="AC22" s="9" t="s">
        <v>188</v>
      </c>
      <c r="AD22" s="9" t="n">
        <v>52609</v>
      </c>
      <c r="AE22" s="10" t="n">
        <f aca="false">(AD22/Q22)*100</f>
        <v>31.8657023792218</v>
      </c>
      <c r="AF22" s="9" t="s">
        <v>71</v>
      </c>
      <c r="AG22" s="9" t="s">
        <v>72</v>
      </c>
      <c r="AH22" s="9" t="s">
        <v>189</v>
      </c>
      <c r="AI22" s="9" t="n">
        <v>17522</v>
      </c>
      <c r="AJ22" s="10" t="n">
        <f aca="false">(AI22/Q22)*100</f>
        <v>10.6132189756263</v>
      </c>
      <c r="AK22" s="9" t="s">
        <v>58</v>
      </c>
      <c r="AL22" s="9" t="s">
        <v>58</v>
      </c>
      <c r="AM22" s="9" t="s">
        <v>190</v>
      </c>
      <c r="AN22" s="9" t="n">
        <v>10406</v>
      </c>
      <c r="AO22" s="10" t="n">
        <f aca="false">(AN22/Q22)*100</f>
        <v>6.30299946697679</v>
      </c>
      <c r="AP22" s="9" t="s">
        <v>63</v>
      </c>
      <c r="AQ22" s="9" t="s">
        <v>63</v>
      </c>
      <c r="AR22" s="9" t="s">
        <v>63</v>
      </c>
      <c r="AS22" s="9" t="n">
        <v>1545</v>
      </c>
      <c r="AT22" s="10" t="n">
        <f aca="false">(AS22/Q22)*100</f>
        <v>0.935819159761593</v>
      </c>
    </row>
    <row r="23" customFormat="false" ht="12.8" hidden="false" customHeight="false" outlineLevel="0" collapsed="false">
      <c r="A23" s="7" t="n">
        <v>2021</v>
      </c>
      <c r="B23" s="8" t="n">
        <v>22</v>
      </c>
      <c r="C23" s="9" t="s">
        <v>191</v>
      </c>
      <c r="D23" s="9" t="s">
        <v>100</v>
      </c>
      <c r="E23" s="9" t="s">
        <v>100</v>
      </c>
      <c r="F23" s="9" t="s">
        <v>192</v>
      </c>
      <c r="G23" s="9" t="s">
        <v>125</v>
      </c>
      <c r="H23" s="9" t="s">
        <v>51</v>
      </c>
      <c r="I23" s="9" t="s">
        <v>51</v>
      </c>
      <c r="J23" s="9" t="s">
        <v>51</v>
      </c>
      <c r="K23" s="9" t="s">
        <v>51</v>
      </c>
      <c r="L23" s="9" t="s">
        <v>51</v>
      </c>
      <c r="M23" s="9" t="s">
        <v>51</v>
      </c>
      <c r="N23" s="9" t="s">
        <v>51</v>
      </c>
      <c r="O23" s="9" t="s">
        <v>51</v>
      </c>
      <c r="P23" s="9" t="n">
        <v>291691</v>
      </c>
      <c r="Q23" s="9" t="n">
        <v>169087</v>
      </c>
      <c r="R23" s="10" t="n">
        <f aca="false">(Q23/P23)*100</f>
        <v>57.9678495394099</v>
      </c>
      <c r="S23" s="9" t="n">
        <f aca="false">Y23-AD23</f>
        <v>18367</v>
      </c>
      <c r="T23" s="10" t="n">
        <f aca="false">(S23/Q23)*100</f>
        <v>10.8624554223565</v>
      </c>
      <c r="U23" s="10" t="n">
        <f aca="false">Z23+AE23</f>
        <v>77.0816207041346</v>
      </c>
      <c r="V23" s="9" t="s">
        <v>52</v>
      </c>
      <c r="W23" s="9" t="s">
        <v>53</v>
      </c>
      <c r="X23" s="9" t="s">
        <v>193</v>
      </c>
      <c r="Y23" s="9" t="n">
        <v>74351</v>
      </c>
      <c r="Z23" s="10" t="n">
        <f aca="false">(Y23/Q23)*100</f>
        <v>43.9720380632456</v>
      </c>
      <c r="AA23" s="9" t="s">
        <v>55</v>
      </c>
      <c r="AB23" s="9" t="s">
        <v>68</v>
      </c>
      <c r="AC23" s="9" t="s">
        <v>194</v>
      </c>
      <c r="AD23" s="9" t="n">
        <v>55984</v>
      </c>
      <c r="AE23" s="10" t="n">
        <f aca="false">(AD23/Q23)*100</f>
        <v>33.109582640889</v>
      </c>
      <c r="AF23" s="9" t="s">
        <v>71</v>
      </c>
      <c r="AG23" s="9" t="s">
        <v>72</v>
      </c>
      <c r="AH23" s="9" t="s">
        <v>195</v>
      </c>
      <c r="AI23" s="9" t="n">
        <v>16939</v>
      </c>
      <c r="AJ23" s="10" t="n">
        <f aca="false">(AI23/Q23)*100</f>
        <v>10.0179197691129</v>
      </c>
      <c r="AK23" s="9" t="s">
        <v>58</v>
      </c>
      <c r="AL23" s="9" t="s">
        <v>58</v>
      </c>
      <c r="AM23" s="9" t="s">
        <v>196</v>
      </c>
      <c r="AN23" s="9" t="n">
        <v>10185</v>
      </c>
      <c r="AO23" s="10" t="n">
        <f aca="false">(AN23/Q23)*100</f>
        <v>6.02352635034036</v>
      </c>
      <c r="AP23" s="9" t="s">
        <v>197</v>
      </c>
      <c r="AQ23" s="9" t="s">
        <v>197</v>
      </c>
      <c r="AR23" s="9" t="s">
        <v>198</v>
      </c>
      <c r="AS23" s="9" t="n">
        <v>5186</v>
      </c>
      <c r="AT23" s="10" t="n">
        <f aca="false">(AS23/Q23)*100</f>
        <v>3.06706015246589</v>
      </c>
    </row>
    <row r="24" customFormat="false" ht="12.8" hidden="false" customHeight="false" outlineLevel="0" collapsed="false">
      <c r="A24" s="7" t="n">
        <v>2021</v>
      </c>
      <c r="B24" s="8" t="n">
        <v>23</v>
      </c>
      <c r="C24" s="9" t="s">
        <v>199</v>
      </c>
      <c r="D24" s="9" t="s">
        <v>100</v>
      </c>
      <c r="E24" s="9" t="s">
        <v>100</v>
      </c>
      <c r="F24" s="9" t="s">
        <v>192</v>
      </c>
      <c r="G24" s="9" t="s">
        <v>125</v>
      </c>
      <c r="H24" s="9" t="s">
        <v>51</v>
      </c>
      <c r="I24" s="9" t="s">
        <v>51</v>
      </c>
      <c r="J24" s="9" t="s">
        <v>51</v>
      </c>
      <c r="K24" s="9" t="s">
        <v>51</v>
      </c>
      <c r="L24" s="9" t="s">
        <v>51</v>
      </c>
      <c r="M24" s="9" t="s">
        <v>51</v>
      </c>
      <c r="N24" s="9" t="s">
        <v>53</v>
      </c>
      <c r="O24" s="9" t="s">
        <v>169</v>
      </c>
      <c r="P24" s="9" t="n">
        <v>279033</v>
      </c>
      <c r="Q24" s="9" t="n">
        <v>160327</v>
      </c>
      <c r="R24" s="10" t="n">
        <f aca="false">(Q24/P24)*100</f>
        <v>57.4580784351672</v>
      </c>
      <c r="S24" s="9" t="n">
        <f aca="false">Y24-AD24</f>
        <v>29408</v>
      </c>
      <c r="T24" s="10" t="n">
        <f aca="false">(S24/Q24)*100</f>
        <v>18.3425124900984</v>
      </c>
      <c r="U24" s="10" t="n">
        <f aca="false">Z24+AE24</f>
        <v>81.6955347508529</v>
      </c>
      <c r="V24" s="9" t="s">
        <v>52</v>
      </c>
      <c r="W24" s="9" t="s">
        <v>53</v>
      </c>
      <c r="X24" s="9" t="s">
        <v>200</v>
      </c>
      <c r="Y24" s="9" t="n">
        <v>80194</v>
      </c>
      <c r="Z24" s="10" t="n">
        <f aca="false">(Y24/Q24)*100</f>
        <v>50.0190236204757</v>
      </c>
      <c r="AA24" s="9" t="s">
        <v>55</v>
      </c>
      <c r="AB24" s="9" t="s">
        <v>68</v>
      </c>
      <c r="AC24" s="9" t="s">
        <v>201</v>
      </c>
      <c r="AD24" s="9" t="n">
        <v>50786</v>
      </c>
      <c r="AE24" s="10" t="n">
        <f aca="false">(AD24/Q24)*100</f>
        <v>31.6765111303773</v>
      </c>
      <c r="AF24" s="9" t="s">
        <v>71</v>
      </c>
      <c r="AG24" s="9" t="s">
        <v>72</v>
      </c>
      <c r="AH24" s="9" t="s">
        <v>202</v>
      </c>
      <c r="AI24" s="9" t="n">
        <v>13454</v>
      </c>
      <c r="AJ24" s="10" t="n">
        <f aca="false">(AI24/Q24)*100</f>
        <v>8.39159966817816</v>
      </c>
      <c r="AK24" s="9" t="s">
        <v>58</v>
      </c>
      <c r="AL24" s="9" t="s">
        <v>58</v>
      </c>
      <c r="AM24" s="9" t="s">
        <v>203</v>
      </c>
      <c r="AN24" s="9" t="n">
        <v>10717</v>
      </c>
      <c r="AO24" s="10" t="n">
        <f aca="false">(AN24/Q24)*100</f>
        <v>6.68446362746138</v>
      </c>
      <c r="AP24" s="12" t="s">
        <v>60</v>
      </c>
      <c r="AQ24" s="9" t="s">
        <v>74</v>
      </c>
      <c r="AR24" s="9" t="s">
        <v>204</v>
      </c>
      <c r="AS24" s="9" t="n">
        <v>2081</v>
      </c>
      <c r="AT24" s="10" t="n">
        <f aca="false">(AS24/Q24)*100</f>
        <v>1.29797226917487</v>
      </c>
    </row>
    <row r="25" customFormat="false" ht="12.8" hidden="false" customHeight="false" outlineLevel="0" collapsed="false">
      <c r="A25" s="7" t="n">
        <v>2021</v>
      </c>
      <c r="B25" s="8" t="n">
        <v>24</v>
      </c>
      <c r="C25" s="9" t="s">
        <v>205</v>
      </c>
      <c r="D25" s="9" t="s">
        <v>100</v>
      </c>
      <c r="E25" s="9" t="s">
        <v>100</v>
      </c>
      <c r="F25" s="9" t="s">
        <v>192</v>
      </c>
      <c r="G25" s="9" t="s">
        <v>125</v>
      </c>
      <c r="H25" s="9" t="s">
        <v>51</v>
      </c>
      <c r="I25" s="9" t="s">
        <v>51</v>
      </c>
      <c r="J25" s="9" t="s">
        <v>51</v>
      </c>
      <c r="K25" s="9" t="s">
        <v>51</v>
      </c>
      <c r="L25" s="9" t="s">
        <v>51</v>
      </c>
      <c r="M25" s="9" t="s">
        <v>51</v>
      </c>
      <c r="N25" s="9" t="s">
        <v>51</v>
      </c>
      <c r="O25" s="9" t="s">
        <v>51</v>
      </c>
      <c r="P25" s="9" t="n">
        <v>245040</v>
      </c>
      <c r="Q25" s="9" t="n">
        <v>138114</v>
      </c>
      <c r="R25" s="10" t="n">
        <f aca="false">(Q25/P25)*100</f>
        <v>56.3638589618022</v>
      </c>
      <c r="S25" s="9" t="n">
        <f aca="false">Y25-AD25</f>
        <v>127</v>
      </c>
      <c r="T25" s="10" t="n">
        <f aca="false">(S25/Q25)*100</f>
        <v>0.0919530243132485</v>
      </c>
      <c r="U25" s="10" t="n">
        <f aca="false">Z25+AE25</f>
        <v>81.0366798441867</v>
      </c>
      <c r="V25" s="9" t="s">
        <v>52</v>
      </c>
      <c r="W25" s="9" t="s">
        <v>53</v>
      </c>
      <c r="X25" s="9" t="s">
        <v>206</v>
      </c>
      <c r="Y25" s="9" t="n">
        <v>56025</v>
      </c>
      <c r="Z25" s="10" t="n">
        <f aca="false">(Y25/Q25)*100</f>
        <v>40.56431643425</v>
      </c>
      <c r="AA25" s="9" t="s">
        <v>55</v>
      </c>
      <c r="AB25" s="9" t="s">
        <v>68</v>
      </c>
      <c r="AC25" s="9" t="s">
        <v>207</v>
      </c>
      <c r="AD25" s="9" t="n">
        <v>55898</v>
      </c>
      <c r="AE25" s="10" t="n">
        <f aca="false">(AD25/Q25)*100</f>
        <v>40.4723634099367</v>
      </c>
      <c r="AF25" s="9" t="s">
        <v>71</v>
      </c>
      <c r="AG25" s="9" t="s">
        <v>72</v>
      </c>
      <c r="AH25" s="9" t="s">
        <v>208</v>
      </c>
      <c r="AI25" s="9" t="n">
        <v>14567</v>
      </c>
      <c r="AJ25" s="10" t="n">
        <f aca="false">(AI25/Q25)*100</f>
        <v>10.5470842926858</v>
      </c>
      <c r="AK25" s="9" t="s">
        <v>58</v>
      </c>
      <c r="AL25" s="9" t="s">
        <v>58</v>
      </c>
      <c r="AM25" s="9" t="s">
        <v>209</v>
      </c>
      <c r="AN25" s="9" t="n">
        <v>8284</v>
      </c>
      <c r="AO25" s="10" t="n">
        <f aca="false">(AN25/Q25)*100</f>
        <v>5.99794372764528</v>
      </c>
      <c r="AP25" s="9" t="s">
        <v>63</v>
      </c>
      <c r="AQ25" s="9" t="s">
        <v>63</v>
      </c>
      <c r="AR25" s="9" t="s">
        <v>63</v>
      </c>
      <c r="AS25" s="9" t="n">
        <v>1617</v>
      </c>
      <c r="AT25" s="10" t="n">
        <f aca="false">(AS25/Q25)*100</f>
        <v>1.17077197098049</v>
      </c>
    </row>
    <row r="26" customFormat="false" ht="12.8" hidden="false" customHeight="false" outlineLevel="0" collapsed="false">
      <c r="A26" s="7" t="n">
        <v>2021</v>
      </c>
      <c r="B26" s="8" t="n">
        <v>25</v>
      </c>
      <c r="C26" s="9" t="s">
        <v>210</v>
      </c>
      <c r="D26" s="9" t="s">
        <v>100</v>
      </c>
      <c r="E26" s="9" t="s">
        <v>100</v>
      </c>
      <c r="F26" s="9" t="s">
        <v>192</v>
      </c>
      <c r="G26" s="9" t="s">
        <v>125</v>
      </c>
      <c r="H26" s="9" t="s">
        <v>51</v>
      </c>
      <c r="I26" s="9" t="s">
        <v>51</v>
      </c>
      <c r="J26" s="9" t="s">
        <v>51</v>
      </c>
      <c r="K26" s="9" t="s">
        <v>51</v>
      </c>
      <c r="L26" s="9" t="s">
        <v>51</v>
      </c>
      <c r="M26" s="9" t="s">
        <v>51</v>
      </c>
      <c r="N26" s="9" t="s">
        <v>51</v>
      </c>
      <c r="O26" s="9" t="s">
        <v>51</v>
      </c>
      <c r="P26" s="9" t="n">
        <v>270568</v>
      </c>
      <c r="Q26" s="9" t="n">
        <v>153430</v>
      </c>
      <c r="R26" s="10" t="n">
        <f aca="false">(Q26/P26)*100</f>
        <v>56.7066319742172</v>
      </c>
      <c r="S26" s="9" t="n">
        <f aca="false">Y26-AD26</f>
        <v>12633</v>
      </c>
      <c r="T26" s="10" t="n">
        <f aca="false">(S26/Q26)*100</f>
        <v>8.23372221860132</v>
      </c>
      <c r="U26" s="10" t="n">
        <f aca="false">Z26+AE26</f>
        <v>80.9170305676856</v>
      </c>
      <c r="V26" s="9" t="s">
        <v>52</v>
      </c>
      <c r="W26" s="9" t="s">
        <v>53</v>
      </c>
      <c r="X26" s="9" t="s">
        <v>211</v>
      </c>
      <c r="Y26" s="9" t="n">
        <v>68392</v>
      </c>
      <c r="Z26" s="10" t="n">
        <f aca="false">(Y26/Q26)*100</f>
        <v>44.5753763931435</v>
      </c>
      <c r="AA26" s="9" t="s">
        <v>55</v>
      </c>
      <c r="AB26" s="9" t="s">
        <v>68</v>
      </c>
      <c r="AC26" s="9" t="s">
        <v>212</v>
      </c>
      <c r="AD26" s="9" t="n">
        <v>55759</v>
      </c>
      <c r="AE26" s="10" t="n">
        <f aca="false">(AD26/Q26)*100</f>
        <v>36.3416541745421</v>
      </c>
      <c r="AF26" s="9" t="s">
        <v>71</v>
      </c>
      <c r="AG26" s="9" t="s">
        <v>72</v>
      </c>
      <c r="AH26" s="9" t="s">
        <v>213</v>
      </c>
      <c r="AI26" s="9" t="n">
        <v>14904</v>
      </c>
      <c r="AJ26" s="10" t="n">
        <f aca="false">(AI26/Q26)*100</f>
        <v>9.71387603467379</v>
      </c>
      <c r="AK26" s="9" t="s">
        <v>58</v>
      </c>
      <c r="AL26" s="9" t="s">
        <v>58</v>
      </c>
      <c r="AM26" s="9" t="s">
        <v>214</v>
      </c>
      <c r="AN26" s="9" t="n">
        <v>10124</v>
      </c>
      <c r="AO26" s="10" t="n">
        <f aca="false">(AN26/Q26)*100</f>
        <v>6.59844880401486</v>
      </c>
      <c r="AP26" s="9" t="s">
        <v>63</v>
      </c>
      <c r="AQ26" s="9" t="s">
        <v>63</v>
      </c>
      <c r="AR26" s="9" t="s">
        <v>63</v>
      </c>
      <c r="AS26" s="9" t="n">
        <v>1287</v>
      </c>
      <c r="AT26" s="10" t="n">
        <f aca="false">(AS26/Q26)*100</f>
        <v>0.838819005409633</v>
      </c>
    </row>
    <row r="27" customFormat="false" ht="12.8" hidden="false" customHeight="false" outlineLevel="0" collapsed="false">
      <c r="A27" s="7" t="n">
        <v>2021</v>
      </c>
      <c r="B27" s="8" t="n">
        <v>26</v>
      </c>
      <c r="C27" s="9" t="s">
        <v>215</v>
      </c>
      <c r="D27" s="9" t="s">
        <v>100</v>
      </c>
      <c r="E27" s="9" t="s">
        <v>100</v>
      </c>
      <c r="F27" s="9" t="s">
        <v>192</v>
      </c>
      <c r="G27" s="9" t="s">
        <v>125</v>
      </c>
      <c r="H27" s="9" t="s">
        <v>51</v>
      </c>
      <c r="I27" s="9" t="s">
        <v>51</v>
      </c>
      <c r="J27" s="9" t="s">
        <v>51</v>
      </c>
      <c r="K27" s="9" t="s">
        <v>51</v>
      </c>
      <c r="L27" s="9" t="s">
        <v>51</v>
      </c>
      <c r="M27" s="9" t="s">
        <v>51</v>
      </c>
      <c r="N27" s="9" t="s">
        <v>51</v>
      </c>
      <c r="O27" s="9" t="s">
        <v>51</v>
      </c>
      <c r="P27" s="9" t="n">
        <v>314578</v>
      </c>
      <c r="Q27" s="9" t="n">
        <v>176714</v>
      </c>
      <c r="R27" s="10" t="n">
        <f aca="false">(Q27/P27)*100</f>
        <v>56.1749391247958</v>
      </c>
      <c r="S27" s="9" t="n">
        <f aca="false">Y27-AD27</f>
        <v>4352</v>
      </c>
      <c r="T27" s="10" t="n">
        <f aca="false">(S27/Q27)*100</f>
        <v>2.46273639892708</v>
      </c>
      <c r="U27" s="10" t="n">
        <f aca="false">Z27+AE27</f>
        <v>75.0557397829261</v>
      </c>
      <c r="V27" s="9" t="s">
        <v>52</v>
      </c>
      <c r="W27" s="9" t="s">
        <v>66</v>
      </c>
      <c r="X27" s="9" t="s">
        <v>216</v>
      </c>
      <c r="Y27" s="9" t="n">
        <v>68493</v>
      </c>
      <c r="Z27" s="10" t="n">
        <f aca="false">(Y27/Q27)*100</f>
        <v>38.7592380909266</v>
      </c>
      <c r="AA27" s="9" t="s">
        <v>55</v>
      </c>
      <c r="AB27" s="9" t="s">
        <v>68</v>
      </c>
      <c r="AC27" s="9" t="s">
        <v>217</v>
      </c>
      <c r="AD27" s="9" t="n">
        <v>64141</v>
      </c>
      <c r="AE27" s="10" t="n">
        <f aca="false">(AD27/Q27)*100</f>
        <v>36.2965016919995</v>
      </c>
      <c r="AF27" s="9" t="s">
        <v>71</v>
      </c>
      <c r="AG27" s="9" t="s">
        <v>72</v>
      </c>
      <c r="AH27" s="9" t="s">
        <v>218</v>
      </c>
      <c r="AI27" s="9" t="n">
        <v>23072</v>
      </c>
      <c r="AJ27" s="10" t="n">
        <f aca="false">(AI27/Q27)*100</f>
        <v>13.0561245854884</v>
      </c>
      <c r="AK27" s="9" t="s">
        <v>58</v>
      </c>
      <c r="AL27" s="9" t="s">
        <v>58</v>
      </c>
      <c r="AM27" s="9" t="s">
        <v>219</v>
      </c>
      <c r="AN27" s="9" t="n">
        <v>14171</v>
      </c>
      <c r="AO27" s="10" t="n">
        <f aca="false">(AN27/Q27)*100</f>
        <v>8.01917222178209</v>
      </c>
      <c r="AP27" s="12" t="s">
        <v>60</v>
      </c>
      <c r="AQ27" s="9" t="s">
        <v>74</v>
      </c>
      <c r="AR27" s="9" t="s">
        <v>220</v>
      </c>
      <c r="AS27" s="9" t="n">
        <v>1977</v>
      </c>
      <c r="AT27" s="10" t="n">
        <f aca="false">(AS27/Q27)*100</f>
        <v>1.11875686136922</v>
      </c>
    </row>
    <row r="28" customFormat="false" ht="12.8" hidden="false" customHeight="false" outlineLevel="0" collapsed="false">
      <c r="A28" s="7" t="n">
        <v>2021</v>
      </c>
      <c r="B28" s="8" t="n">
        <v>27</v>
      </c>
      <c r="C28" s="9" t="s">
        <v>221</v>
      </c>
      <c r="D28" s="9" t="s">
        <v>100</v>
      </c>
      <c r="E28" s="9" t="s">
        <v>100</v>
      </c>
      <c r="F28" s="9" t="s">
        <v>192</v>
      </c>
      <c r="G28" s="9" t="s">
        <v>88</v>
      </c>
      <c r="H28" s="9" t="s">
        <v>51</v>
      </c>
      <c r="I28" s="9" t="s">
        <v>51</v>
      </c>
      <c r="J28" s="9" t="s">
        <v>51</v>
      </c>
      <c r="K28" s="9" t="s">
        <v>51</v>
      </c>
      <c r="L28" s="9" t="s">
        <v>51</v>
      </c>
      <c r="M28" s="9" t="s">
        <v>51</v>
      </c>
      <c r="N28" s="9" t="s">
        <v>51</v>
      </c>
      <c r="O28" s="9" t="s">
        <v>51</v>
      </c>
      <c r="P28" s="9" t="n">
        <v>698893</v>
      </c>
      <c r="Q28" s="9" t="n">
        <v>388355</v>
      </c>
      <c r="R28" s="10" t="n">
        <f aca="false">(Q28/P28)*100</f>
        <v>55.5671612106574</v>
      </c>
      <c r="S28" s="9" t="n">
        <f aca="false">Y28-AD28</f>
        <v>35405</v>
      </c>
      <c r="T28" s="10" t="n">
        <f aca="false">(S28/Q28)*100</f>
        <v>9.11665872719548</v>
      </c>
      <c r="U28" s="10" t="n">
        <f aca="false">Z28+AE28</f>
        <v>79.2344633132057</v>
      </c>
      <c r="V28" s="9" t="s">
        <v>52</v>
      </c>
      <c r="W28" s="9" t="s">
        <v>53</v>
      </c>
      <c r="X28" s="9" t="s">
        <v>222</v>
      </c>
      <c r="Y28" s="9" t="n">
        <v>171558</v>
      </c>
      <c r="Z28" s="10" t="n">
        <f aca="false">(Y28/Q28)*100</f>
        <v>44.1755610202006</v>
      </c>
      <c r="AA28" s="9" t="s">
        <v>55</v>
      </c>
      <c r="AB28" s="9" t="s">
        <v>68</v>
      </c>
      <c r="AC28" s="9" t="s">
        <v>223</v>
      </c>
      <c r="AD28" s="9" t="n">
        <v>136153</v>
      </c>
      <c r="AE28" s="10" t="n">
        <f aca="false">(AD28/Q28)*100</f>
        <v>35.0589022930051</v>
      </c>
      <c r="AF28" s="9" t="s">
        <v>58</v>
      </c>
      <c r="AG28" s="9" t="s">
        <v>58</v>
      </c>
      <c r="AH28" s="9" t="s">
        <v>224</v>
      </c>
      <c r="AI28" s="9" t="n">
        <v>38872</v>
      </c>
      <c r="AJ28" s="10" t="n">
        <f aca="false">(AI28/Q28)*100</f>
        <v>10.0093986172445</v>
      </c>
      <c r="AK28" s="9" t="s">
        <v>71</v>
      </c>
      <c r="AL28" s="9" t="s">
        <v>72</v>
      </c>
      <c r="AM28" s="9" t="s">
        <v>225</v>
      </c>
      <c r="AN28" s="9" t="n">
        <v>30284</v>
      </c>
      <c r="AO28" s="10" t="n">
        <f aca="false">(AN28/Q28)*100</f>
        <v>7.79801985296958</v>
      </c>
      <c r="AP28" s="12" t="s">
        <v>60</v>
      </c>
      <c r="AQ28" s="9" t="s">
        <v>61</v>
      </c>
      <c r="AR28" s="9" t="s">
        <v>226</v>
      </c>
      <c r="AS28" s="9" t="n">
        <v>3912</v>
      </c>
      <c r="AT28" s="10" t="n">
        <f aca="false">(AS28/Q28)*100</f>
        <v>1.00732577152348</v>
      </c>
    </row>
    <row r="29" customFormat="false" ht="12.8" hidden="false" customHeight="false" outlineLevel="0" collapsed="false">
      <c r="A29" s="7" t="n">
        <v>2021</v>
      </c>
      <c r="B29" s="8" t="n">
        <v>28</v>
      </c>
      <c r="C29" s="9" t="s">
        <v>227</v>
      </c>
      <c r="D29" s="9" t="s">
        <v>100</v>
      </c>
      <c r="E29" s="9" t="s">
        <v>100</v>
      </c>
      <c r="F29" s="9" t="s">
        <v>192</v>
      </c>
      <c r="G29" s="9" t="s">
        <v>88</v>
      </c>
      <c r="H29" s="9" t="s">
        <v>51</v>
      </c>
      <c r="I29" s="9" t="s">
        <v>51</v>
      </c>
      <c r="J29" s="9" t="s">
        <v>51</v>
      </c>
      <c r="K29" s="9" t="s">
        <v>51</v>
      </c>
      <c r="L29" s="9" t="s">
        <v>51</v>
      </c>
      <c r="M29" s="9" t="s">
        <v>51</v>
      </c>
      <c r="N29" s="9" t="s">
        <v>51</v>
      </c>
      <c r="O29" s="9" t="s">
        <v>228</v>
      </c>
      <c r="P29" s="9" t="n">
        <v>389118</v>
      </c>
      <c r="Q29" s="9" t="n">
        <v>237751</v>
      </c>
      <c r="R29" s="10" t="n">
        <f aca="false">(Q29/P29)*100</f>
        <v>61.0999748148377</v>
      </c>
      <c r="S29" s="9" t="n">
        <f aca="false">Y29-AD29</f>
        <v>40571</v>
      </c>
      <c r="T29" s="10" t="n">
        <f aca="false">(S29/Q29)*100</f>
        <v>17.0644918423056</v>
      </c>
      <c r="U29" s="10" t="n">
        <f aca="false">Z29+AE29</f>
        <v>81.1769456279889</v>
      </c>
      <c r="V29" s="9" t="s">
        <v>52</v>
      </c>
      <c r="W29" s="9" t="s">
        <v>53</v>
      </c>
      <c r="X29" s="9" t="s">
        <v>229</v>
      </c>
      <c r="Y29" s="9" t="n">
        <v>116785</v>
      </c>
      <c r="Z29" s="10" t="n">
        <f aca="false">(Y29/Q29)*100</f>
        <v>49.1207187351473</v>
      </c>
      <c r="AA29" s="9" t="s">
        <v>55</v>
      </c>
      <c r="AB29" s="9" t="s">
        <v>68</v>
      </c>
      <c r="AC29" s="9" t="s">
        <v>230</v>
      </c>
      <c r="AD29" s="9" t="n">
        <v>76214</v>
      </c>
      <c r="AE29" s="10" t="n">
        <f aca="false">(AD29/Q29)*100</f>
        <v>32.0562268928417</v>
      </c>
      <c r="AF29" s="9" t="s">
        <v>71</v>
      </c>
      <c r="AG29" s="9" t="s">
        <v>72</v>
      </c>
      <c r="AH29" s="9" t="s">
        <v>231</v>
      </c>
      <c r="AI29" s="9" t="n">
        <v>21139</v>
      </c>
      <c r="AJ29" s="10" t="n">
        <f aca="false">(AI29/Q29)*100</f>
        <v>8.89123494748708</v>
      </c>
      <c r="AK29" s="9" t="s">
        <v>58</v>
      </c>
      <c r="AL29" s="9" t="s">
        <v>58</v>
      </c>
      <c r="AM29" s="9" t="s">
        <v>232</v>
      </c>
      <c r="AN29" s="9" t="n">
        <v>16522</v>
      </c>
      <c r="AO29" s="10" t="n">
        <f aca="false">(AN29/Q29)*100</f>
        <v>6.94928727954877</v>
      </c>
      <c r="AP29" s="9" t="s">
        <v>63</v>
      </c>
      <c r="AQ29" s="9" t="s">
        <v>63</v>
      </c>
      <c r="AR29" s="9" t="s">
        <v>63</v>
      </c>
      <c r="AS29" s="9" t="n">
        <v>1908</v>
      </c>
      <c r="AT29" s="10" t="n">
        <f aca="false">(AS29/Q29)*100</f>
        <v>0.802520283826356</v>
      </c>
    </row>
    <row r="30" customFormat="false" ht="12.8" hidden="false" customHeight="false" outlineLevel="0" collapsed="false">
      <c r="A30" s="7" t="n">
        <v>2021</v>
      </c>
      <c r="B30" s="8" t="n">
        <v>29</v>
      </c>
      <c r="C30" s="9" t="s">
        <v>233</v>
      </c>
      <c r="D30" s="9" t="s">
        <v>234</v>
      </c>
      <c r="E30" s="9" t="s">
        <v>48</v>
      </c>
      <c r="F30" s="9" t="s">
        <v>49</v>
      </c>
      <c r="G30" s="9" t="s">
        <v>77</v>
      </c>
      <c r="H30" s="9" t="s">
        <v>65</v>
      </c>
      <c r="I30" s="9" t="s">
        <v>51</v>
      </c>
      <c r="J30" s="9" t="s">
        <v>51</v>
      </c>
      <c r="K30" s="9" t="s">
        <v>51</v>
      </c>
      <c r="L30" s="9" t="s">
        <v>51</v>
      </c>
      <c r="M30" s="9" t="s">
        <v>51</v>
      </c>
      <c r="N30" s="9" t="s">
        <v>51</v>
      </c>
      <c r="O30" s="9" t="s">
        <v>51</v>
      </c>
      <c r="P30" s="9" t="n">
        <v>355267</v>
      </c>
      <c r="Q30" s="9" t="n">
        <v>264262</v>
      </c>
      <c r="R30" s="10" t="n">
        <f aca="false">(Q30/P30)*100</f>
        <v>74.3840548094813</v>
      </c>
      <c r="S30" s="9" t="n">
        <f aca="false">Y30-AD30</f>
        <v>10879</v>
      </c>
      <c r="T30" s="10" t="n">
        <f aca="false">(S30/Q30)*100</f>
        <v>4.11674777304342</v>
      </c>
      <c r="U30" s="10" t="n">
        <f aca="false">Z30+AE30</f>
        <v>83.185247973602</v>
      </c>
      <c r="V30" s="9" t="s">
        <v>52</v>
      </c>
      <c r="W30" s="9" t="s">
        <v>66</v>
      </c>
      <c r="X30" s="9" t="s">
        <v>235</v>
      </c>
      <c r="Y30" s="9" t="n">
        <v>115353</v>
      </c>
      <c r="Z30" s="10" t="n">
        <f aca="false">(Y30/Q30)*100</f>
        <v>43.6509978733227</v>
      </c>
      <c r="AA30" s="9" t="s">
        <v>55</v>
      </c>
      <c r="AB30" s="9" t="s">
        <v>68</v>
      </c>
      <c r="AC30" s="9" t="s">
        <v>236</v>
      </c>
      <c r="AD30" s="9" t="n">
        <v>104474</v>
      </c>
      <c r="AE30" s="10" t="n">
        <f aca="false">(AD30/Q30)*100</f>
        <v>39.5342501002793</v>
      </c>
      <c r="AF30" s="9" t="s">
        <v>58</v>
      </c>
      <c r="AG30" s="9" t="s">
        <v>58</v>
      </c>
      <c r="AH30" s="9" t="s">
        <v>237</v>
      </c>
      <c r="AI30" s="9" t="n">
        <v>22034</v>
      </c>
      <c r="AJ30" s="10" t="n">
        <f aca="false">(AI30/Q30)*100</f>
        <v>8.33793735005411</v>
      </c>
      <c r="AK30" s="9" t="s">
        <v>71</v>
      </c>
      <c r="AL30" s="9" t="s">
        <v>72</v>
      </c>
      <c r="AM30" s="9" t="s">
        <v>238</v>
      </c>
      <c r="AN30" s="9" t="n">
        <v>8870</v>
      </c>
      <c r="AO30" s="10" t="n">
        <f aca="false">(AN30/Q30)*100</f>
        <v>3.35651739561496</v>
      </c>
      <c r="AP30" s="9" t="s">
        <v>197</v>
      </c>
      <c r="AQ30" s="9" t="s">
        <v>197</v>
      </c>
      <c r="AR30" s="9" t="s">
        <v>239</v>
      </c>
      <c r="AS30" s="9" t="n">
        <v>6340</v>
      </c>
      <c r="AT30" s="10" t="n">
        <f aca="false">(AS30/Q30)*100</f>
        <v>2.3991341925816</v>
      </c>
    </row>
    <row r="31" customFormat="false" ht="12.8" hidden="false" customHeight="false" outlineLevel="0" collapsed="false">
      <c r="A31" s="7" t="n">
        <v>2021</v>
      </c>
      <c r="B31" s="8" t="n">
        <v>30</v>
      </c>
      <c r="C31" s="9" t="s">
        <v>240</v>
      </c>
      <c r="D31" s="9" t="s">
        <v>241</v>
      </c>
      <c r="E31" s="9" t="s">
        <v>48</v>
      </c>
      <c r="F31" s="9" t="s">
        <v>49</v>
      </c>
      <c r="G31" s="9" t="s">
        <v>88</v>
      </c>
      <c r="H31" s="9" t="s">
        <v>51</v>
      </c>
      <c r="I31" s="9" t="s">
        <v>51</v>
      </c>
      <c r="J31" s="9" t="s">
        <v>51</v>
      </c>
      <c r="K31" s="9" t="s">
        <v>51</v>
      </c>
      <c r="L31" s="9" t="s">
        <v>51</v>
      </c>
      <c r="M31" s="9" t="s">
        <v>51</v>
      </c>
      <c r="N31" s="9" t="s">
        <v>51</v>
      </c>
      <c r="O31" s="9" t="s">
        <v>51</v>
      </c>
      <c r="P31" s="9" t="n">
        <v>436239</v>
      </c>
      <c r="Q31" s="9" t="n">
        <v>266190</v>
      </c>
      <c r="R31" s="10" t="n">
        <f aca="false">(Q31/P31)*100</f>
        <v>61.0193036386018</v>
      </c>
      <c r="S31" s="9" t="n">
        <f aca="false">Y31-AD31</f>
        <v>37783</v>
      </c>
      <c r="T31" s="10" t="n">
        <f aca="false">(S31/Q31)*100</f>
        <v>14.193996769225</v>
      </c>
      <c r="U31" s="10" t="n">
        <f aca="false">Z31+AE31</f>
        <v>80.796047935685</v>
      </c>
      <c r="V31" s="9" t="s">
        <v>52</v>
      </c>
      <c r="W31" s="9" t="s">
        <v>53</v>
      </c>
      <c r="X31" s="9" t="s">
        <v>242</v>
      </c>
      <c r="Y31" s="9" t="n">
        <v>126427</v>
      </c>
      <c r="Z31" s="10" t="n">
        <f aca="false">(Y31/Q31)*100</f>
        <v>47.495022352455</v>
      </c>
      <c r="AA31" s="9" t="s">
        <v>55</v>
      </c>
      <c r="AB31" s="9" t="s">
        <v>68</v>
      </c>
      <c r="AC31" s="9" t="s">
        <v>243</v>
      </c>
      <c r="AD31" s="9" t="n">
        <v>88644</v>
      </c>
      <c r="AE31" s="10" t="n">
        <f aca="false">(AD31/Q31)*100</f>
        <v>33.30102558323</v>
      </c>
      <c r="AF31" s="9" t="s">
        <v>71</v>
      </c>
      <c r="AG31" s="9" t="s">
        <v>72</v>
      </c>
      <c r="AH31" s="9" t="s">
        <v>244</v>
      </c>
      <c r="AI31" s="9" t="n">
        <v>20744</v>
      </c>
      <c r="AJ31" s="10" t="n">
        <f aca="false">(AI31/Q31)*100</f>
        <v>7.79292986212855</v>
      </c>
      <c r="AK31" s="9" t="s">
        <v>58</v>
      </c>
      <c r="AL31" s="9" t="s">
        <v>58</v>
      </c>
      <c r="AM31" s="9" t="s">
        <v>245</v>
      </c>
      <c r="AN31" s="9" t="n">
        <v>21522</v>
      </c>
      <c r="AO31" s="10" t="n">
        <f aca="false">(AN31/Q31)*100</f>
        <v>8.08520229910966</v>
      </c>
      <c r="AP31" s="9" t="s">
        <v>63</v>
      </c>
      <c r="AQ31" s="9" t="s">
        <v>63</v>
      </c>
      <c r="AR31" s="9" t="s">
        <v>63</v>
      </c>
      <c r="AS31" s="9" t="n">
        <v>1945</v>
      </c>
      <c r="AT31" s="10" t="n">
        <f aca="false">(AS31/Q31)*100</f>
        <v>0.730681092452759</v>
      </c>
    </row>
    <row r="32" customFormat="false" ht="12.8" hidden="false" customHeight="false" outlineLevel="0" collapsed="false">
      <c r="A32" s="7" t="n">
        <v>2021</v>
      </c>
      <c r="B32" s="8" t="n">
        <v>31</v>
      </c>
      <c r="C32" s="9" t="s">
        <v>246</v>
      </c>
      <c r="D32" s="9" t="s">
        <v>241</v>
      </c>
      <c r="E32" s="9" t="s">
        <v>48</v>
      </c>
      <c r="F32" s="9" t="s">
        <v>49</v>
      </c>
      <c r="G32" s="9" t="s">
        <v>88</v>
      </c>
      <c r="H32" s="9" t="s">
        <v>51</v>
      </c>
      <c r="I32" s="9" t="s">
        <v>51</v>
      </c>
      <c r="J32" s="9" t="s">
        <v>51</v>
      </c>
      <c r="K32" s="9" t="s">
        <v>51</v>
      </c>
      <c r="L32" s="9" t="s">
        <v>51</v>
      </c>
      <c r="M32" s="9" t="s">
        <v>51</v>
      </c>
      <c r="N32" s="9" t="s">
        <v>51</v>
      </c>
      <c r="O32" s="9" t="s">
        <v>51</v>
      </c>
      <c r="P32" s="9" t="n">
        <v>415663</v>
      </c>
      <c r="Q32" s="9" t="n">
        <v>248968</v>
      </c>
      <c r="R32" s="10" t="n">
        <f aca="false">(Q32/P32)*100</f>
        <v>59.8965989274966</v>
      </c>
      <c r="S32" s="9" t="n">
        <f aca="false">Y32-AD32</f>
        <v>36824</v>
      </c>
      <c r="T32" s="10" t="n">
        <f aca="false">(S32/Q32)*100</f>
        <v>14.7906558272549</v>
      </c>
      <c r="U32" s="10" t="n">
        <f aca="false">Z32+AE32</f>
        <v>79.0687959898461</v>
      </c>
      <c r="V32" s="9" t="s">
        <v>52</v>
      </c>
      <c r="W32" s="9" t="s">
        <v>53</v>
      </c>
      <c r="X32" s="9" t="s">
        <v>247</v>
      </c>
      <c r="Y32" s="9" t="n">
        <v>116840</v>
      </c>
      <c r="Z32" s="10" t="n">
        <f aca="false">(Y32/Q32)*100</f>
        <v>46.9297259085505</v>
      </c>
      <c r="AA32" s="9" t="s">
        <v>55</v>
      </c>
      <c r="AB32" s="9" t="s">
        <v>68</v>
      </c>
      <c r="AC32" s="9" t="s">
        <v>248</v>
      </c>
      <c r="AD32" s="9" t="n">
        <v>80016</v>
      </c>
      <c r="AE32" s="10" t="n">
        <f aca="false">(AD32/Q32)*100</f>
        <v>32.1390700812956</v>
      </c>
      <c r="AF32" s="9" t="s">
        <v>71</v>
      </c>
      <c r="AG32" s="9" t="s">
        <v>72</v>
      </c>
      <c r="AH32" s="9" t="s">
        <v>249</v>
      </c>
      <c r="AI32" s="9" t="n">
        <v>22530</v>
      </c>
      <c r="AJ32" s="10" t="n">
        <f aca="false">(AI32/Q32)*100</f>
        <v>9.04935574049677</v>
      </c>
      <c r="AK32" s="9" t="s">
        <v>58</v>
      </c>
      <c r="AL32" s="9" t="s">
        <v>58</v>
      </c>
      <c r="AM32" s="9" t="s">
        <v>250</v>
      </c>
      <c r="AN32" s="9" t="n">
        <v>19494</v>
      </c>
      <c r="AO32" s="10" t="n">
        <f aca="false">(AN32/Q32)*100</f>
        <v>7.82992191767617</v>
      </c>
      <c r="AP32" s="12" t="s">
        <v>60</v>
      </c>
      <c r="AQ32" s="9" t="s">
        <v>74</v>
      </c>
      <c r="AR32" s="9" t="s">
        <v>251</v>
      </c>
      <c r="AS32" s="9" t="n">
        <v>4207</v>
      </c>
      <c r="AT32" s="10" t="n">
        <f aca="false">(AS32/Q32)*100</f>
        <v>1.68977539282157</v>
      </c>
    </row>
    <row r="33" customFormat="false" ht="12.8" hidden="false" customHeight="false" outlineLevel="0" collapsed="false">
      <c r="A33" s="7" t="n">
        <v>2021</v>
      </c>
      <c r="B33" s="8" t="n">
        <v>32</v>
      </c>
      <c r="C33" s="9" t="s">
        <v>241</v>
      </c>
      <c r="D33" s="9" t="s">
        <v>241</v>
      </c>
      <c r="E33" s="9" t="s">
        <v>48</v>
      </c>
      <c r="F33" s="9" t="s">
        <v>49</v>
      </c>
      <c r="G33" s="9" t="s">
        <v>77</v>
      </c>
      <c r="H33" s="9" t="s">
        <v>51</v>
      </c>
      <c r="I33" s="9" t="s">
        <v>51</v>
      </c>
      <c r="J33" s="9" t="s">
        <v>51</v>
      </c>
      <c r="K33" s="9" t="s">
        <v>51</v>
      </c>
      <c r="L33" s="9" t="s">
        <v>68</v>
      </c>
      <c r="M33" s="9" t="s">
        <v>51</v>
      </c>
      <c r="N33" s="9" t="s">
        <v>51</v>
      </c>
      <c r="O33" s="9" t="s">
        <v>51</v>
      </c>
      <c r="P33" s="9" t="n">
        <v>428440</v>
      </c>
      <c r="Q33" s="9" t="n">
        <v>274087</v>
      </c>
      <c r="R33" s="10" t="n">
        <f aca="false">(Q33/P33)*100</f>
        <v>63.9732517972178</v>
      </c>
      <c r="S33" s="9" t="n">
        <f aca="false">Y33-AD33</f>
        <v>26665</v>
      </c>
      <c r="T33" s="10" t="n">
        <f aca="false">(S33/Q33)*100</f>
        <v>9.72866279684918</v>
      </c>
      <c r="U33" s="10" t="n">
        <f aca="false">Z33+AE33</f>
        <v>85.5498436627786</v>
      </c>
      <c r="V33" s="9" t="s">
        <v>52</v>
      </c>
      <c r="W33" s="9" t="s">
        <v>53</v>
      </c>
      <c r="X33" s="9" t="s">
        <v>252</v>
      </c>
      <c r="Y33" s="9" t="n">
        <v>130573</v>
      </c>
      <c r="Z33" s="10" t="n">
        <f aca="false">(Y33/Q33)*100</f>
        <v>47.6392532298139</v>
      </c>
      <c r="AA33" s="9" t="s">
        <v>55</v>
      </c>
      <c r="AB33" s="9" t="s">
        <v>68</v>
      </c>
      <c r="AC33" s="9" t="s">
        <v>253</v>
      </c>
      <c r="AD33" s="9" t="n">
        <v>103908</v>
      </c>
      <c r="AE33" s="10" t="n">
        <f aca="false">(AD33/Q33)*100</f>
        <v>37.9105904329647</v>
      </c>
      <c r="AF33" s="9" t="s">
        <v>58</v>
      </c>
      <c r="AG33" s="9" t="s">
        <v>58</v>
      </c>
      <c r="AH33" s="9" t="s">
        <v>254</v>
      </c>
      <c r="AI33" s="9" t="n">
        <v>26868</v>
      </c>
      <c r="AJ33" s="10" t="n">
        <f aca="false">(AI33/Q33)*100</f>
        <v>9.80272687139485</v>
      </c>
      <c r="AK33" s="9" t="s">
        <v>71</v>
      </c>
      <c r="AL33" s="15" t="s">
        <v>179</v>
      </c>
      <c r="AM33" s="9" t="s">
        <v>255</v>
      </c>
      <c r="AN33" s="9" t="n">
        <v>4146</v>
      </c>
      <c r="AO33" s="10" t="n">
        <f aca="false">(AN33/Q33)*100</f>
        <v>1.51265838948947</v>
      </c>
      <c r="AP33" s="9" t="s">
        <v>63</v>
      </c>
      <c r="AQ33" s="9" t="s">
        <v>63</v>
      </c>
      <c r="AR33" s="9" t="s">
        <v>63</v>
      </c>
      <c r="AS33" s="9" t="n">
        <v>3075</v>
      </c>
      <c r="AT33" s="10" t="n">
        <f aca="false">(AS33/Q33)*100</f>
        <v>1.12190654792092</v>
      </c>
    </row>
    <row r="34" customFormat="false" ht="12.8" hidden="false" customHeight="false" outlineLevel="0" collapsed="false">
      <c r="A34" s="7" t="n">
        <v>2021</v>
      </c>
      <c r="B34" s="8" t="n">
        <v>33</v>
      </c>
      <c r="C34" s="9" t="s">
        <v>256</v>
      </c>
      <c r="D34" s="9" t="s">
        <v>241</v>
      </c>
      <c r="E34" s="9" t="s">
        <v>48</v>
      </c>
      <c r="F34" s="9" t="s">
        <v>49</v>
      </c>
      <c r="G34" s="9" t="s">
        <v>50</v>
      </c>
      <c r="H34" s="9" t="s">
        <v>51</v>
      </c>
      <c r="I34" s="9" t="s">
        <v>51</v>
      </c>
      <c r="J34" s="9" t="s">
        <v>51</v>
      </c>
      <c r="K34" s="9" t="s">
        <v>51</v>
      </c>
      <c r="L34" s="9" t="s">
        <v>51</v>
      </c>
      <c r="M34" s="9" t="s">
        <v>51</v>
      </c>
      <c r="N34" s="9" t="s">
        <v>51</v>
      </c>
      <c r="O34" s="9" t="s">
        <v>51</v>
      </c>
      <c r="P34" s="9" t="n">
        <v>294620</v>
      </c>
      <c r="Q34" s="9" t="n">
        <v>226729</v>
      </c>
      <c r="R34" s="10" t="n">
        <f aca="false">(Q34/P34)*100</f>
        <v>76.9564184373091</v>
      </c>
      <c r="S34" s="9" t="n">
        <f aca="false">Y34-AD34</f>
        <v>1947</v>
      </c>
      <c r="T34" s="10" t="n">
        <f aca="false">(S34/Q34)*100</f>
        <v>0.858734436265321</v>
      </c>
      <c r="U34" s="10" t="n">
        <f aca="false">Z34+AE34</f>
        <v>82.0190624048975</v>
      </c>
      <c r="V34" s="9" t="s">
        <v>52</v>
      </c>
      <c r="W34" s="9" t="s">
        <v>257</v>
      </c>
      <c r="X34" s="9" t="s">
        <v>258</v>
      </c>
      <c r="Y34" s="9" t="n">
        <v>93954</v>
      </c>
      <c r="Z34" s="10" t="n">
        <f aca="false">(Y34/Q34)*100</f>
        <v>41.4388984205814</v>
      </c>
      <c r="AA34" s="9" t="s">
        <v>55</v>
      </c>
      <c r="AB34" s="9" t="s">
        <v>56</v>
      </c>
      <c r="AC34" s="9" t="s">
        <v>259</v>
      </c>
      <c r="AD34" s="9" t="n">
        <v>92007</v>
      </c>
      <c r="AE34" s="10" t="n">
        <f aca="false">(AD34/Q34)*100</f>
        <v>40.5801639843161</v>
      </c>
      <c r="AF34" s="9" t="s">
        <v>58</v>
      </c>
      <c r="AG34" s="9" t="s">
        <v>58</v>
      </c>
      <c r="AH34" s="9" t="s">
        <v>260</v>
      </c>
      <c r="AI34" s="9" t="n">
        <v>20428</v>
      </c>
      <c r="AJ34" s="10" t="n">
        <f aca="false">(AI34/Q34)*100</f>
        <v>9.00987522548946</v>
      </c>
      <c r="AK34" s="9" t="s">
        <v>71</v>
      </c>
      <c r="AL34" s="9" t="s">
        <v>72</v>
      </c>
      <c r="AM34" s="9" t="s">
        <v>261</v>
      </c>
      <c r="AN34" s="9" t="n">
        <v>8194</v>
      </c>
      <c r="AO34" s="10" t="n">
        <f aca="false">(AN34/Q34)*100</f>
        <v>3.61400614830922</v>
      </c>
      <c r="AP34" s="12" t="s">
        <v>60</v>
      </c>
      <c r="AQ34" s="9" t="s">
        <v>74</v>
      </c>
      <c r="AR34" s="9" t="s">
        <v>262</v>
      </c>
      <c r="AS34" s="9" t="n">
        <v>7662</v>
      </c>
      <c r="AT34" s="10" t="n">
        <f aca="false">(AS34/Q34)*100</f>
        <v>3.37936479232917</v>
      </c>
    </row>
    <row r="35" customFormat="false" ht="12.8" hidden="false" customHeight="false" outlineLevel="0" collapsed="false">
      <c r="A35" s="7" t="n">
        <v>2021</v>
      </c>
      <c r="B35" s="8" t="n">
        <v>34</v>
      </c>
      <c r="C35" s="9" t="s">
        <v>263</v>
      </c>
      <c r="D35" s="9" t="s">
        <v>241</v>
      </c>
      <c r="E35" s="9" t="s">
        <v>48</v>
      </c>
      <c r="F35" s="9" t="s">
        <v>49</v>
      </c>
      <c r="G35" s="9" t="s">
        <v>50</v>
      </c>
      <c r="H35" s="9" t="s">
        <v>65</v>
      </c>
      <c r="I35" s="9" t="s">
        <v>51</v>
      </c>
      <c r="J35" s="9" t="s">
        <v>51</v>
      </c>
      <c r="K35" s="9" t="s">
        <v>51</v>
      </c>
      <c r="L35" s="9" t="s">
        <v>51</v>
      </c>
      <c r="M35" s="9" t="s">
        <v>51</v>
      </c>
      <c r="N35" s="9" t="s">
        <v>51</v>
      </c>
      <c r="O35" s="9" t="s">
        <v>51</v>
      </c>
      <c r="P35" s="9" t="n">
        <v>227468</v>
      </c>
      <c r="Q35" s="9" t="n">
        <v>179120</v>
      </c>
      <c r="R35" s="10" t="n">
        <f aca="false">(Q35/P35)*100</f>
        <v>78.7451421738442</v>
      </c>
      <c r="S35" s="9" t="n">
        <f aca="false">Y35-AD35</f>
        <v>4042</v>
      </c>
      <c r="T35" s="10" t="n">
        <f aca="false">(S35/Q35)*100</f>
        <v>2.25658776239393</v>
      </c>
      <c r="U35" s="10" t="n">
        <f aca="false">Z35+AE35</f>
        <v>90.1395712371594</v>
      </c>
      <c r="V35" s="9" t="s">
        <v>52</v>
      </c>
      <c r="W35" s="9" t="s">
        <v>257</v>
      </c>
      <c r="X35" s="9" t="s">
        <v>264</v>
      </c>
      <c r="Y35" s="9" t="n">
        <v>82750</v>
      </c>
      <c r="Z35" s="10" t="n">
        <f aca="false">(Y35/Q35)*100</f>
        <v>46.1980794997767</v>
      </c>
      <c r="AA35" s="9" t="s">
        <v>55</v>
      </c>
      <c r="AB35" s="9" t="s">
        <v>68</v>
      </c>
      <c r="AC35" s="9" t="s">
        <v>265</v>
      </c>
      <c r="AD35" s="9" t="n">
        <v>78708</v>
      </c>
      <c r="AE35" s="10" t="n">
        <f aca="false">(AD35/Q35)*100</f>
        <v>43.9414917373828</v>
      </c>
      <c r="AF35" s="9" t="s">
        <v>58</v>
      </c>
      <c r="AG35" s="9" t="s">
        <v>58</v>
      </c>
      <c r="AH35" s="9" t="s">
        <v>266</v>
      </c>
      <c r="AI35" s="9" t="n">
        <v>9653</v>
      </c>
      <c r="AJ35" s="10" t="n">
        <f aca="false">(AI35/Q35)*100</f>
        <v>5.38912460920054</v>
      </c>
      <c r="AK35" s="9" t="s">
        <v>60</v>
      </c>
      <c r="AL35" s="9" t="s">
        <v>61</v>
      </c>
      <c r="AM35" s="9" t="s">
        <v>267</v>
      </c>
      <c r="AN35" s="9" t="n">
        <v>3054</v>
      </c>
      <c r="AO35" s="10" t="n">
        <f aca="false">(AN35/Q35)*100</f>
        <v>1.70500223313979</v>
      </c>
      <c r="AP35" s="9" t="s">
        <v>71</v>
      </c>
      <c r="AQ35" s="9" t="s">
        <v>72</v>
      </c>
      <c r="AR35" s="9" t="s">
        <v>268</v>
      </c>
      <c r="AS35" s="9" t="n">
        <v>1968</v>
      </c>
      <c r="AT35" s="10" t="n">
        <f aca="false">(AS35/Q35)*100</f>
        <v>1.09870477891916</v>
      </c>
    </row>
    <row r="36" customFormat="false" ht="12.8" hidden="false" customHeight="false" outlineLevel="0" collapsed="false">
      <c r="A36" s="7" t="n">
        <v>2021</v>
      </c>
      <c r="B36" s="8" t="n">
        <v>35</v>
      </c>
      <c r="C36" s="9" t="s">
        <v>269</v>
      </c>
      <c r="D36" s="9" t="s">
        <v>241</v>
      </c>
      <c r="E36" s="9" t="s">
        <v>48</v>
      </c>
      <c r="F36" s="9" t="s">
        <v>49</v>
      </c>
      <c r="G36" s="9" t="s">
        <v>77</v>
      </c>
      <c r="H36" s="9" t="s">
        <v>65</v>
      </c>
      <c r="I36" s="9" t="s">
        <v>51</v>
      </c>
      <c r="J36" s="9" t="s">
        <v>51</v>
      </c>
      <c r="K36" s="9" t="s">
        <v>51</v>
      </c>
      <c r="L36" s="9" t="s">
        <v>51</v>
      </c>
      <c r="M36" s="9" t="s">
        <v>51</v>
      </c>
      <c r="N36" s="9" t="s">
        <v>51</v>
      </c>
      <c r="O36" s="9" t="s">
        <v>51</v>
      </c>
      <c r="P36" s="9" t="n">
        <v>226715</v>
      </c>
      <c r="Q36" s="9" t="n">
        <v>185842</v>
      </c>
      <c r="R36" s="10" t="n">
        <f aca="false">(Q36/P36)*100</f>
        <v>81.9716384006352</v>
      </c>
      <c r="S36" s="9" t="n">
        <f aca="false">Y36-AD36</f>
        <v>3570</v>
      </c>
      <c r="T36" s="10" t="n">
        <f aca="false">(S36/Q36)*100</f>
        <v>1.92098664456904</v>
      </c>
      <c r="U36" s="10" t="n">
        <f aca="false">Z36+AE36</f>
        <v>91.3259650671</v>
      </c>
      <c r="V36" s="9" t="s">
        <v>55</v>
      </c>
      <c r="W36" s="9" t="s">
        <v>68</v>
      </c>
      <c r="X36" s="9" t="s">
        <v>270</v>
      </c>
      <c r="Y36" s="9" t="n">
        <v>86646</v>
      </c>
      <c r="Z36" s="10" t="n">
        <f aca="false">(Y36/Q36)*100</f>
        <v>46.6234758558345</v>
      </c>
      <c r="AA36" s="9" t="s">
        <v>52</v>
      </c>
      <c r="AB36" s="9" t="s">
        <v>271</v>
      </c>
      <c r="AC36" s="9" t="s">
        <v>272</v>
      </c>
      <c r="AD36" s="9" t="n">
        <v>83076</v>
      </c>
      <c r="AE36" s="10" t="n">
        <f aca="false">(AD36/Q36)*100</f>
        <v>44.7024892112655</v>
      </c>
      <c r="AF36" s="9" t="s">
        <v>58</v>
      </c>
      <c r="AG36" s="9" t="s">
        <v>58</v>
      </c>
      <c r="AH36" s="9" t="s">
        <v>273</v>
      </c>
      <c r="AI36" s="9" t="n">
        <v>9293</v>
      </c>
      <c r="AJ36" s="10" t="n">
        <f aca="false">(AI36/Q36)*100</f>
        <v>5.00048428234737</v>
      </c>
      <c r="AK36" s="9" t="s">
        <v>60</v>
      </c>
      <c r="AL36" s="9" t="s">
        <v>61</v>
      </c>
      <c r="AM36" s="9" t="s">
        <v>274</v>
      </c>
      <c r="AN36" s="9" t="n">
        <v>2137</v>
      </c>
      <c r="AO36" s="10" t="n">
        <f aca="false">(AN36/Q36)*100</f>
        <v>1.14990152925603</v>
      </c>
      <c r="AP36" s="9" t="s">
        <v>71</v>
      </c>
      <c r="AQ36" s="9" t="s">
        <v>72</v>
      </c>
      <c r="AR36" s="9" t="s">
        <v>275</v>
      </c>
      <c r="AS36" s="9" t="n">
        <v>1488</v>
      </c>
      <c r="AT36" s="10" t="n">
        <f aca="false">(AS36/Q36)*100</f>
        <v>0.800680147652307</v>
      </c>
    </row>
    <row r="37" customFormat="false" ht="12.8" hidden="false" customHeight="false" outlineLevel="0" collapsed="false">
      <c r="A37" s="7" t="n">
        <v>2021</v>
      </c>
      <c r="B37" s="8" t="n">
        <v>36</v>
      </c>
      <c r="C37" s="9" t="s">
        <v>276</v>
      </c>
      <c r="D37" s="9" t="s">
        <v>234</v>
      </c>
      <c r="E37" s="9" t="s">
        <v>48</v>
      </c>
      <c r="F37" s="9" t="s">
        <v>49</v>
      </c>
      <c r="G37" s="9" t="s">
        <v>50</v>
      </c>
      <c r="H37" s="9" t="s">
        <v>51</v>
      </c>
      <c r="I37" s="9" t="s">
        <v>51</v>
      </c>
      <c r="J37" s="9" t="s">
        <v>51</v>
      </c>
      <c r="K37" s="9" t="s">
        <v>53</v>
      </c>
      <c r="L37" s="9" t="s">
        <v>51</v>
      </c>
      <c r="M37" s="9" t="s">
        <v>51</v>
      </c>
      <c r="N37" s="9" t="s">
        <v>51</v>
      </c>
      <c r="O37" s="9" t="s">
        <v>51</v>
      </c>
      <c r="P37" s="9" t="n">
        <v>260462</v>
      </c>
      <c r="Q37" s="9" t="n">
        <v>210529</v>
      </c>
      <c r="R37" s="10" t="n">
        <f aca="false">(Q37/P37)*100</f>
        <v>80.8290652763167</v>
      </c>
      <c r="S37" s="9" t="n">
        <f aca="false">Y37-AD37</f>
        <v>1622</v>
      </c>
      <c r="T37" s="10" t="n">
        <f aca="false">(S37/Q37)*100</f>
        <v>0.770440176887745</v>
      </c>
      <c r="U37" s="10" t="n">
        <f aca="false">Z37+AE37</f>
        <v>87.9840782030029</v>
      </c>
      <c r="V37" s="9" t="s">
        <v>52</v>
      </c>
      <c r="W37" s="9" t="s">
        <v>53</v>
      </c>
      <c r="X37" s="9" t="s">
        <v>277</v>
      </c>
      <c r="Y37" s="9" t="n">
        <v>93427</v>
      </c>
      <c r="Z37" s="10" t="n">
        <f aca="false">(Y37/Q37)*100</f>
        <v>44.3772591899453</v>
      </c>
      <c r="AA37" s="9" t="s">
        <v>55</v>
      </c>
      <c r="AB37" s="9" t="s">
        <v>68</v>
      </c>
      <c r="AC37" s="9" t="s">
        <v>278</v>
      </c>
      <c r="AD37" s="9" t="n">
        <v>91805</v>
      </c>
      <c r="AE37" s="10" t="n">
        <f aca="false">(AD37/Q37)*100</f>
        <v>43.6068190130576</v>
      </c>
      <c r="AF37" s="9" t="s">
        <v>58</v>
      </c>
      <c r="AG37" s="9" t="s">
        <v>58</v>
      </c>
      <c r="AH37" s="9" t="s">
        <v>279</v>
      </c>
      <c r="AI37" s="9" t="n">
        <v>11405</v>
      </c>
      <c r="AJ37" s="10" t="n">
        <f aca="false">(AI37/Q37)*100</f>
        <v>5.4173059293494</v>
      </c>
      <c r="AK37" s="9" t="s">
        <v>60</v>
      </c>
      <c r="AL37" s="9" t="s">
        <v>74</v>
      </c>
      <c r="AM37" s="9" t="s">
        <v>280</v>
      </c>
      <c r="AN37" s="9" t="n">
        <v>7211</v>
      </c>
      <c r="AO37" s="10" t="n">
        <f aca="false">(AN37/Q37)*100</f>
        <v>3.42518132893806</v>
      </c>
      <c r="AP37" s="9" t="s">
        <v>71</v>
      </c>
      <c r="AQ37" s="9" t="s">
        <v>72</v>
      </c>
      <c r="AR37" s="9" t="s">
        <v>281</v>
      </c>
      <c r="AS37" s="9" t="n">
        <v>2100</v>
      </c>
      <c r="AT37" s="10" t="n">
        <f aca="false">(AS37/Q37)*100</f>
        <v>0.997487282037154</v>
      </c>
    </row>
    <row r="38" customFormat="false" ht="12.8" hidden="false" customHeight="false" outlineLevel="0" collapsed="false">
      <c r="A38" s="7" t="n">
        <v>2021</v>
      </c>
      <c r="B38" s="8" t="n">
        <v>37</v>
      </c>
      <c r="C38" s="9" t="s">
        <v>234</v>
      </c>
      <c r="D38" s="9" t="s">
        <v>234</v>
      </c>
      <c r="E38" s="9" t="s">
        <v>48</v>
      </c>
      <c r="F38" s="9" t="s">
        <v>49</v>
      </c>
      <c r="G38" s="9" t="s">
        <v>88</v>
      </c>
      <c r="H38" s="9" t="s">
        <v>51</v>
      </c>
      <c r="I38" s="9" t="s">
        <v>51</v>
      </c>
      <c r="J38" s="9" t="s">
        <v>51</v>
      </c>
      <c r="K38" s="9" t="s">
        <v>51</v>
      </c>
      <c r="L38" s="9" t="s">
        <v>51</v>
      </c>
      <c r="M38" s="9" t="s">
        <v>51</v>
      </c>
      <c r="N38" s="9" t="s">
        <v>51</v>
      </c>
      <c r="O38" s="9" t="s">
        <v>282</v>
      </c>
      <c r="P38" s="9" t="n">
        <v>309192</v>
      </c>
      <c r="Q38" s="9" t="n">
        <v>229430</v>
      </c>
      <c r="R38" s="10" t="n">
        <f aca="false">(Q38/P38)*100</f>
        <v>74.2030841677663</v>
      </c>
      <c r="S38" s="9" t="n">
        <f aca="false">Y38-AD38</f>
        <v>11595</v>
      </c>
      <c r="T38" s="10" t="n">
        <f aca="false">(S38/Q38)*100</f>
        <v>5.05382905461361</v>
      </c>
      <c r="U38" s="10" t="n">
        <f aca="false">Z38+AE38</f>
        <v>84.482848799198</v>
      </c>
      <c r="V38" s="9" t="s">
        <v>52</v>
      </c>
      <c r="W38" s="9" t="s">
        <v>53</v>
      </c>
      <c r="X38" s="9" t="s">
        <v>283</v>
      </c>
      <c r="Y38" s="9" t="n">
        <v>102712</v>
      </c>
      <c r="Z38" s="10" t="n">
        <f aca="false">(Y38/Q38)*100</f>
        <v>44.7683389269058</v>
      </c>
      <c r="AA38" s="9" t="s">
        <v>55</v>
      </c>
      <c r="AB38" s="9" t="s">
        <v>56</v>
      </c>
      <c r="AC38" s="9" t="s">
        <v>284</v>
      </c>
      <c r="AD38" s="9" t="n">
        <v>91117</v>
      </c>
      <c r="AE38" s="10" t="n">
        <f aca="false">(AD38/Q38)*100</f>
        <v>39.7145098722922</v>
      </c>
      <c r="AF38" s="9" t="s">
        <v>58</v>
      </c>
      <c r="AG38" s="9" t="s">
        <v>58</v>
      </c>
      <c r="AH38" s="9" t="s">
        <v>285</v>
      </c>
      <c r="AI38" s="9" t="n">
        <v>13946</v>
      </c>
      <c r="AJ38" s="10" t="n">
        <f aca="false">(AI38/Q38)*100</f>
        <v>6.07854247482892</v>
      </c>
      <c r="AK38" s="9" t="s">
        <v>71</v>
      </c>
      <c r="AL38" s="9" t="s">
        <v>72</v>
      </c>
      <c r="AM38" s="9" t="s">
        <v>286</v>
      </c>
      <c r="AN38" s="9" t="n">
        <v>12028</v>
      </c>
      <c r="AO38" s="10" t="n">
        <f aca="false">(AN38/Q38)*100</f>
        <v>5.24255764285403</v>
      </c>
      <c r="AP38" s="9" t="s">
        <v>63</v>
      </c>
      <c r="AQ38" s="9" t="s">
        <v>63</v>
      </c>
      <c r="AR38" s="9" t="s">
        <v>63</v>
      </c>
      <c r="AS38" s="9" t="n">
        <v>2534</v>
      </c>
      <c r="AT38" s="10" t="n">
        <f aca="false">(AS38/Q38)*100</f>
        <v>1.10447631085734</v>
      </c>
    </row>
    <row r="39" customFormat="false" ht="12.8" hidden="false" customHeight="false" outlineLevel="0" collapsed="false">
      <c r="A39" s="7" t="n">
        <v>2021</v>
      </c>
      <c r="B39" s="8" t="n">
        <v>38</v>
      </c>
      <c r="C39" s="9" t="s">
        <v>287</v>
      </c>
      <c r="D39" s="9" t="s">
        <v>288</v>
      </c>
      <c r="E39" s="9" t="s">
        <v>48</v>
      </c>
      <c r="F39" s="9" t="s">
        <v>289</v>
      </c>
      <c r="G39" s="9" t="s">
        <v>77</v>
      </c>
      <c r="H39" s="9" t="s">
        <v>65</v>
      </c>
      <c r="I39" s="9" t="s">
        <v>51</v>
      </c>
      <c r="J39" s="9" t="s">
        <v>51</v>
      </c>
      <c r="K39" s="9" t="s">
        <v>68</v>
      </c>
      <c r="L39" s="9" t="s">
        <v>51</v>
      </c>
      <c r="M39" s="9" t="s">
        <v>68</v>
      </c>
      <c r="N39" s="9" t="s">
        <v>51</v>
      </c>
      <c r="O39" s="9" t="s">
        <v>51</v>
      </c>
      <c r="P39" s="9" t="n">
        <v>227320</v>
      </c>
      <c r="Q39" s="9" t="n">
        <v>171412</v>
      </c>
      <c r="R39" s="10" t="n">
        <f aca="false">(Q39/P39)*100</f>
        <v>75.4055956361077</v>
      </c>
      <c r="S39" s="9" t="n">
        <f aca="false">Y39-AD39</f>
        <v>27169</v>
      </c>
      <c r="T39" s="10" t="n">
        <f aca="false">(S39/Q39)*100</f>
        <v>15.8501155111661</v>
      </c>
      <c r="U39" s="10" t="n">
        <f aca="false">Z39+AE39</f>
        <v>83.7916831960423</v>
      </c>
      <c r="V39" s="9" t="s">
        <v>55</v>
      </c>
      <c r="W39" s="9" t="s">
        <v>68</v>
      </c>
      <c r="X39" s="9" t="s">
        <v>290</v>
      </c>
      <c r="Y39" s="9" t="n">
        <v>85399</v>
      </c>
      <c r="Z39" s="10" t="n">
        <f aca="false">(Y39/Q39)*100</f>
        <v>49.8208993536042</v>
      </c>
      <c r="AA39" s="9" t="s">
        <v>52</v>
      </c>
      <c r="AB39" s="9" t="s">
        <v>257</v>
      </c>
      <c r="AC39" s="9" t="s">
        <v>291</v>
      </c>
      <c r="AD39" s="9" t="n">
        <v>58230</v>
      </c>
      <c r="AE39" s="10" t="n">
        <f aca="false">(AD39/Q39)*100</f>
        <v>33.9707838424381</v>
      </c>
      <c r="AF39" s="9" t="s">
        <v>58</v>
      </c>
      <c r="AG39" s="9" t="s">
        <v>58</v>
      </c>
      <c r="AH39" s="9" t="s">
        <v>292</v>
      </c>
      <c r="AI39" s="9" t="n">
        <v>14631</v>
      </c>
      <c r="AJ39" s="10" t="n">
        <f aca="false">(AI39/Q39)*100</f>
        <v>8.53557510559354</v>
      </c>
      <c r="AK39" s="9" t="s">
        <v>60</v>
      </c>
      <c r="AL39" s="9" t="s">
        <v>74</v>
      </c>
      <c r="AM39" s="9" t="s">
        <v>293</v>
      </c>
      <c r="AN39" s="9" t="n">
        <v>4777</v>
      </c>
      <c r="AO39" s="10" t="n">
        <f aca="false">(AN39/Q39)*100</f>
        <v>2.78685272909715</v>
      </c>
      <c r="AP39" s="9" t="s">
        <v>71</v>
      </c>
      <c r="AQ39" s="9" t="s">
        <v>72</v>
      </c>
      <c r="AR39" s="9" t="s">
        <v>294</v>
      </c>
      <c r="AS39" s="9" t="n">
        <v>3543</v>
      </c>
      <c r="AT39" s="10" t="n">
        <f aca="false">(AS39/Q39)*100</f>
        <v>2.06694980514783</v>
      </c>
    </row>
    <row r="40" customFormat="false" ht="12.8" hidden="false" customHeight="false" outlineLevel="0" collapsed="false">
      <c r="A40" s="7" t="n">
        <v>2021</v>
      </c>
      <c r="B40" s="8" t="n">
        <v>39</v>
      </c>
      <c r="C40" s="9" t="s">
        <v>295</v>
      </c>
      <c r="D40" s="9" t="s">
        <v>288</v>
      </c>
      <c r="E40" s="9" t="s">
        <v>48</v>
      </c>
      <c r="F40" s="9" t="s">
        <v>289</v>
      </c>
      <c r="G40" s="9" t="s">
        <v>50</v>
      </c>
      <c r="H40" s="9" t="s">
        <v>51</v>
      </c>
      <c r="I40" s="9" t="s">
        <v>51</v>
      </c>
      <c r="J40" s="9" t="s">
        <v>51</v>
      </c>
      <c r="K40" s="9" t="s">
        <v>51</v>
      </c>
      <c r="L40" s="9" t="s">
        <v>51</v>
      </c>
      <c r="M40" s="9" t="s">
        <v>51</v>
      </c>
      <c r="N40" s="9" t="s">
        <v>51</v>
      </c>
      <c r="O40" s="9" t="s">
        <v>51</v>
      </c>
      <c r="P40" s="9" t="n">
        <v>278034</v>
      </c>
      <c r="Q40" s="9" t="n">
        <v>224109</v>
      </c>
      <c r="R40" s="10" t="n">
        <f aca="false">(Q40/P40)*100</f>
        <v>80.6048900494184</v>
      </c>
      <c r="S40" s="9" t="n">
        <f aca="false">Y40-AD40</f>
        <v>26698</v>
      </c>
      <c r="T40" s="10" t="n">
        <f aca="false">(S40/Q40)*100</f>
        <v>11.9129530719427</v>
      </c>
      <c r="U40" s="10" t="n">
        <f aca="false">Z40+AE40</f>
        <v>86.4570365313307</v>
      </c>
      <c r="V40" s="9" t="s">
        <v>52</v>
      </c>
      <c r="W40" s="9" t="s">
        <v>66</v>
      </c>
      <c r="X40" s="9" t="s">
        <v>296</v>
      </c>
      <c r="Y40" s="9" t="n">
        <v>110228</v>
      </c>
      <c r="Z40" s="10" t="n">
        <f aca="false">(Y40/Q40)*100</f>
        <v>49.1849948016367</v>
      </c>
      <c r="AA40" s="9" t="s">
        <v>55</v>
      </c>
      <c r="AB40" s="9" t="s">
        <v>56</v>
      </c>
      <c r="AC40" s="9" t="s">
        <v>297</v>
      </c>
      <c r="AD40" s="9" t="n">
        <v>83530</v>
      </c>
      <c r="AE40" s="10" t="n">
        <f aca="false">(AD40/Q40)*100</f>
        <v>37.272041729694</v>
      </c>
      <c r="AF40" s="12" t="s">
        <v>60</v>
      </c>
      <c r="AG40" s="9" t="s">
        <v>74</v>
      </c>
      <c r="AH40" s="9" t="s">
        <v>298</v>
      </c>
      <c r="AI40" s="9" t="n">
        <v>12979</v>
      </c>
      <c r="AJ40" s="10" t="n">
        <f aca="false">(AI40/Q40)*100</f>
        <v>5.79137830252243</v>
      </c>
      <c r="AK40" s="9" t="s">
        <v>58</v>
      </c>
      <c r="AL40" s="9" t="s">
        <v>58</v>
      </c>
      <c r="AM40" s="9" t="s">
        <v>299</v>
      </c>
      <c r="AN40" s="9" t="n">
        <v>9656</v>
      </c>
      <c r="AO40" s="10" t="n">
        <f aca="false">(AN40/Q40)*100</f>
        <v>4.30861768157459</v>
      </c>
      <c r="AP40" s="9" t="s">
        <v>71</v>
      </c>
      <c r="AQ40" s="9" t="s">
        <v>72</v>
      </c>
      <c r="AR40" s="9" t="s">
        <v>300</v>
      </c>
      <c r="AS40" s="9" t="n">
        <v>1664</v>
      </c>
      <c r="AT40" s="10" t="n">
        <f aca="false">(AS40/Q40)*100</f>
        <v>0.742495839078306</v>
      </c>
    </row>
    <row r="41" customFormat="false" ht="12.8" hidden="false" customHeight="false" outlineLevel="0" collapsed="false">
      <c r="A41" s="7" t="n">
        <v>2021</v>
      </c>
      <c r="B41" s="8" t="n">
        <v>40</v>
      </c>
      <c r="C41" s="9" t="s">
        <v>288</v>
      </c>
      <c r="D41" s="9" t="s">
        <v>288</v>
      </c>
      <c r="E41" s="9" t="s">
        <v>48</v>
      </c>
      <c r="F41" s="9" t="s">
        <v>289</v>
      </c>
      <c r="G41" s="9" t="s">
        <v>77</v>
      </c>
      <c r="H41" s="9" t="s">
        <v>51</v>
      </c>
      <c r="I41" s="9" t="s">
        <v>51</v>
      </c>
      <c r="J41" s="9" t="s">
        <v>51</v>
      </c>
      <c r="K41" s="9" t="s">
        <v>51</v>
      </c>
      <c r="L41" s="9" t="s">
        <v>51</v>
      </c>
      <c r="M41" s="9" t="s">
        <v>51</v>
      </c>
      <c r="N41" s="9" t="s">
        <v>51</v>
      </c>
      <c r="O41" s="9" t="s">
        <v>51</v>
      </c>
      <c r="P41" s="9" t="n">
        <v>267260</v>
      </c>
      <c r="Q41" s="9" t="n">
        <v>207462</v>
      </c>
      <c r="R41" s="10" t="n">
        <f aca="false">(Q41/P41)*100</f>
        <v>77.6255331886552</v>
      </c>
      <c r="S41" s="9" t="n">
        <f aca="false">Y41-AD41</f>
        <v>16498</v>
      </c>
      <c r="T41" s="10" t="n">
        <f aca="false">(S41/Q41)*100</f>
        <v>7.95229969825799</v>
      </c>
      <c r="U41" s="10" t="n">
        <f aca="false">Z41+AE41</f>
        <v>91.62352623613</v>
      </c>
      <c r="V41" s="9" t="s">
        <v>52</v>
      </c>
      <c r="W41" s="9" t="s">
        <v>53</v>
      </c>
      <c r="X41" s="9" t="s">
        <v>301</v>
      </c>
      <c r="Y41" s="9" t="n">
        <v>103291</v>
      </c>
      <c r="Z41" s="10" t="n">
        <f aca="false">(Y41/Q41)*100</f>
        <v>49.787912967194</v>
      </c>
      <c r="AA41" s="9" t="s">
        <v>55</v>
      </c>
      <c r="AB41" s="9" t="s">
        <v>68</v>
      </c>
      <c r="AC41" s="9" t="s">
        <v>302</v>
      </c>
      <c r="AD41" s="9" t="n">
        <v>86793</v>
      </c>
      <c r="AE41" s="10" t="n">
        <f aca="false">(AD41/Q41)*100</f>
        <v>41.835613268936</v>
      </c>
      <c r="AF41" s="9" t="s">
        <v>58</v>
      </c>
      <c r="AG41" s="9" t="s">
        <v>58</v>
      </c>
      <c r="AH41" s="9" t="s">
        <v>303</v>
      </c>
      <c r="AI41" s="9" t="n">
        <v>10234</v>
      </c>
      <c r="AJ41" s="10" t="n">
        <f aca="false">(AI41/Q41)*100</f>
        <v>4.93295157667428</v>
      </c>
      <c r="AK41" s="9" t="s">
        <v>71</v>
      </c>
      <c r="AL41" s="9" t="s">
        <v>72</v>
      </c>
      <c r="AM41" s="9" t="s">
        <v>304</v>
      </c>
      <c r="AN41" s="9" t="n">
        <v>2762</v>
      </c>
      <c r="AO41" s="10" t="n">
        <f aca="false">(AN41/Q41)*100</f>
        <v>1.33132814684135</v>
      </c>
      <c r="AP41" s="9" t="s">
        <v>63</v>
      </c>
      <c r="AQ41" s="9" t="s">
        <v>63</v>
      </c>
      <c r="AR41" s="9" t="s">
        <v>63</v>
      </c>
      <c r="AS41" s="9" t="n">
        <v>1632</v>
      </c>
      <c r="AT41" s="10" t="n">
        <f aca="false">(AS41/Q41)*100</f>
        <v>0.786650085316829</v>
      </c>
    </row>
    <row r="42" customFormat="false" ht="12.8" hidden="false" customHeight="false" outlineLevel="0" collapsed="false">
      <c r="A42" s="7" t="n">
        <v>2021</v>
      </c>
      <c r="B42" s="8" t="n">
        <v>41</v>
      </c>
      <c r="C42" s="9" t="s">
        <v>305</v>
      </c>
      <c r="D42" s="9" t="s">
        <v>288</v>
      </c>
      <c r="E42" s="9" t="s">
        <v>48</v>
      </c>
      <c r="F42" s="9" t="s">
        <v>289</v>
      </c>
      <c r="G42" s="9" t="s">
        <v>77</v>
      </c>
      <c r="H42" s="9" t="s">
        <v>51</v>
      </c>
      <c r="I42" s="9" t="s">
        <v>51</v>
      </c>
      <c r="J42" s="9" t="s">
        <v>51</v>
      </c>
      <c r="K42" s="9" t="s">
        <v>51</v>
      </c>
      <c r="L42" s="9" t="s">
        <v>51</v>
      </c>
      <c r="M42" s="9" t="s">
        <v>51</v>
      </c>
      <c r="N42" s="9" t="s">
        <v>51</v>
      </c>
      <c r="O42" s="9" t="s">
        <v>51</v>
      </c>
      <c r="P42" s="9" t="n">
        <v>262476</v>
      </c>
      <c r="Q42" s="9" t="n">
        <v>209791</v>
      </c>
      <c r="R42" s="10" t="n">
        <f aca="false">(Q42/P42)*100</f>
        <v>79.9276886267697</v>
      </c>
      <c r="S42" s="9" t="n">
        <f aca="false">Y42-AD42</f>
        <v>19958</v>
      </c>
      <c r="T42" s="10" t="n">
        <f aca="false">(S42/Q42)*100</f>
        <v>9.51327749998808</v>
      </c>
      <c r="U42" s="10" t="n">
        <f aca="false">Z42+AE42</f>
        <v>89.5233827952581</v>
      </c>
      <c r="V42" s="9" t="s">
        <v>52</v>
      </c>
      <c r="W42" s="9" t="s">
        <v>53</v>
      </c>
      <c r="X42" s="9" t="s">
        <v>306</v>
      </c>
      <c r="Y42" s="9" t="n">
        <v>103885</v>
      </c>
      <c r="Z42" s="10" t="n">
        <f aca="false">(Y42/Q42)*100</f>
        <v>49.5183301476231</v>
      </c>
      <c r="AA42" s="9" t="s">
        <v>55</v>
      </c>
      <c r="AB42" s="9" t="s">
        <v>56</v>
      </c>
      <c r="AC42" s="9" t="s">
        <v>307</v>
      </c>
      <c r="AD42" s="9" t="n">
        <v>83927</v>
      </c>
      <c r="AE42" s="10" t="n">
        <f aca="false">(AD42/Q42)*100</f>
        <v>40.005052647635</v>
      </c>
      <c r="AF42" s="9" t="s">
        <v>58</v>
      </c>
      <c r="AG42" s="9" t="s">
        <v>58</v>
      </c>
      <c r="AH42" s="9" t="s">
        <v>308</v>
      </c>
      <c r="AI42" s="9" t="n">
        <v>12088</v>
      </c>
      <c r="AJ42" s="10" t="n">
        <f aca="false">(AI42/Q42)*100</f>
        <v>5.76192496341597</v>
      </c>
      <c r="AK42" s="9" t="s">
        <v>71</v>
      </c>
      <c r="AL42" s="9" t="s">
        <v>72</v>
      </c>
      <c r="AM42" s="9" t="s">
        <v>309</v>
      </c>
      <c r="AN42" s="9" t="n">
        <v>2860</v>
      </c>
      <c r="AO42" s="10" t="n">
        <f aca="false">(AN42/Q42)*100</f>
        <v>1.3632615317149</v>
      </c>
      <c r="AP42" s="9" t="s">
        <v>63</v>
      </c>
      <c r="AQ42" s="9" t="s">
        <v>63</v>
      </c>
      <c r="AR42" s="9" t="s">
        <v>63</v>
      </c>
      <c r="AS42" s="9" t="n">
        <v>2253</v>
      </c>
      <c r="AT42" s="10" t="n">
        <f aca="false">(AS42/Q42)*100</f>
        <v>1.0739259548789</v>
      </c>
    </row>
    <row r="43" customFormat="false" ht="12.8" hidden="false" customHeight="false" outlineLevel="0" collapsed="false">
      <c r="A43" s="7" t="n">
        <v>2021</v>
      </c>
      <c r="B43" s="8" t="n">
        <v>42</v>
      </c>
      <c r="C43" s="9" t="s">
        <v>310</v>
      </c>
      <c r="D43" s="9" t="s">
        <v>311</v>
      </c>
      <c r="E43" s="9" t="s">
        <v>48</v>
      </c>
      <c r="F43" s="9" t="s">
        <v>289</v>
      </c>
      <c r="G43" s="9" t="s">
        <v>77</v>
      </c>
      <c r="H43" s="9" t="s">
        <v>51</v>
      </c>
      <c r="I43" s="9" t="s">
        <v>51</v>
      </c>
      <c r="J43" s="9" t="s">
        <v>51</v>
      </c>
      <c r="K43" s="9" t="s">
        <v>53</v>
      </c>
      <c r="L43" s="9" t="s">
        <v>51</v>
      </c>
      <c r="M43" s="9" t="s">
        <v>53</v>
      </c>
      <c r="N43" s="9" t="s">
        <v>51</v>
      </c>
      <c r="O43" s="9" t="s">
        <v>51</v>
      </c>
      <c r="P43" s="9" t="n">
        <v>250228</v>
      </c>
      <c r="Q43" s="9" t="n">
        <v>186246</v>
      </c>
      <c r="R43" s="10" t="n">
        <f aca="false">(Q43/P43)*100</f>
        <v>74.4305193663379</v>
      </c>
      <c r="S43" s="9" t="n">
        <f aca="false">Y43-AD43</f>
        <v>746</v>
      </c>
      <c r="T43" s="10" t="n">
        <f aca="false">(S43/Q43)*100</f>
        <v>0.400545515071465</v>
      </c>
      <c r="U43" s="10" t="n">
        <f aca="false">Z43+AE43</f>
        <v>91.0269213835465</v>
      </c>
      <c r="V43" s="9" t="s">
        <v>52</v>
      </c>
      <c r="W43" s="9" t="s">
        <v>53</v>
      </c>
      <c r="X43" s="9" t="s">
        <v>312</v>
      </c>
      <c r="Y43" s="9" t="n">
        <v>85140</v>
      </c>
      <c r="Z43" s="10" t="n">
        <f aca="false">(Y43/Q43)*100</f>
        <v>45.713733449309</v>
      </c>
      <c r="AA43" s="9" t="s">
        <v>55</v>
      </c>
      <c r="AB43" s="9" t="s">
        <v>68</v>
      </c>
      <c r="AC43" s="9" t="s">
        <v>313</v>
      </c>
      <c r="AD43" s="9" t="n">
        <v>84394</v>
      </c>
      <c r="AE43" s="10" t="n">
        <f aca="false">(AD43/Q43)*100</f>
        <v>45.3131879342375</v>
      </c>
      <c r="AF43" s="9" t="s">
        <v>58</v>
      </c>
      <c r="AG43" s="9" t="s">
        <v>58</v>
      </c>
      <c r="AH43" s="9" t="s">
        <v>314</v>
      </c>
      <c r="AI43" s="9" t="n">
        <v>10449</v>
      </c>
      <c r="AJ43" s="10" t="n">
        <f aca="false">(AI43/Q43)*100</f>
        <v>5.61032183241519</v>
      </c>
      <c r="AK43" s="9" t="s">
        <v>63</v>
      </c>
      <c r="AL43" s="9" t="s">
        <v>63</v>
      </c>
      <c r="AM43" s="9" t="s">
        <v>63</v>
      </c>
      <c r="AN43" s="9" t="n">
        <v>1889</v>
      </c>
      <c r="AO43" s="10" t="n">
        <f aca="false">(AN43/Q43)*100</f>
        <v>1.01424997046916</v>
      </c>
      <c r="AP43" s="12" t="s">
        <v>60</v>
      </c>
      <c r="AQ43" s="9" t="s">
        <v>74</v>
      </c>
      <c r="AR43" s="9" t="s">
        <v>315</v>
      </c>
      <c r="AS43" s="9" t="n">
        <v>1066</v>
      </c>
      <c r="AT43" s="10" t="n">
        <f aca="false">(AS43/Q43)*100</f>
        <v>0.572361285611503</v>
      </c>
    </row>
    <row r="44" customFormat="false" ht="12.8" hidden="false" customHeight="false" outlineLevel="0" collapsed="false">
      <c r="A44" s="7" t="n">
        <v>2021</v>
      </c>
      <c r="B44" s="8" t="n">
        <v>43</v>
      </c>
      <c r="C44" s="9" t="s">
        <v>311</v>
      </c>
      <c r="D44" s="9" t="s">
        <v>311</v>
      </c>
      <c r="E44" s="9" t="s">
        <v>48</v>
      </c>
      <c r="F44" s="9" t="s">
        <v>289</v>
      </c>
      <c r="G44" s="9" t="s">
        <v>88</v>
      </c>
      <c r="H44" s="9" t="s">
        <v>51</v>
      </c>
      <c r="I44" s="9" t="s">
        <v>316</v>
      </c>
      <c r="J44" s="9" t="s">
        <v>51</v>
      </c>
      <c r="K44" s="9" t="s">
        <v>51</v>
      </c>
      <c r="L44" s="16" t="s">
        <v>317</v>
      </c>
      <c r="M44" s="9" t="s">
        <v>51</v>
      </c>
      <c r="N44" s="9" t="s">
        <v>66</v>
      </c>
      <c r="O44" s="9" t="s">
        <v>51</v>
      </c>
      <c r="P44" s="9" t="n">
        <v>253536</v>
      </c>
      <c r="Q44" s="9" t="n">
        <v>179899</v>
      </c>
      <c r="R44" s="10" t="n">
        <f aca="false">(Q44/P44)*100</f>
        <v>70.9559983592074</v>
      </c>
      <c r="S44" s="9" t="n">
        <f aca="false">Y44-AD44</f>
        <v>9181</v>
      </c>
      <c r="T44" s="10" t="n">
        <f aca="false">(S44/Q44)*100</f>
        <v>5.10341914074008</v>
      </c>
      <c r="U44" s="10" t="n">
        <f aca="false">Z44+AE44</f>
        <v>88.6147227055181</v>
      </c>
      <c r="V44" s="9" t="s">
        <v>52</v>
      </c>
      <c r="W44" s="9" t="s">
        <v>53</v>
      </c>
      <c r="X44" s="9" t="s">
        <v>318</v>
      </c>
      <c r="Y44" s="9" t="n">
        <v>84299</v>
      </c>
      <c r="Z44" s="10" t="n">
        <f aca="false">(Y44/Q44)*100</f>
        <v>46.8590709231291</v>
      </c>
      <c r="AA44" s="9" t="s">
        <v>55</v>
      </c>
      <c r="AB44" s="9" t="s">
        <v>68</v>
      </c>
      <c r="AC44" s="9" t="s">
        <v>319</v>
      </c>
      <c r="AD44" s="9" t="n">
        <v>75118</v>
      </c>
      <c r="AE44" s="10" t="n">
        <f aca="false">(AD44/Q44)*100</f>
        <v>41.755651782389</v>
      </c>
      <c r="AF44" s="9" t="s">
        <v>58</v>
      </c>
      <c r="AG44" s="9" t="s">
        <v>58</v>
      </c>
      <c r="AH44" s="9" t="s">
        <v>320</v>
      </c>
      <c r="AI44" s="9" t="n">
        <v>8530</v>
      </c>
      <c r="AJ44" s="10" t="n">
        <f aca="false">(AI44/Q44)*100</f>
        <v>4.74154942495511</v>
      </c>
      <c r="AK44" s="9" t="s">
        <v>71</v>
      </c>
      <c r="AL44" s="9" t="s">
        <v>72</v>
      </c>
      <c r="AM44" s="9" t="s">
        <v>321</v>
      </c>
      <c r="AN44" s="9" t="n">
        <v>7243</v>
      </c>
      <c r="AO44" s="10" t="n">
        <f aca="false">(AN44/Q44)*100</f>
        <v>4.02614800526962</v>
      </c>
      <c r="AP44" s="9" t="s">
        <v>63</v>
      </c>
      <c r="AQ44" s="9" t="s">
        <v>63</v>
      </c>
      <c r="AR44" s="9" t="s">
        <v>63</v>
      </c>
      <c r="AS44" s="9" t="n">
        <v>1441</v>
      </c>
      <c r="AT44" s="10" t="n">
        <f aca="false">(AS44/Q44)*100</f>
        <v>0.801005008365805</v>
      </c>
    </row>
    <row r="45" customFormat="false" ht="12.8" hidden="false" customHeight="false" outlineLevel="0" collapsed="false">
      <c r="A45" s="7" t="n">
        <v>2021</v>
      </c>
      <c r="B45" s="8" t="n">
        <v>44</v>
      </c>
      <c r="C45" s="9" t="s">
        <v>322</v>
      </c>
      <c r="D45" s="9" t="s">
        <v>311</v>
      </c>
      <c r="E45" s="9" t="s">
        <v>48</v>
      </c>
      <c r="F45" s="9" t="s">
        <v>289</v>
      </c>
      <c r="G45" s="9" t="s">
        <v>50</v>
      </c>
      <c r="H45" s="9" t="s">
        <v>51</v>
      </c>
      <c r="I45" s="9" t="s">
        <v>51</v>
      </c>
      <c r="J45" s="9" t="s">
        <v>51</v>
      </c>
      <c r="K45" s="9" t="s">
        <v>51</v>
      </c>
      <c r="L45" s="9" t="s">
        <v>51</v>
      </c>
      <c r="M45" s="9" t="s">
        <v>51</v>
      </c>
      <c r="N45" s="9" t="s">
        <v>51</v>
      </c>
      <c r="O45" s="9" t="s">
        <v>51</v>
      </c>
      <c r="P45" s="9" t="n">
        <v>256727</v>
      </c>
      <c r="Q45" s="9" t="n">
        <v>197805</v>
      </c>
      <c r="R45" s="10" t="n">
        <f aca="false">(Q45/P45)*100</f>
        <v>77.0487716523778</v>
      </c>
      <c r="S45" s="9" t="n">
        <f aca="false">Y45-AD45</f>
        <v>6360</v>
      </c>
      <c r="T45" s="10" t="n">
        <f aca="false">(S45/Q45)*100</f>
        <v>3.21528778342307</v>
      </c>
      <c r="U45" s="10" t="n">
        <f aca="false">Z45+AE45</f>
        <v>92.9996713935442</v>
      </c>
      <c r="V45" s="9" t="s">
        <v>52</v>
      </c>
      <c r="W45" s="9" t="s">
        <v>53</v>
      </c>
      <c r="X45" s="9" t="s">
        <v>323</v>
      </c>
      <c r="Y45" s="9" t="n">
        <v>95159</v>
      </c>
      <c r="Z45" s="10" t="n">
        <f aca="false">(Y45/Q45)*100</f>
        <v>48.1074795884836</v>
      </c>
      <c r="AA45" s="9" t="s">
        <v>55</v>
      </c>
      <c r="AB45" s="9" t="s">
        <v>68</v>
      </c>
      <c r="AC45" s="9" t="s">
        <v>324</v>
      </c>
      <c r="AD45" s="9" t="n">
        <v>88799</v>
      </c>
      <c r="AE45" s="10" t="n">
        <f aca="false">(AD45/Q45)*100</f>
        <v>44.8921918050605</v>
      </c>
      <c r="AF45" s="9" t="s">
        <v>58</v>
      </c>
      <c r="AG45" s="9" t="s">
        <v>58</v>
      </c>
      <c r="AH45" s="9" t="s">
        <v>325</v>
      </c>
      <c r="AI45" s="9" t="n">
        <v>8125</v>
      </c>
      <c r="AJ45" s="10" t="n">
        <f aca="false">(AI45/Q45)*100</f>
        <v>4.10758069816233</v>
      </c>
      <c r="AK45" s="9" t="s">
        <v>63</v>
      </c>
      <c r="AL45" s="9" t="s">
        <v>63</v>
      </c>
      <c r="AM45" s="9" t="s">
        <v>63</v>
      </c>
      <c r="AN45" s="9" t="n">
        <v>1791</v>
      </c>
      <c r="AO45" s="10" t="n">
        <f aca="false">(AN45/Q45)*100</f>
        <v>0.905437172973383</v>
      </c>
      <c r="AP45" s="9" t="s">
        <v>197</v>
      </c>
      <c r="AQ45" s="9" t="s">
        <v>197</v>
      </c>
      <c r="AR45" s="9" t="s">
        <v>326</v>
      </c>
      <c r="AS45" s="9" t="n">
        <v>1357</v>
      </c>
      <c r="AT45" s="10" t="n">
        <f aca="false">(AS45/Q45)*100</f>
        <v>0.686029170142312</v>
      </c>
    </row>
    <row r="46" customFormat="false" ht="12.8" hidden="false" customHeight="false" outlineLevel="0" collapsed="false">
      <c r="A46" s="7" t="n">
        <v>2021</v>
      </c>
      <c r="B46" s="8" t="n">
        <v>45</v>
      </c>
      <c r="C46" s="9" t="s">
        <v>327</v>
      </c>
      <c r="D46" s="9" t="s">
        <v>311</v>
      </c>
      <c r="E46" s="9" t="s">
        <v>48</v>
      </c>
      <c r="F46" s="9" t="s">
        <v>289</v>
      </c>
      <c r="G46" s="9" t="s">
        <v>50</v>
      </c>
      <c r="H46" s="9" t="s">
        <v>65</v>
      </c>
      <c r="I46" s="9" t="s">
        <v>316</v>
      </c>
      <c r="J46" s="9" t="s">
        <v>51</v>
      </c>
      <c r="K46" s="9" t="s">
        <v>51</v>
      </c>
      <c r="L46" s="9" t="s">
        <v>51</v>
      </c>
      <c r="M46" s="9" t="s">
        <v>51</v>
      </c>
      <c r="N46" s="9" t="s">
        <v>51</v>
      </c>
      <c r="O46" s="9" t="s">
        <v>51</v>
      </c>
      <c r="P46" s="9" t="n">
        <v>227241</v>
      </c>
      <c r="Q46" s="9" t="n">
        <v>174124</v>
      </c>
      <c r="R46" s="10" t="n">
        <f aca="false">(Q46/P46)*100</f>
        <v>76.6252568858613</v>
      </c>
      <c r="S46" s="9" t="n">
        <f aca="false">Y46-AD46</f>
        <v>10582</v>
      </c>
      <c r="T46" s="10" t="n">
        <f aca="false">(S46/Q46)*100</f>
        <v>6.07727826146884</v>
      </c>
      <c r="U46" s="10" t="n">
        <f aca="false">Z46+AE46</f>
        <v>91.0707312030507</v>
      </c>
      <c r="V46" s="9" t="s">
        <v>55</v>
      </c>
      <c r="W46" s="17" t="s">
        <v>328</v>
      </c>
      <c r="X46" s="9" t="s">
        <v>329</v>
      </c>
      <c r="Y46" s="9" t="n">
        <v>84579</v>
      </c>
      <c r="Z46" s="10" t="n">
        <f aca="false">(Y46/Q46)*100</f>
        <v>48.5740047322598</v>
      </c>
      <c r="AA46" s="9" t="s">
        <v>52</v>
      </c>
      <c r="AB46" s="9" t="s">
        <v>53</v>
      </c>
      <c r="AC46" s="9" t="s">
        <v>330</v>
      </c>
      <c r="AD46" s="9" t="n">
        <v>73997</v>
      </c>
      <c r="AE46" s="10" t="n">
        <f aca="false">(AD46/Q46)*100</f>
        <v>42.4967264707909</v>
      </c>
      <c r="AF46" s="9" t="s">
        <v>58</v>
      </c>
      <c r="AG46" s="9" t="s">
        <v>58</v>
      </c>
      <c r="AH46" s="9" t="s">
        <v>331</v>
      </c>
      <c r="AI46" s="9" t="n">
        <v>10027</v>
      </c>
      <c r="AJ46" s="10" t="n">
        <f aca="false">(AI46/Q46)*100</f>
        <v>5.75853989111208</v>
      </c>
      <c r="AK46" s="9" t="s">
        <v>63</v>
      </c>
      <c r="AL46" s="9" t="s">
        <v>63</v>
      </c>
      <c r="AM46" s="9" t="s">
        <v>63</v>
      </c>
      <c r="AN46" s="9" t="n">
        <v>1798</v>
      </c>
      <c r="AO46" s="10" t="n">
        <f aca="false">(AN46/Q46)*100</f>
        <v>1.03259745928189</v>
      </c>
      <c r="AP46" s="12" t="s">
        <v>60</v>
      </c>
      <c r="AQ46" s="9" t="s">
        <v>61</v>
      </c>
      <c r="AR46" s="9" t="s">
        <v>332</v>
      </c>
      <c r="AS46" s="9" t="n">
        <v>1432</v>
      </c>
      <c r="AT46" s="10" t="n">
        <f aca="false">(AS46/Q46)*100</f>
        <v>0.822402425857435</v>
      </c>
    </row>
    <row r="47" customFormat="false" ht="12.8" hidden="false" customHeight="false" outlineLevel="0" collapsed="false">
      <c r="A47" s="7" t="n">
        <v>2021</v>
      </c>
      <c r="B47" s="8" t="n">
        <v>46</v>
      </c>
      <c r="C47" s="9" t="s">
        <v>333</v>
      </c>
      <c r="D47" s="9" t="s">
        <v>311</v>
      </c>
      <c r="E47" s="9" t="s">
        <v>48</v>
      </c>
      <c r="F47" s="9" t="s">
        <v>289</v>
      </c>
      <c r="G47" s="9" t="s">
        <v>77</v>
      </c>
      <c r="H47" s="9" t="s">
        <v>65</v>
      </c>
      <c r="I47" s="9" t="s">
        <v>51</v>
      </c>
      <c r="J47" s="9" t="s">
        <v>51</v>
      </c>
      <c r="K47" s="9" t="s">
        <v>51</v>
      </c>
      <c r="L47" s="9" t="s">
        <v>51</v>
      </c>
      <c r="M47" s="9" t="s">
        <v>51</v>
      </c>
      <c r="N47" s="9" t="s">
        <v>51</v>
      </c>
      <c r="O47" s="9" t="s">
        <v>334</v>
      </c>
      <c r="P47" s="9" t="n">
        <v>290135</v>
      </c>
      <c r="Q47" s="9" t="n">
        <v>211630</v>
      </c>
      <c r="R47" s="10" t="n">
        <f aca="false">(Q47/P47)*100</f>
        <v>72.9419063539387</v>
      </c>
      <c r="S47" s="9" t="n">
        <f aca="false">Y47-AD47</f>
        <v>6901</v>
      </c>
      <c r="T47" s="10" t="n">
        <f aca="false">(S47/Q47)*100</f>
        <v>3.26087983745216</v>
      </c>
      <c r="U47" s="10" t="n">
        <f aca="false">Z47+AE47</f>
        <v>91.6330387941218</v>
      </c>
      <c r="V47" s="9" t="s">
        <v>52</v>
      </c>
      <c r="W47" s="9" t="s">
        <v>53</v>
      </c>
      <c r="X47" s="9" t="s">
        <v>335</v>
      </c>
      <c r="Y47" s="9" t="n">
        <v>100412</v>
      </c>
      <c r="Z47" s="10" t="n">
        <f aca="false">(Y47/Q47)*100</f>
        <v>47.446959315787</v>
      </c>
      <c r="AA47" s="9" t="s">
        <v>55</v>
      </c>
      <c r="AB47" s="9" t="s">
        <v>68</v>
      </c>
      <c r="AC47" s="9" t="s">
        <v>336</v>
      </c>
      <c r="AD47" s="9" t="n">
        <v>93511</v>
      </c>
      <c r="AE47" s="10" t="n">
        <f aca="false">(AD47/Q47)*100</f>
        <v>44.1860794783348</v>
      </c>
      <c r="AF47" s="9" t="s">
        <v>58</v>
      </c>
      <c r="AG47" s="9" t="s">
        <v>58</v>
      </c>
      <c r="AH47" s="9" t="s">
        <v>337</v>
      </c>
      <c r="AI47" s="9" t="n">
        <v>11834</v>
      </c>
      <c r="AJ47" s="10" t="n">
        <f aca="false">(AI47/Q47)*100</f>
        <v>5.59183480602939</v>
      </c>
      <c r="AK47" s="9" t="s">
        <v>60</v>
      </c>
      <c r="AL47" s="9" t="s">
        <v>74</v>
      </c>
      <c r="AM47" s="9" t="s">
        <v>338</v>
      </c>
      <c r="AN47" s="9" t="n">
        <v>1822</v>
      </c>
      <c r="AO47" s="10" t="n">
        <f aca="false">(AN47/Q47)*100</f>
        <v>0.860936540188064</v>
      </c>
      <c r="AP47" s="9" t="s">
        <v>63</v>
      </c>
      <c r="AQ47" s="9" t="s">
        <v>63</v>
      </c>
      <c r="AR47" s="9" t="s">
        <v>63</v>
      </c>
      <c r="AS47" s="9" t="n">
        <v>1699</v>
      </c>
      <c r="AT47" s="10" t="n">
        <f aca="false">(AS47/Q47)*100</f>
        <v>0.802816235883381</v>
      </c>
    </row>
    <row r="48" customFormat="false" ht="12.8" hidden="false" customHeight="false" outlineLevel="0" collapsed="false">
      <c r="A48" s="7" t="n">
        <v>2021</v>
      </c>
      <c r="B48" s="8" t="n">
        <v>47</v>
      </c>
      <c r="C48" s="9" t="s">
        <v>339</v>
      </c>
      <c r="D48" s="9" t="s">
        <v>340</v>
      </c>
      <c r="E48" s="9" t="s">
        <v>48</v>
      </c>
      <c r="F48" s="9" t="s">
        <v>289</v>
      </c>
      <c r="G48" s="9" t="s">
        <v>77</v>
      </c>
      <c r="H48" s="9" t="s">
        <v>51</v>
      </c>
      <c r="I48" s="9" t="s">
        <v>51</v>
      </c>
      <c r="J48" s="9" t="s">
        <v>51</v>
      </c>
      <c r="K48" s="9" t="s">
        <v>51</v>
      </c>
      <c r="L48" s="18" t="s">
        <v>197</v>
      </c>
      <c r="M48" s="9" t="s">
        <v>68</v>
      </c>
      <c r="N48" s="9" t="s">
        <v>51</v>
      </c>
      <c r="O48" s="9" t="s">
        <v>51</v>
      </c>
      <c r="P48" s="9" t="n">
        <v>250220</v>
      </c>
      <c r="Q48" s="9" t="n">
        <v>189997</v>
      </c>
      <c r="R48" s="10" t="n">
        <f aca="false">(Q48/P48)*100</f>
        <v>75.9319798577252</v>
      </c>
      <c r="S48" s="9" t="n">
        <f aca="false">Y48-AD48</f>
        <v>4904</v>
      </c>
      <c r="T48" s="10" t="n">
        <f aca="false">(S48/Q48)*100</f>
        <v>2.58109338568504</v>
      </c>
      <c r="U48" s="10" t="n">
        <f aca="false">Z48+AE48</f>
        <v>90.0708958562504</v>
      </c>
      <c r="V48" s="9" t="s">
        <v>55</v>
      </c>
      <c r="W48" s="9" t="s">
        <v>68</v>
      </c>
      <c r="X48" s="9" t="s">
        <v>341</v>
      </c>
      <c r="Y48" s="9" t="n">
        <v>88018</v>
      </c>
      <c r="Z48" s="10" t="n">
        <f aca="false">(Y48/Q48)*100</f>
        <v>46.3259946209677</v>
      </c>
      <c r="AA48" s="9" t="s">
        <v>52</v>
      </c>
      <c r="AB48" s="19" t="s">
        <v>342</v>
      </c>
      <c r="AC48" s="9" t="s">
        <v>343</v>
      </c>
      <c r="AD48" s="9" t="n">
        <v>83114</v>
      </c>
      <c r="AE48" s="10" t="n">
        <f aca="false">(AD48/Q48)*100</f>
        <v>43.7449012352827</v>
      </c>
      <c r="AF48" s="9" t="s">
        <v>58</v>
      </c>
      <c r="AG48" s="9" t="s">
        <v>58</v>
      </c>
      <c r="AH48" s="9" t="s">
        <v>344</v>
      </c>
      <c r="AI48" s="9" t="n">
        <v>11226</v>
      </c>
      <c r="AJ48" s="10" t="n">
        <f aca="false">(AI48/Q48)*100</f>
        <v>5.90851434496334</v>
      </c>
      <c r="AK48" s="9" t="s">
        <v>60</v>
      </c>
      <c r="AL48" s="20" t="s">
        <v>345</v>
      </c>
      <c r="AM48" s="9" t="s">
        <v>346</v>
      </c>
      <c r="AN48" s="9" t="n">
        <v>1897</v>
      </c>
      <c r="AO48" s="10" t="n">
        <f aca="false">(AN48/Q48)*100</f>
        <v>0.998436817423433</v>
      </c>
      <c r="AP48" s="9" t="s">
        <v>71</v>
      </c>
      <c r="AQ48" s="9" t="s">
        <v>72</v>
      </c>
      <c r="AR48" s="9" t="s">
        <v>347</v>
      </c>
      <c r="AS48" s="9" t="n">
        <v>1868</v>
      </c>
      <c r="AT48" s="10" t="n">
        <f aca="false">(AS48/Q48)*100</f>
        <v>0.983173418527661</v>
      </c>
    </row>
    <row r="49" customFormat="false" ht="12.8" hidden="false" customHeight="false" outlineLevel="0" collapsed="false">
      <c r="A49" s="7" t="n">
        <v>2021</v>
      </c>
      <c r="B49" s="8" t="n">
        <v>48</v>
      </c>
      <c r="C49" s="9" t="s">
        <v>348</v>
      </c>
      <c r="D49" s="9" t="s">
        <v>340</v>
      </c>
      <c r="E49" s="9" t="s">
        <v>48</v>
      </c>
      <c r="F49" s="9" t="s">
        <v>289</v>
      </c>
      <c r="G49" s="9" t="s">
        <v>88</v>
      </c>
      <c r="H49" s="9" t="s">
        <v>51</v>
      </c>
      <c r="I49" s="9" t="s">
        <v>51</v>
      </c>
      <c r="J49" s="9" t="s">
        <v>51</v>
      </c>
      <c r="K49" s="9" t="s">
        <v>51</v>
      </c>
      <c r="L49" s="9" t="s">
        <v>51</v>
      </c>
      <c r="M49" s="9" t="s">
        <v>51</v>
      </c>
      <c r="N49" s="9" t="s">
        <v>51</v>
      </c>
      <c r="O49" s="9" t="s">
        <v>51</v>
      </c>
      <c r="P49" s="9" t="n">
        <v>238473</v>
      </c>
      <c r="Q49" s="9" t="n">
        <v>177878</v>
      </c>
      <c r="R49" s="10" t="n">
        <f aca="false">(Q49/P49)*100</f>
        <v>74.5904148478025</v>
      </c>
      <c r="S49" s="9" t="n">
        <f aca="false">Y49-AD49</f>
        <v>20232</v>
      </c>
      <c r="T49" s="10" t="n">
        <f aca="false">(S49/Q49)*100</f>
        <v>11.3740878579701</v>
      </c>
      <c r="U49" s="10" t="n">
        <f aca="false">Z49+AE49</f>
        <v>90.3540628970418</v>
      </c>
      <c r="V49" s="9" t="s">
        <v>52</v>
      </c>
      <c r="W49" s="9" t="s">
        <v>53</v>
      </c>
      <c r="X49" s="9" t="s">
        <v>349</v>
      </c>
      <c r="Y49" s="9" t="n">
        <v>90476</v>
      </c>
      <c r="Z49" s="10" t="n">
        <f aca="false">(Y49/Q49)*100</f>
        <v>50.8640753775059</v>
      </c>
      <c r="AA49" s="9" t="s">
        <v>55</v>
      </c>
      <c r="AB49" s="9" t="s">
        <v>68</v>
      </c>
      <c r="AC49" s="9" t="s">
        <v>350</v>
      </c>
      <c r="AD49" s="9" t="n">
        <v>70244</v>
      </c>
      <c r="AE49" s="10" t="n">
        <f aca="false">(AD49/Q49)*100</f>
        <v>39.4899875195359</v>
      </c>
      <c r="AF49" s="9" t="s">
        <v>58</v>
      </c>
      <c r="AG49" s="9" t="s">
        <v>58</v>
      </c>
      <c r="AH49" s="9" t="s">
        <v>351</v>
      </c>
      <c r="AI49" s="9" t="n">
        <v>10150</v>
      </c>
      <c r="AJ49" s="10" t="n">
        <f aca="false">(AI49/Q49)*100</f>
        <v>5.70615815334105</v>
      </c>
      <c r="AK49" s="9" t="s">
        <v>60</v>
      </c>
      <c r="AL49" s="21" t="s">
        <v>352</v>
      </c>
      <c r="AM49" s="9" t="s">
        <v>353</v>
      </c>
      <c r="AN49" s="9" t="n">
        <v>1793</v>
      </c>
      <c r="AO49" s="10" t="n">
        <f aca="false">(AN49/Q49)*100</f>
        <v>1.00799424324537</v>
      </c>
      <c r="AP49" s="9" t="s">
        <v>71</v>
      </c>
      <c r="AQ49" s="9" t="s">
        <v>72</v>
      </c>
      <c r="AR49" s="9" t="s">
        <v>354</v>
      </c>
      <c r="AS49" s="9" t="n">
        <v>1638</v>
      </c>
      <c r="AT49" s="10" t="n">
        <f aca="false">(AS49/Q49)*100</f>
        <v>0.920855867504694</v>
      </c>
    </row>
    <row r="50" customFormat="false" ht="12.8" hidden="false" customHeight="false" outlineLevel="0" collapsed="false">
      <c r="A50" s="7" t="n">
        <v>2021</v>
      </c>
      <c r="B50" s="8" t="n">
        <v>49</v>
      </c>
      <c r="C50" s="9" t="s">
        <v>355</v>
      </c>
      <c r="D50" s="9" t="s">
        <v>340</v>
      </c>
      <c r="E50" s="9" t="s">
        <v>48</v>
      </c>
      <c r="F50" s="9" t="s">
        <v>289</v>
      </c>
      <c r="G50" s="9" t="s">
        <v>77</v>
      </c>
      <c r="H50" s="9" t="s">
        <v>51</v>
      </c>
      <c r="I50" s="9" t="s">
        <v>51</v>
      </c>
      <c r="J50" s="9" t="s">
        <v>51</v>
      </c>
      <c r="K50" s="9" t="s">
        <v>51</v>
      </c>
      <c r="L50" s="9" t="s">
        <v>51</v>
      </c>
      <c r="M50" s="9" t="s">
        <v>51</v>
      </c>
      <c r="N50" s="9" t="s">
        <v>51</v>
      </c>
      <c r="O50" s="9" t="s">
        <v>51</v>
      </c>
      <c r="P50" s="9" t="n">
        <v>240869</v>
      </c>
      <c r="Q50" s="9" t="n">
        <v>196358</v>
      </c>
      <c r="R50" s="10" t="n">
        <f aca="false">(Q50/P50)*100</f>
        <v>81.5206606080484</v>
      </c>
      <c r="S50" s="9" t="n">
        <f aca="false">Y50-AD50</f>
        <v>1091</v>
      </c>
      <c r="T50" s="10" t="n">
        <f aca="false">(S50/Q50)*100</f>
        <v>0.55561780014056</v>
      </c>
      <c r="U50" s="10" t="n">
        <f aca="false">Z50+AE50</f>
        <v>90.5942207600403</v>
      </c>
      <c r="V50" s="9" t="s">
        <v>52</v>
      </c>
      <c r="W50" s="9" t="s">
        <v>53</v>
      </c>
      <c r="X50" s="9" t="s">
        <v>356</v>
      </c>
      <c r="Y50" s="9" t="n">
        <v>89490</v>
      </c>
      <c r="Z50" s="10" t="n">
        <f aca="false">(Y50/Q50)*100</f>
        <v>45.5749192800905</v>
      </c>
      <c r="AA50" s="9" t="s">
        <v>55</v>
      </c>
      <c r="AB50" s="9" t="s">
        <v>68</v>
      </c>
      <c r="AC50" s="9" t="s">
        <v>357</v>
      </c>
      <c r="AD50" s="9" t="n">
        <v>88399</v>
      </c>
      <c r="AE50" s="10" t="n">
        <f aca="false">(AD50/Q50)*100</f>
        <v>45.0193014799499</v>
      </c>
      <c r="AF50" s="9" t="s">
        <v>58</v>
      </c>
      <c r="AG50" s="9" t="s">
        <v>58</v>
      </c>
      <c r="AH50" s="9" t="s">
        <v>267</v>
      </c>
      <c r="AI50" s="9" t="n">
        <v>13328</v>
      </c>
      <c r="AJ50" s="10" t="n">
        <f aca="false">(AI50/Q50)*100</f>
        <v>6.78760223673087</v>
      </c>
      <c r="AK50" s="9" t="s">
        <v>63</v>
      </c>
      <c r="AL50" s="9" t="s">
        <v>63</v>
      </c>
      <c r="AM50" s="9" t="s">
        <v>63</v>
      </c>
      <c r="AN50" s="9" t="n">
        <v>1337</v>
      </c>
      <c r="AO50" s="10" t="n">
        <f aca="false">(AN50/Q50)*100</f>
        <v>0.680899173957771</v>
      </c>
      <c r="AP50" s="9" t="s">
        <v>197</v>
      </c>
      <c r="AQ50" s="9" t="s">
        <v>197</v>
      </c>
      <c r="AR50" s="9" t="s">
        <v>358</v>
      </c>
      <c r="AS50" s="9" t="n">
        <v>1067</v>
      </c>
      <c r="AT50" s="10" t="n">
        <f aca="false">(AS50/Q50)*100</f>
        <v>0.543395227085222</v>
      </c>
    </row>
    <row r="51" customFormat="false" ht="12.8" hidden="false" customHeight="false" outlineLevel="0" collapsed="false">
      <c r="A51" s="7" t="n">
        <v>2021</v>
      </c>
      <c r="B51" s="8" t="n">
        <v>50</v>
      </c>
      <c r="C51" s="9" t="s">
        <v>340</v>
      </c>
      <c r="D51" s="9" t="s">
        <v>340</v>
      </c>
      <c r="E51" s="9" t="s">
        <v>48</v>
      </c>
      <c r="F51" s="9" t="s">
        <v>289</v>
      </c>
      <c r="G51" s="9" t="s">
        <v>77</v>
      </c>
      <c r="H51" s="9" t="s">
        <v>51</v>
      </c>
      <c r="I51" s="9" t="s">
        <v>51</v>
      </c>
      <c r="J51" s="9" t="s">
        <v>51</v>
      </c>
      <c r="K51" s="9" t="s">
        <v>51</v>
      </c>
      <c r="L51" s="14" t="s">
        <v>53</v>
      </c>
      <c r="M51" s="9" t="s">
        <v>51</v>
      </c>
      <c r="N51" s="9" t="s">
        <v>51</v>
      </c>
      <c r="O51" s="9" t="s">
        <v>51</v>
      </c>
      <c r="P51" s="9" t="n">
        <v>239239</v>
      </c>
      <c r="Q51" s="9" t="n">
        <v>185930</v>
      </c>
      <c r="R51" s="10" t="n">
        <f aca="false">(Q51/P51)*100</f>
        <v>77.7172618176802</v>
      </c>
      <c r="S51" s="9" t="n">
        <f aca="false">Y51-AD51</f>
        <v>28240</v>
      </c>
      <c r="T51" s="10" t="n">
        <f aca="false">(S51/Q51)*100</f>
        <v>15.1885118055182</v>
      </c>
      <c r="U51" s="10" t="n">
        <f aca="false">Z51+AE51</f>
        <v>88.637659334158</v>
      </c>
      <c r="V51" s="9" t="s">
        <v>52</v>
      </c>
      <c r="W51" s="9" t="s">
        <v>53</v>
      </c>
      <c r="X51" s="9" t="s">
        <v>359</v>
      </c>
      <c r="Y51" s="9" t="n">
        <v>96522</v>
      </c>
      <c r="Z51" s="10" t="n">
        <f aca="false">(Y51/Q51)*100</f>
        <v>51.9130855698381</v>
      </c>
      <c r="AA51" s="9" t="s">
        <v>55</v>
      </c>
      <c r="AB51" s="9" t="s">
        <v>56</v>
      </c>
      <c r="AC51" s="9" t="s">
        <v>360</v>
      </c>
      <c r="AD51" s="9" t="n">
        <v>68282</v>
      </c>
      <c r="AE51" s="10" t="n">
        <f aca="false">(AD51/Q51)*100</f>
        <v>36.7245737643199</v>
      </c>
      <c r="AF51" s="9" t="s">
        <v>58</v>
      </c>
      <c r="AG51" s="9" t="s">
        <v>58</v>
      </c>
      <c r="AH51" s="9" t="s">
        <v>361</v>
      </c>
      <c r="AI51" s="9" t="n">
        <v>12127</v>
      </c>
      <c r="AJ51" s="10" t="n">
        <f aca="false">(AI51/Q51)*100</f>
        <v>6.52234711988383</v>
      </c>
      <c r="AK51" s="9" t="s">
        <v>60</v>
      </c>
      <c r="AL51" s="9" t="s">
        <v>74</v>
      </c>
      <c r="AM51" s="9" t="s">
        <v>362</v>
      </c>
      <c r="AN51" s="9" t="n">
        <v>2702</v>
      </c>
      <c r="AO51" s="10" t="n">
        <f aca="false">(AN51/Q51)*100</f>
        <v>1.45323508847416</v>
      </c>
      <c r="AP51" s="9" t="s">
        <v>63</v>
      </c>
      <c r="AQ51" s="9" t="s">
        <v>63</v>
      </c>
      <c r="AR51" s="9" t="s">
        <v>63</v>
      </c>
      <c r="AS51" s="9" t="n">
        <v>1632</v>
      </c>
      <c r="AT51" s="10" t="n">
        <f aca="false">(AS51/Q51)*100</f>
        <v>0.877749690743828</v>
      </c>
    </row>
    <row r="52" customFormat="false" ht="12.8" hidden="false" customHeight="false" outlineLevel="0" collapsed="false">
      <c r="A52" s="7" t="n">
        <v>2021</v>
      </c>
      <c r="B52" s="8" t="n">
        <v>51</v>
      </c>
      <c r="C52" s="9" t="s">
        <v>363</v>
      </c>
      <c r="D52" s="9" t="s">
        <v>364</v>
      </c>
      <c r="E52" s="9" t="s">
        <v>48</v>
      </c>
      <c r="F52" s="9" t="s">
        <v>365</v>
      </c>
      <c r="G52" s="9" t="s">
        <v>50</v>
      </c>
      <c r="H52" s="9" t="s">
        <v>65</v>
      </c>
      <c r="I52" s="9" t="s">
        <v>51</v>
      </c>
      <c r="J52" s="9" t="s">
        <v>51</v>
      </c>
      <c r="K52" s="9" t="s">
        <v>51</v>
      </c>
      <c r="L52" s="9" t="s">
        <v>51</v>
      </c>
      <c r="M52" s="9" t="s">
        <v>68</v>
      </c>
      <c r="N52" s="9" t="s">
        <v>51</v>
      </c>
      <c r="O52" s="9" t="s">
        <v>51</v>
      </c>
      <c r="P52" s="9" t="n">
        <v>238299</v>
      </c>
      <c r="Q52" s="9" t="n">
        <v>188223</v>
      </c>
      <c r="R52" s="10" t="n">
        <f aca="false">(Q52/P52)*100</f>
        <v>78.9860637266627</v>
      </c>
      <c r="S52" s="9" t="n">
        <f aca="false">Y52-AD52</f>
        <v>28387</v>
      </c>
      <c r="T52" s="10" t="n">
        <f aca="false">(S52/Q52)*100</f>
        <v>15.0815787656131</v>
      </c>
      <c r="U52" s="10" t="n">
        <f aca="false">Z52+AE52</f>
        <v>90.8300260860787</v>
      </c>
      <c r="V52" s="9" t="s">
        <v>55</v>
      </c>
      <c r="W52" s="9" t="s">
        <v>68</v>
      </c>
      <c r="X52" s="9" t="s">
        <v>366</v>
      </c>
      <c r="Y52" s="9" t="n">
        <v>99675</v>
      </c>
      <c r="Z52" s="10" t="n">
        <f aca="false">(Y52/Q52)*100</f>
        <v>52.9558024258459</v>
      </c>
      <c r="AA52" s="9" t="s">
        <v>52</v>
      </c>
      <c r="AB52" s="9" t="s">
        <v>66</v>
      </c>
      <c r="AC52" s="9" t="s">
        <v>367</v>
      </c>
      <c r="AD52" s="9" t="n">
        <v>71288</v>
      </c>
      <c r="AE52" s="10" t="n">
        <f aca="false">(AD52/Q52)*100</f>
        <v>37.8742236602328</v>
      </c>
      <c r="AF52" s="9" t="s">
        <v>58</v>
      </c>
      <c r="AG52" s="9" t="s">
        <v>58</v>
      </c>
      <c r="AH52" s="9" t="s">
        <v>368</v>
      </c>
      <c r="AI52" s="9" t="n">
        <v>10424</v>
      </c>
      <c r="AJ52" s="10" t="n">
        <f aca="false">(AI52/Q52)*100</f>
        <v>5.53811170792092</v>
      </c>
      <c r="AK52" s="9" t="s">
        <v>60</v>
      </c>
      <c r="AL52" s="9" t="s">
        <v>61</v>
      </c>
      <c r="AM52" s="9" t="s">
        <v>369</v>
      </c>
      <c r="AN52" s="9" t="n">
        <v>2291</v>
      </c>
      <c r="AO52" s="10" t="n">
        <f aca="false">(AN52/Q52)*100</f>
        <v>1.21717324662767</v>
      </c>
      <c r="AP52" s="9" t="s">
        <v>63</v>
      </c>
      <c r="AQ52" s="9" t="s">
        <v>63</v>
      </c>
      <c r="AR52" s="9" t="s">
        <v>63</v>
      </c>
      <c r="AS52" s="9" t="n">
        <v>1359</v>
      </c>
      <c r="AT52" s="10" t="n">
        <f aca="false">(AS52/Q52)*100</f>
        <v>0.722015906663904</v>
      </c>
    </row>
    <row r="53" customFormat="false" ht="12.8" hidden="false" customHeight="false" outlineLevel="0" collapsed="false">
      <c r="A53" s="7" t="n">
        <v>2021</v>
      </c>
      <c r="B53" s="8" t="n">
        <v>52</v>
      </c>
      <c r="C53" s="9" t="s">
        <v>370</v>
      </c>
      <c r="D53" s="9" t="s">
        <v>364</v>
      </c>
      <c r="E53" s="9" t="s">
        <v>48</v>
      </c>
      <c r="F53" s="9" t="s">
        <v>365</v>
      </c>
      <c r="G53" s="9" t="s">
        <v>50</v>
      </c>
      <c r="H53" s="9" t="s">
        <v>51</v>
      </c>
      <c r="I53" s="9" t="s">
        <v>51</v>
      </c>
      <c r="J53" s="9" t="s">
        <v>51</v>
      </c>
      <c r="K53" s="9" t="s">
        <v>51</v>
      </c>
      <c r="L53" s="9" t="s">
        <v>51</v>
      </c>
      <c r="M53" s="9" t="s">
        <v>51</v>
      </c>
      <c r="N53" s="9" t="s">
        <v>68</v>
      </c>
      <c r="O53" s="9" t="s">
        <v>126</v>
      </c>
      <c r="P53" s="9" t="n">
        <v>248335</v>
      </c>
      <c r="Q53" s="9" t="n">
        <v>197784</v>
      </c>
      <c r="R53" s="10" t="n">
        <f aca="false">(Q53/P53)*100</f>
        <v>79.6440292347031</v>
      </c>
      <c r="S53" s="9" t="n">
        <f aca="false">Y53-AD53</f>
        <v>12614</v>
      </c>
      <c r="T53" s="10" t="n">
        <f aca="false">(S53/Q53)*100</f>
        <v>6.37766452291389</v>
      </c>
      <c r="U53" s="10" t="n">
        <f aca="false">Z53+AE53</f>
        <v>91.9680055009505</v>
      </c>
      <c r="V53" s="9" t="s">
        <v>52</v>
      </c>
      <c r="W53" s="9" t="s">
        <v>53</v>
      </c>
      <c r="X53" s="9" t="s">
        <v>371</v>
      </c>
      <c r="Y53" s="9" t="n">
        <v>97256</v>
      </c>
      <c r="Z53" s="10" t="n">
        <f aca="false">(Y53/Q53)*100</f>
        <v>49.1728350119322</v>
      </c>
      <c r="AA53" s="9" t="s">
        <v>55</v>
      </c>
      <c r="AB53" s="9" t="s">
        <v>68</v>
      </c>
      <c r="AC53" s="9" t="s">
        <v>372</v>
      </c>
      <c r="AD53" s="9" t="n">
        <v>84642</v>
      </c>
      <c r="AE53" s="10" t="n">
        <f aca="false">(AD53/Q53)*100</f>
        <v>42.7951704890183</v>
      </c>
      <c r="AF53" s="9" t="s">
        <v>58</v>
      </c>
      <c r="AG53" s="9" t="s">
        <v>58</v>
      </c>
      <c r="AH53" s="9" t="s">
        <v>373</v>
      </c>
      <c r="AI53" s="9" t="n">
        <v>10116</v>
      </c>
      <c r="AJ53" s="10" t="n">
        <f aca="false">(AI53/Q53)*100</f>
        <v>5.11467054969057</v>
      </c>
      <c r="AK53" s="9" t="s">
        <v>63</v>
      </c>
      <c r="AL53" s="9" t="s">
        <v>63</v>
      </c>
      <c r="AM53" s="9" t="s">
        <v>63</v>
      </c>
      <c r="AN53" s="9" t="n">
        <v>1518</v>
      </c>
      <c r="AO53" s="10" t="n">
        <f aca="false">(AN53/Q53)*100</f>
        <v>0.767503943696153</v>
      </c>
      <c r="AP53" s="12" t="s">
        <v>60</v>
      </c>
      <c r="AQ53" s="9" t="s">
        <v>74</v>
      </c>
      <c r="AR53" s="9" t="s">
        <v>374</v>
      </c>
      <c r="AS53" s="9" t="n">
        <v>1061</v>
      </c>
      <c r="AT53" s="10" t="n">
        <f aca="false">(AS53/Q53)*100</f>
        <v>0.536443797273794</v>
      </c>
    </row>
    <row r="54" customFormat="false" ht="12.8" hidden="false" customHeight="false" outlineLevel="0" collapsed="false">
      <c r="A54" s="7" t="n">
        <v>2021</v>
      </c>
      <c r="B54" s="8" t="n">
        <v>53</v>
      </c>
      <c r="C54" s="9" t="s">
        <v>364</v>
      </c>
      <c r="D54" s="9" t="s">
        <v>364</v>
      </c>
      <c r="E54" s="9" t="s">
        <v>48</v>
      </c>
      <c r="F54" s="9" t="s">
        <v>365</v>
      </c>
      <c r="G54" s="9" t="s">
        <v>77</v>
      </c>
      <c r="H54" s="9" t="s">
        <v>51</v>
      </c>
      <c r="I54" s="9" t="s">
        <v>51</v>
      </c>
      <c r="J54" s="9" t="s">
        <v>51</v>
      </c>
      <c r="K54" s="9" t="s">
        <v>51</v>
      </c>
      <c r="L54" s="9" t="s">
        <v>68</v>
      </c>
      <c r="M54" s="9" t="s">
        <v>51</v>
      </c>
      <c r="N54" s="9" t="s">
        <v>51</v>
      </c>
      <c r="O54" s="9" t="s">
        <v>51</v>
      </c>
      <c r="P54" s="9" t="n">
        <v>268189</v>
      </c>
      <c r="Q54" s="9" t="n">
        <v>211648</v>
      </c>
      <c r="R54" s="10" t="n">
        <f aca="false">(Q54/P54)*100</f>
        <v>78.9174798369807</v>
      </c>
      <c r="S54" s="9" t="n">
        <f aca="false">Y54-AD54</f>
        <v>794</v>
      </c>
      <c r="T54" s="10" t="n">
        <f aca="false">(S54/Q54)*100</f>
        <v>0.375151194436045</v>
      </c>
      <c r="U54" s="10" t="n">
        <f aca="false">Z54+AE54</f>
        <v>90.3887586936801</v>
      </c>
      <c r="V54" s="9" t="s">
        <v>55</v>
      </c>
      <c r="W54" s="9" t="s">
        <v>68</v>
      </c>
      <c r="X54" s="9" t="s">
        <v>375</v>
      </c>
      <c r="Y54" s="9" t="n">
        <v>96050</v>
      </c>
      <c r="Z54" s="10" t="n">
        <f aca="false">(Y54/Q54)*100</f>
        <v>45.3819549440581</v>
      </c>
      <c r="AA54" s="9" t="s">
        <v>52</v>
      </c>
      <c r="AB54" s="9" t="s">
        <v>53</v>
      </c>
      <c r="AC54" s="9" t="s">
        <v>376</v>
      </c>
      <c r="AD54" s="9" t="n">
        <v>95256</v>
      </c>
      <c r="AE54" s="10" t="n">
        <f aca="false">(AD54/Q54)*100</f>
        <v>45.006803749622</v>
      </c>
      <c r="AF54" s="9" t="s">
        <v>58</v>
      </c>
      <c r="AG54" s="9" t="s">
        <v>58</v>
      </c>
      <c r="AH54" s="9" t="s">
        <v>377</v>
      </c>
      <c r="AI54" s="9" t="n">
        <v>11137</v>
      </c>
      <c r="AJ54" s="10" t="n">
        <f aca="false">(AI54/Q54)*100</f>
        <v>5.26203885697006</v>
      </c>
      <c r="AK54" s="9" t="s">
        <v>71</v>
      </c>
      <c r="AL54" s="9" t="s">
        <v>72</v>
      </c>
      <c r="AM54" s="9" t="s">
        <v>378</v>
      </c>
      <c r="AN54" s="9" t="n">
        <v>3455</v>
      </c>
      <c r="AO54" s="10" t="n">
        <f aca="false">(AN54/Q54)*100</f>
        <v>1.6324274266707</v>
      </c>
      <c r="AP54" s="9" t="s">
        <v>63</v>
      </c>
      <c r="AQ54" s="9" t="s">
        <v>63</v>
      </c>
      <c r="AR54" s="9" t="s">
        <v>63</v>
      </c>
      <c r="AS54" s="9" t="n">
        <v>1837</v>
      </c>
      <c r="AT54" s="10" t="n">
        <f aca="false">(AS54/Q54)*100</f>
        <v>0.867950559419413</v>
      </c>
    </row>
    <row r="55" customFormat="false" ht="12.8" hidden="false" customHeight="false" outlineLevel="0" collapsed="false">
      <c r="A55" s="7" t="n">
        <v>2021</v>
      </c>
      <c r="B55" s="8" t="n">
        <v>54</v>
      </c>
      <c r="C55" s="9" t="s">
        <v>379</v>
      </c>
      <c r="D55" s="9" t="s">
        <v>364</v>
      </c>
      <c r="E55" s="9" t="s">
        <v>48</v>
      </c>
      <c r="F55" s="9" t="s">
        <v>365</v>
      </c>
      <c r="G55" s="9" t="s">
        <v>50</v>
      </c>
      <c r="H55" s="9" t="s">
        <v>51</v>
      </c>
      <c r="I55" s="9" t="s">
        <v>51</v>
      </c>
      <c r="J55" s="9" t="s">
        <v>51</v>
      </c>
      <c r="K55" s="9" t="s">
        <v>51</v>
      </c>
      <c r="L55" s="9" t="s">
        <v>51</v>
      </c>
      <c r="M55" s="9" t="s">
        <v>51</v>
      </c>
      <c r="N55" s="9" t="s">
        <v>51</v>
      </c>
      <c r="O55" s="9" t="s">
        <v>51</v>
      </c>
      <c r="P55" s="9" t="n">
        <v>252085</v>
      </c>
      <c r="Q55" s="9" t="n">
        <v>205141</v>
      </c>
      <c r="R55" s="10" t="n">
        <f aca="false">(Q55/P55)*100</f>
        <v>81.3777098994387</v>
      </c>
      <c r="S55" s="9" t="n">
        <f aca="false">Y55-AD55</f>
        <v>3054</v>
      </c>
      <c r="T55" s="10" t="n">
        <f aca="false">(S55/Q55)*100</f>
        <v>1.48873214033275</v>
      </c>
      <c r="U55" s="10" t="n">
        <f aca="false">Z55+AE55</f>
        <v>90.2569452230417</v>
      </c>
      <c r="V55" s="9" t="s">
        <v>55</v>
      </c>
      <c r="W55" s="9" t="s">
        <v>68</v>
      </c>
      <c r="X55" s="9" t="s">
        <v>380</v>
      </c>
      <c r="Y55" s="9" t="n">
        <v>94104</v>
      </c>
      <c r="Z55" s="10" t="n">
        <f aca="false">(Y55/Q55)*100</f>
        <v>45.8728386816872</v>
      </c>
      <c r="AA55" s="9" t="s">
        <v>52</v>
      </c>
      <c r="AB55" s="9" t="s">
        <v>53</v>
      </c>
      <c r="AC55" s="9" t="s">
        <v>381</v>
      </c>
      <c r="AD55" s="9" t="n">
        <v>91050</v>
      </c>
      <c r="AE55" s="10" t="n">
        <f aca="false">(AD55/Q55)*100</f>
        <v>44.3841065413545</v>
      </c>
      <c r="AF55" s="9" t="s">
        <v>58</v>
      </c>
      <c r="AG55" s="9" t="s">
        <v>58</v>
      </c>
      <c r="AH55" s="9" t="s">
        <v>382</v>
      </c>
      <c r="AI55" s="9" t="n">
        <v>8310</v>
      </c>
      <c r="AJ55" s="10" t="n">
        <f aca="false">(AI55/Q55)*100</f>
        <v>4.05087232683861</v>
      </c>
      <c r="AK55" s="9" t="s">
        <v>60</v>
      </c>
      <c r="AL55" s="9" t="s">
        <v>61</v>
      </c>
      <c r="AM55" s="9" t="s">
        <v>383</v>
      </c>
      <c r="AN55" s="9" t="n">
        <v>3601</v>
      </c>
      <c r="AO55" s="10" t="n">
        <f aca="false">(AN55/Q55)*100</f>
        <v>1.75537800829673</v>
      </c>
      <c r="AP55" s="9" t="s">
        <v>197</v>
      </c>
      <c r="AQ55" s="9" t="s">
        <v>197</v>
      </c>
      <c r="AR55" s="9" t="s">
        <v>384</v>
      </c>
      <c r="AS55" s="9" t="n">
        <v>3022</v>
      </c>
      <c r="AT55" s="10" t="n">
        <f aca="false">(AS55/Q55)*100</f>
        <v>1.47313311332206</v>
      </c>
    </row>
    <row r="56" customFormat="false" ht="12.8" hidden="false" customHeight="false" outlineLevel="0" collapsed="false">
      <c r="A56" s="7" t="n">
        <v>2021</v>
      </c>
      <c r="B56" s="8" t="n">
        <v>55</v>
      </c>
      <c r="C56" s="9" t="s">
        <v>385</v>
      </c>
      <c r="D56" s="9" t="s">
        <v>364</v>
      </c>
      <c r="E56" s="9" t="s">
        <v>48</v>
      </c>
      <c r="F56" s="9" t="s">
        <v>365</v>
      </c>
      <c r="G56" s="9" t="s">
        <v>88</v>
      </c>
      <c r="H56" s="9" t="s">
        <v>51</v>
      </c>
      <c r="I56" s="9" t="s">
        <v>51</v>
      </c>
      <c r="J56" s="9" t="s">
        <v>51</v>
      </c>
      <c r="K56" s="9" t="s">
        <v>51</v>
      </c>
      <c r="L56" s="16" t="s">
        <v>386</v>
      </c>
      <c r="M56" s="9" t="s">
        <v>51</v>
      </c>
      <c r="N56" s="9" t="s">
        <v>66</v>
      </c>
      <c r="O56" s="9" t="s">
        <v>51</v>
      </c>
      <c r="P56" s="9" t="n">
        <v>351771</v>
      </c>
      <c r="Q56" s="9" t="n">
        <v>248098</v>
      </c>
      <c r="R56" s="10" t="n">
        <f aca="false">(Q56/P56)*100</f>
        <v>70.5282698118947</v>
      </c>
      <c r="S56" s="9" t="n">
        <f aca="false">Y56-AD56</f>
        <v>12367</v>
      </c>
      <c r="T56" s="10" t="n">
        <f aca="false">(S56/Q56)*100</f>
        <v>4.98472377850688</v>
      </c>
      <c r="U56" s="10" t="n">
        <f aca="false">Z56+AE56</f>
        <v>90.3251940765343</v>
      </c>
      <c r="V56" s="9" t="s">
        <v>52</v>
      </c>
      <c r="W56" s="9" t="s">
        <v>53</v>
      </c>
      <c r="X56" s="9" t="s">
        <v>387</v>
      </c>
      <c r="Y56" s="9" t="n">
        <v>118231</v>
      </c>
      <c r="Z56" s="10" t="n">
        <f aca="false">(Y56/Q56)*100</f>
        <v>47.6549589275206</v>
      </c>
      <c r="AA56" s="9" t="s">
        <v>55</v>
      </c>
      <c r="AB56" s="9" t="s">
        <v>68</v>
      </c>
      <c r="AC56" s="9" t="s">
        <v>388</v>
      </c>
      <c r="AD56" s="9" t="n">
        <v>105864</v>
      </c>
      <c r="AE56" s="10" t="n">
        <f aca="false">(AD56/Q56)*100</f>
        <v>42.6702351490137</v>
      </c>
      <c r="AF56" s="9" t="s">
        <v>58</v>
      </c>
      <c r="AG56" s="9" t="s">
        <v>58</v>
      </c>
      <c r="AH56" s="9" t="s">
        <v>389</v>
      </c>
      <c r="AI56" s="9" t="n">
        <v>11422</v>
      </c>
      <c r="AJ56" s="10" t="n">
        <f aca="false">(AI56/Q56)*100</f>
        <v>4.60382590750429</v>
      </c>
      <c r="AK56" s="9" t="s">
        <v>71</v>
      </c>
      <c r="AL56" s="9" t="s">
        <v>72</v>
      </c>
      <c r="AM56" s="9" t="s">
        <v>390</v>
      </c>
      <c r="AN56" s="9" t="n">
        <v>6563</v>
      </c>
      <c r="AO56" s="10" t="n">
        <f aca="false">(AN56/Q56)*100</f>
        <v>2.64532563744972</v>
      </c>
      <c r="AP56" s="9" t="s">
        <v>63</v>
      </c>
      <c r="AQ56" s="9" t="s">
        <v>63</v>
      </c>
      <c r="AR56" s="9" t="s">
        <v>63</v>
      </c>
      <c r="AS56" s="9" t="n">
        <v>1976</v>
      </c>
      <c r="AT56" s="10" t="n">
        <f aca="false">(AS56/Q56)*100</f>
        <v>0.796459463599062</v>
      </c>
    </row>
    <row r="57" customFormat="false" ht="12.8" hidden="false" customHeight="false" outlineLevel="0" collapsed="false">
      <c r="A57" s="7" t="n">
        <v>2021</v>
      </c>
      <c r="B57" s="8" t="n">
        <v>56</v>
      </c>
      <c r="C57" s="9" t="s">
        <v>391</v>
      </c>
      <c r="D57" s="9" t="s">
        <v>364</v>
      </c>
      <c r="E57" s="9" t="s">
        <v>48</v>
      </c>
      <c r="F57" s="9" t="s">
        <v>365</v>
      </c>
      <c r="G57" s="9" t="s">
        <v>50</v>
      </c>
      <c r="H57" s="9" t="s">
        <v>51</v>
      </c>
      <c r="I57" s="9" t="s">
        <v>51</v>
      </c>
      <c r="J57" s="9" t="s">
        <v>51</v>
      </c>
      <c r="K57" s="9" t="s">
        <v>392</v>
      </c>
      <c r="L57" s="9" t="s">
        <v>51</v>
      </c>
      <c r="M57" s="9" t="s">
        <v>51</v>
      </c>
      <c r="N57" s="9" t="s">
        <v>51</v>
      </c>
      <c r="O57" s="9" t="s">
        <v>51</v>
      </c>
      <c r="P57" s="9" t="n">
        <v>251215</v>
      </c>
      <c r="Q57" s="9" t="n">
        <v>194022</v>
      </c>
      <c r="R57" s="10" t="n">
        <f aca="false">(Q57/P57)*100</f>
        <v>77.2334454550883</v>
      </c>
      <c r="S57" s="9" t="n">
        <f aca="false">Y57-AD57</f>
        <v>56226</v>
      </c>
      <c r="T57" s="10" t="n">
        <f aca="false">(S57/Q57)*100</f>
        <v>28.9791879271423</v>
      </c>
      <c r="U57" s="10" t="n">
        <f aca="false">Z57+AE57</f>
        <v>95.3788745606168</v>
      </c>
      <c r="V57" s="9" t="s">
        <v>52</v>
      </c>
      <c r="W57" s="9" t="s">
        <v>392</v>
      </c>
      <c r="X57" s="9" t="s">
        <v>393</v>
      </c>
      <c r="Y57" s="9" t="n">
        <v>120641</v>
      </c>
      <c r="Z57" s="10" t="n">
        <f aca="false">(Y57/Q57)*100</f>
        <v>62.1790312438796</v>
      </c>
      <c r="AA57" s="9" t="s">
        <v>55</v>
      </c>
      <c r="AB57" s="9" t="s">
        <v>171</v>
      </c>
      <c r="AC57" s="9" t="s">
        <v>394</v>
      </c>
      <c r="AD57" s="9" t="n">
        <v>64415</v>
      </c>
      <c r="AE57" s="10" t="n">
        <f aca="false">(AD57/Q57)*100</f>
        <v>33.1998433167373</v>
      </c>
      <c r="AF57" s="9" t="s">
        <v>58</v>
      </c>
      <c r="AG57" s="9" t="s">
        <v>58</v>
      </c>
      <c r="AH57" s="9" t="s">
        <v>395</v>
      </c>
      <c r="AI57" s="9" t="n">
        <v>3776</v>
      </c>
      <c r="AJ57" s="10" t="n">
        <f aca="false">(AI57/Q57)*100</f>
        <v>1.94617105276721</v>
      </c>
      <c r="AK57" s="9" t="s">
        <v>63</v>
      </c>
      <c r="AL57" s="9" t="s">
        <v>63</v>
      </c>
      <c r="AM57" s="9" t="s">
        <v>63</v>
      </c>
      <c r="AN57" s="9" t="n">
        <v>1966</v>
      </c>
      <c r="AO57" s="10" t="n">
        <f aca="false">(AN57/Q57)*100</f>
        <v>1.01328715300327</v>
      </c>
      <c r="AP57" s="9" t="s">
        <v>71</v>
      </c>
      <c r="AQ57" s="15" t="s">
        <v>179</v>
      </c>
      <c r="AR57" s="9" t="s">
        <v>396</v>
      </c>
      <c r="AS57" s="9" t="n">
        <v>778</v>
      </c>
      <c r="AT57" s="10" t="n">
        <f aca="false">(AS57/Q57)*100</f>
        <v>0.400985455257651</v>
      </c>
    </row>
    <row r="58" customFormat="false" ht="12.8" hidden="false" customHeight="false" outlineLevel="0" collapsed="false">
      <c r="A58" s="7" t="n">
        <v>2021</v>
      </c>
      <c r="B58" s="8" t="n">
        <v>57</v>
      </c>
      <c r="C58" s="9" t="s">
        <v>397</v>
      </c>
      <c r="D58" s="9" t="s">
        <v>398</v>
      </c>
      <c r="E58" s="9" t="s">
        <v>48</v>
      </c>
      <c r="F58" s="9" t="s">
        <v>365</v>
      </c>
      <c r="G58" s="9" t="s">
        <v>50</v>
      </c>
      <c r="H58" s="9" t="s">
        <v>51</v>
      </c>
      <c r="I58" s="9" t="s">
        <v>51</v>
      </c>
      <c r="J58" s="9" t="s">
        <v>51</v>
      </c>
      <c r="K58" s="9" t="s">
        <v>68</v>
      </c>
      <c r="L58" s="9" t="s">
        <v>51</v>
      </c>
      <c r="M58" s="9" t="s">
        <v>68</v>
      </c>
      <c r="N58" s="9" t="s">
        <v>51</v>
      </c>
      <c r="O58" s="9" t="s">
        <v>51</v>
      </c>
      <c r="P58" s="9" t="n">
        <v>237391</v>
      </c>
      <c r="Q58" s="9" t="n">
        <v>206595</v>
      </c>
      <c r="R58" s="10" t="n">
        <f aca="false">(Q58/P58)*100</f>
        <v>87.0273093756714</v>
      </c>
      <c r="S58" s="9" t="n">
        <f aca="false">Y58-AD58</f>
        <v>28100</v>
      </c>
      <c r="T58" s="10" t="n">
        <f aca="false">(S58/Q58)*100</f>
        <v>13.6014908395653</v>
      </c>
      <c r="U58" s="10" t="n">
        <f aca="false">Z58+AE58</f>
        <v>92.9548149761611</v>
      </c>
      <c r="V58" s="9" t="s">
        <v>55</v>
      </c>
      <c r="W58" s="9" t="s">
        <v>68</v>
      </c>
      <c r="X58" s="9" t="s">
        <v>399</v>
      </c>
      <c r="Y58" s="9" t="n">
        <v>110070</v>
      </c>
      <c r="Z58" s="10" t="n">
        <f aca="false">(Y58/Q58)*100</f>
        <v>53.2781529078632</v>
      </c>
      <c r="AA58" s="9" t="s">
        <v>52</v>
      </c>
      <c r="AB58" s="9" t="s">
        <v>53</v>
      </c>
      <c r="AC58" s="9" t="s">
        <v>400</v>
      </c>
      <c r="AD58" s="9" t="n">
        <v>81970</v>
      </c>
      <c r="AE58" s="10" t="n">
        <f aca="false">(AD58/Q58)*100</f>
        <v>39.6766620682979</v>
      </c>
      <c r="AF58" s="9" t="s">
        <v>58</v>
      </c>
      <c r="AG58" s="9" t="s">
        <v>58</v>
      </c>
      <c r="AH58" s="9" t="s">
        <v>401</v>
      </c>
      <c r="AI58" s="9" t="n">
        <v>7704</v>
      </c>
      <c r="AJ58" s="10" t="n">
        <f aca="false">(AI58/Q58)*100</f>
        <v>3.7290350686125</v>
      </c>
      <c r="AK58" s="9" t="s">
        <v>60</v>
      </c>
      <c r="AL58" s="9" t="s">
        <v>61</v>
      </c>
      <c r="AM58" s="9" t="s">
        <v>402</v>
      </c>
      <c r="AN58" s="9" t="n">
        <v>2409</v>
      </c>
      <c r="AO58" s="10" t="n">
        <f aca="false">(AN58/Q58)*100</f>
        <v>1.16604951717128</v>
      </c>
      <c r="AP58" s="9" t="s">
        <v>63</v>
      </c>
      <c r="AQ58" s="9" t="s">
        <v>63</v>
      </c>
      <c r="AR58" s="9" t="s">
        <v>63</v>
      </c>
      <c r="AS58" s="9" t="n">
        <v>1351</v>
      </c>
      <c r="AT58" s="10" t="n">
        <f aca="false">(AS58/Q58)*100</f>
        <v>0.653936445702945</v>
      </c>
    </row>
    <row r="59" customFormat="false" ht="12.8" hidden="false" customHeight="false" outlineLevel="0" collapsed="false">
      <c r="A59" s="7" t="n">
        <v>2021</v>
      </c>
      <c r="B59" s="8" t="n">
        <v>58</v>
      </c>
      <c r="C59" s="9" t="s">
        <v>403</v>
      </c>
      <c r="D59" s="9" t="s">
        <v>398</v>
      </c>
      <c r="E59" s="9" t="s">
        <v>48</v>
      </c>
      <c r="F59" s="9" t="s">
        <v>365</v>
      </c>
      <c r="G59" s="9" t="s">
        <v>50</v>
      </c>
      <c r="H59" s="9" t="s">
        <v>51</v>
      </c>
      <c r="I59" s="9" t="s">
        <v>51</v>
      </c>
      <c r="J59" s="9" t="s">
        <v>56</v>
      </c>
      <c r="K59" s="9" t="s">
        <v>51</v>
      </c>
      <c r="L59" s="9" t="s">
        <v>51</v>
      </c>
      <c r="M59" s="9" t="s">
        <v>51</v>
      </c>
      <c r="N59" s="9" t="s">
        <v>51</v>
      </c>
      <c r="O59" s="9" t="s">
        <v>51</v>
      </c>
      <c r="P59" s="9" t="n">
        <v>246772</v>
      </c>
      <c r="Q59" s="9" t="n">
        <v>210305</v>
      </c>
      <c r="R59" s="10" t="n">
        <f aca="false">(Q59/P59)*100</f>
        <v>85.2223915192972</v>
      </c>
      <c r="S59" s="9" t="n">
        <f aca="false">Y59-AD59</f>
        <v>21186</v>
      </c>
      <c r="T59" s="10" t="n">
        <f aca="false">(S59/Q59)*100</f>
        <v>10.0739402296664</v>
      </c>
      <c r="U59" s="10" t="n">
        <f aca="false">Z59+AE59</f>
        <v>90.8490050165236</v>
      </c>
      <c r="V59" s="9" t="s">
        <v>55</v>
      </c>
      <c r="W59" s="9" t="s">
        <v>56</v>
      </c>
      <c r="X59" s="9" t="s">
        <v>404</v>
      </c>
      <c r="Y59" s="9" t="n">
        <v>106123</v>
      </c>
      <c r="Z59" s="10" t="n">
        <f aca="false">(Y59/Q59)*100</f>
        <v>50.461472623095</v>
      </c>
      <c r="AA59" s="9" t="s">
        <v>52</v>
      </c>
      <c r="AB59" s="9" t="s">
        <v>53</v>
      </c>
      <c r="AC59" s="9" t="s">
        <v>405</v>
      </c>
      <c r="AD59" s="9" t="n">
        <v>84937</v>
      </c>
      <c r="AE59" s="10" t="n">
        <f aca="false">(AD59/Q59)*100</f>
        <v>40.3875323934286</v>
      </c>
      <c r="AF59" s="9" t="s">
        <v>58</v>
      </c>
      <c r="AG59" s="9" t="s">
        <v>58</v>
      </c>
      <c r="AH59" s="9" t="s">
        <v>406</v>
      </c>
      <c r="AI59" s="9" t="n">
        <v>8945</v>
      </c>
      <c r="AJ59" s="10" t="n">
        <f aca="false">(AI59/Q59)*100</f>
        <v>4.25334633032976</v>
      </c>
      <c r="AK59" s="9" t="s">
        <v>60</v>
      </c>
      <c r="AL59" s="9" t="s">
        <v>61</v>
      </c>
      <c r="AM59" s="9" t="s">
        <v>407</v>
      </c>
      <c r="AN59" s="9" t="n">
        <v>2921</v>
      </c>
      <c r="AO59" s="10" t="n">
        <f aca="false">(AN59/Q59)*100</f>
        <v>1.38893511804284</v>
      </c>
      <c r="AP59" s="9" t="s">
        <v>197</v>
      </c>
      <c r="AQ59" s="9" t="s">
        <v>197</v>
      </c>
      <c r="AR59" s="9" t="s">
        <v>408</v>
      </c>
      <c r="AS59" s="9" t="n">
        <v>1968</v>
      </c>
      <c r="AT59" s="10" t="n">
        <f aca="false">(AS59/Q59)*100</f>
        <v>0.935783742659471</v>
      </c>
    </row>
    <row r="60" customFormat="false" ht="12.8" hidden="false" customHeight="false" outlineLevel="0" collapsed="false">
      <c r="A60" s="7" t="n">
        <v>2021</v>
      </c>
      <c r="B60" s="8" t="n">
        <v>59</v>
      </c>
      <c r="C60" s="9" t="s">
        <v>398</v>
      </c>
      <c r="D60" s="9" t="s">
        <v>398</v>
      </c>
      <c r="E60" s="9" t="s">
        <v>48</v>
      </c>
      <c r="F60" s="9" t="s">
        <v>365</v>
      </c>
      <c r="G60" s="9" t="s">
        <v>77</v>
      </c>
      <c r="H60" s="9" t="s">
        <v>51</v>
      </c>
      <c r="I60" s="9" t="s">
        <v>51</v>
      </c>
      <c r="J60" s="9" t="s">
        <v>51</v>
      </c>
      <c r="K60" s="9" t="s">
        <v>51</v>
      </c>
      <c r="L60" s="14" t="s">
        <v>53</v>
      </c>
      <c r="M60" s="9" t="s">
        <v>51</v>
      </c>
      <c r="N60" s="9" t="s">
        <v>51</v>
      </c>
      <c r="O60" s="9" t="s">
        <v>51</v>
      </c>
      <c r="P60" s="9" t="n">
        <v>269773</v>
      </c>
      <c r="Q60" s="9" t="n">
        <v>217333</v>
      </c>
      <c r="R60" s="10" t="n">
        <f aca="false">(Q60/P60)*100</f>
        <v>80.5614349842275</v>
      </c>
      <c r="S60" s="9" t="n">
        <f aca="false">Y60-AD60</f>
        <v>26860</v>
      </c>
      <c r="T60" s="10" t="n">
        <f aca="false">(S60/Q60)*100</f>
        <v>12.3589146609121</v>
      </c>
      <c r="U60" s="10" t="n">
        <f aca="false">Z60+AE60</f>
        <v>84.8467558999324</v>
      </c>
      <c r="V60" s="9" t="s">
        <v>55</v>
      </c>
      <c r="W60" s="9" t="s">
        <v>56</v>
      </c>
      <c r="X60" s="9" t="s">
        <v>409</v>
      </c>
      <c r="Y60" s="9" t="n">
        <v>105630</v>
      </c>
      <c r="Z60" s="10" t="n">
        <f aca="false">(Y60/Q60)*100</f>
        <v>48.6028352804222</v>
      </c>
      <c r="AA60" s="9" t="s">
        <v>52</v>
      </c>
      <c r="AB60" s="9" t="s">
        <v>53</v>
      </c>
      <c r="AC60" s="9" t="s">
        <v>410</v>
      </c>
      <c r="AD60" s="9" t="n">
        <v>78770</v>
      </c>
      <c r="AE60" s="10" t="n">
        <f aca="false">(AD60/Q60)*100</f>
        <v>36.2439206195102</v>
      </c>
      <c r="AF60" s="12" t="s">
        <v>60</v>
      </c>
      <c r="AG60" s="12" t="s">
        <v>74</v>
      </c>
      <c r="AH60" s="9" t="s">
        <v>411</v>
      </c>
      <c r="AI60" s="9" t="n">
        <v>11226</v>
      </c>
      <c r="AJ60" s="10" t="n">
        <f aca="false">(AI60/Q60)*100</f>
        <v>5.1653453456217</v>
      </c>
      <c r="AK60" s="9" t="s">
        <v>58</v>
      </c>
      <c r="AL60" s="9" t="s">
        <v>58</v>
      </c>
      <c r="AM60" s="9" t="s">
        <v>412</v>
      </c>
      <c r="AN60" s="9" t="n">
        <v>8700</v>
      </c>
      <c r="AO60" s="10" t="n">
        <f aca="false">(AN60/Q60)*100</f>
        <v>4.00307362434605</v>
      </c>
      <c r="AP60" s="9" t="s">
        <v>71</v>
      </c>
      <c r="AQ60" s="9" t="s">
        <v>72</v>
      </c>
      <c r="AR60" s="9" t="s">
        <v>413</v>
      </c>
      <c r="AS60" s="9" t="n">
        <v>5083</v>
      </c>
      <c r="AT60" s="10" t="n">
        <f aca="false">(AS60/Q60)*100</f>
        <v>2.33880726810931</v>
      </c>
    </row>
    <row r="61" customFormat="false" ht="12.8" hidden="false" customHeight="false" outlineLevel="0" collapsed="false">
      <c r="A61" s="7" t="n">
        <v>2021</v>
      </c>
      <c r="B61" s="8" t="n">
        <v>60</v>
      </c>
      <c r="C61" s="9" t="s">
        <v>414</v>
      </c>
      <c r="D61" s="9" t="s">
        <v>398</v>
      </c>
      <c r="E61" s="9" t="s">
        <v>48</v>
      </c>
      <c r="F61" s="9" t="s">
        <v>365</v>
      </c>
      <c r="G61" s="9" t="s">
        <v>50</v>
      </c>
      <c r="H61" s="9" t="s">
        <v>51</v>
      </c>
      <c r="I61" s="9" t="s">
        <v>51</v>
      </c>
      <c r="J61" s="9" t="s">
        <v>51</v>
      </c>
      <c r="K61" s="9" t="s">
        <v>51</v>
      </c>
      <c r="L61" s="9" t="s">
        <v>51</v>
      </c>
      <c r="M61" s="9" t="s">
        <v>68</v>
      </c>
      <c r="N61" s="9" t="s">
        <v>51</v>
      </c>
      <c r="O61" s="9" t="s">
        <v>51</v>
      </c>
      <c r="P61" s="9" t="n">
        <v>265487</v>
      </c>
      <c r="Q61" s="9" t="n">
        <v>220994</v>
      </c>
      <c r="R61" s="10" t="n">
        <f aca="false">(Q61/P61)*100</f>
        <v>83.2409873176464</v>
      </c>
      <c r="S61" s="9" t="n">
        <f aca="false">Y61-AD61</f>
        <v>36943</v>
      </c>
      <c r="T61" s="10" t="n">
        <f aca="false">(S61/Q61)*100</f>
        <v>16.7167434409984</v>
      </c>
      <c r="U61" s="10" t="n">
        <f aca="false">Z61+AE61</f>
        <v>86.9123143614759</v>
      </c>
      <c r="V61" s="9" t="s">
        <v>55</v>
      </c>
      <c r="W61" s="9" t="s">
        <v>68</v>
      </c>
      <c r="X61" s="9" t="s">
        <v>415</v>
      </c>
      <c r="Y61" s="9" t="n">
        <v>114507</v>
      </c>
      <c r="Z61" s="10" t="n">
        <f aca="false">(Y61/Q61)*100</f>
        <v>51.8145289012371</v>
      </c>
      <c r="AA61" s="9" t="s">
        <v>52</v>
      </c>
      <c r="AB61" s="9" t="s">
        <v>53</v>
      </c>
      <c r="AC61" s="9" t="s">
        <v>416</v>
      </c>
      <c r="AD61" s="9" t="n">
        <v>77564</v>
      </c>
      <c r="AE61" s="10" t="n">
        <f aca="false">(AD61/Q61)*100</f>
        <v>35.0977854602387</v>
      </c>
      <c r="AF61" s="12" t="s">
        <v>60</v>
      </c>
      <c r="AG61" s="9" t="s">
        <v>74</v>
      </c>
      <c r="AH61" s="9" t="s">
        <v>417</v>
      </c>
      <c r="AI61" s="9" t="n">
        <v>15863</v>
      </c>
      <c r="AJ61" s="10" t="n">
        <f aca="false">(AI61/Q61)*100</f>
        <v>7.17802293274931</v>
      </c>
      <c r="AK61" s="9" t="s">
        <v>58</v>
      </c>
      <c r="AL61" s="9" t="s">
        <v>58</v>
      </c>
      <c r="AM61" s="9" t="s">
        <v>418</v>
      </c>
      <c r="AN61" s="9" t="n">
        <v>7573</v>
      </c>
      <c r="AO61" s="10" t="n">
        <f aca="false">(AN61/Q61)*100</f>
        <v>3.42678986759822</v>
      </c>
      <c r="AP61" s="9" t="s">
        <v>71</v>
      </c>
      <c r="AQ61" s="9" t="s">
        <v>72</v>
      </c>
      <c r="AR61" s="9" t="s">
        <v>419</v>
      </c>
      <c r="AS61" s="9" t="n">
        <v>1729</v>
      </c>
      <c r="AT61" s="10" t="n">
        <f aca="false">(AS61/Q61)*100</f>
        <v>0.782374182104492</v>
      </c>
    </row>
    <row r="62" customFormat="false" ht="12.8" hidden="false" customHeight="false" outlineLevel="0" collapsed="false">
      <c r="A62" s="7" t="n">
        <v>2021</v>
      </c>
      <c r="B62" s="8" t="n">
        <v>61</v>
      </c>
      <c r="C62" s="9" t="s">
        <v>420</v>
      </c>
      <c r="D62" s="9" t="s">
        <v>398</v>
      </c>
      <c r="E62" s="9" t="s">
        <v>48</v>
      </c>
      <c r="F62" s="9" t="s">
        <v>365</v>
      </c>
      <c r="G62" s="9" t="s">
        <v>77</v>
      </c>
      <c r="H62" s="9" t="s">
        <v>65</v>
      </c>
      <c r="I62" s="9" t="s">
        <v>316</v>
      </c>
      <c r="J62" s="9" t="s">
        <v>51</v>
      </c>
      <c r="K62" s="9" t="s">
        <v>51</v>
      </c>
      <c r="L62" s="9" t="s">
        <v>51</v>
      </c>
      <c r="M62" s="9" t="s">
        <v>51</v>
      </c>
      <c r="N62" s="9" t="s">
        <v>51</v>
      </c>
      <c r="O62" s="9" t="s">
        <v>51</v>
      </c>
      <c r="P62" s="9" t="n">
        <v>250120</v>
      </c>
      <c r="Q62" s="9" t="n">
        <v>198565</v>
      </c>
      <c r="R62" s="10" t="n">
        <f aca="false">(Q62/P62)*100</f>
        <v>79.3878938109707</v>
      </c>
      <c r="S62" s="9" t="n">
        <f aca="false">Y62-AD62</f>
        <v>30362</v>
      </c>
      <c r="T62" s="10" t="n">
        <f aca="false">(S62/Q62)*100</f>
        <v>15.2907108503513</v>
      </c>
      <c r="U62" s="10" t="n">
        <f aca="false">Z62+AE62</f>
        <v>84.4861884017828</v>
      </c>
      <c r="V62" s="9" t="s">
        <v>55</v>
      </c>
      <c r="W62" s="9" t="s">
        <v>68</v>
      </c>
      <c r="X62" s="9" t="s">
        <v>421</v>
      </c>
      <c r="Y62" s="9" t="n">
        <v>99061</v>
      </c>
      <c r="Z62" s="10" t="n">
        <f aca="false">(Y62/Q62)*100</f>
        <v>49.888449626067</v>
      </c>
      <c r="AA62" s="9" t="s">
        <v>52</v>
      </c>
      <c r="AB62" s="9" t="s">
        <v>422</v>
      </c>
      <c r="AC62" s="9" t="s">
        <v>423</v>
      </c>
      <c r="AD62" s="9" t="n">
        <v>68699</v>
      </c>
      <c r="AE62" s="10" t="n">
        <f aca="false">(AD62/Q62)*100</f>
        <v>34.5977387757158</v>
      </c>
      <c r="AF62" s="12" t="s">
        <v>60</v>
      </c>
      <c r="AG62" s="9" t="s">
        <v>74</v>
      </c>
      <c r="AH62" s="9" t="s">
        <v>226</v>
      </c>
      <c r="AI62" s="9" t="n">
        <v>14327</v>
      </c>
      <c r="AJ62" s="10" t="n">
        <f aca="false">(AI62/Q62)*100</f>
        <v>7.21526955908645</v>
      </c>
      <c r="AK62" s="9" t="s">
        <v>58</v>
      </c>
      <c r="AL62" s="9" t="s">
        <v>58</v>
      </c>
      <c r="AM62" s="9" t="s">
        <v>424</v>
      </c>
      <c r="AN62" s="9" t="n">
        <v>10950</v>
      </c>
      <c r="AO62" s="10" t="n">
        <f aca="false">(AN62/Q62)*100</f>
        <v>5.51456701835671</v>
      </c>
      <c r="AP62" s="9" t="s">
        <v>63</v>
      </c>
      <c r="AQ62" s="9" t="s">
        <v>63</v>
      </c>
      <c r="AR62" s="9" t="s">
        <v>63</v>
      </c>
      <c r="AS62" s="9" t="n">
        <v>2249</v>
      </c>
      <c r="AT62" s="10" t="n">
        <f aca="false">(AS62/Q62)*100</f>
        <v>1.13262659582504</v>
      </c>
    </row>
    <row r="63" customFormat="false" ht="12.8" hidden="false" customHeight="false" outlineLevel="0" collapsed="false">
      <c r="A63" s="7" t="n">
        <v>2021</v>
      </c>
      <c r="B63" s="8" t="n">
        <v>62</v>
      </c>
      <c r="C63" s="9" t="s">
        <v>425</v>
      </c>
      <c r="D63" s="9" t="s">
        <v>426</v>
      </c>
      <c r="E63" s="9" t="s">
        <v>48</v>
      </c>
      <c r="F63" s="9" t="s">
        <v>289</v>
      </c>
      <c r="G63" s="9" t="s">
        <v>50</v>
      </c>
      <c r="H63" s="9" t="s">
        <v>65</v>
      </c>
      <c r="I63" s="9" t="s">
        <v>51</v>
      </c>
      <c r="J63" s="9" t="s">
        <v>51</v>
      </c>
      <c r="K63" s="9" t="s">
        <v>51</v>
      </c>
      <c r="L63" s="9" t="s">
        <v>68</v>
      </c>
      <c r="M63" s="9" t="s">
        <v>51</v>
      </c>
      <c r="N63" s="9" t="s">
        <v>51</v>
      </c>
      <c r="O63" s="9" t="s">
        <v>51</v>
      </c>
      <c r="P63" s="9" t="n">
        <v>275419</v>
      </c>
      <c r="Q63" s="9" t="n">
        <v>223950</v>
      </c>
      <c r="R63" s="10" t="n">
        <f aca="false">(Q63/P63)*100</f>
        <v>81.3124729956902</v>
      </c>
      <c r="S63" s="9" t="n">
        <f aca="false">Y63-AD63</f>
        <v>11570</v>
      </c>
      <c r="T63" s="10" t="n">
        <f aca="false">(S63/Q63)*100</f>
        <v>5.16633177048448</v>
      </c>
      <c r="U63" s="10" t="n">
        <f aca="false">Z63+AE63</f>
        <v>91.3561062737218</v>
      </c>
      <c r="V63" s="9" t="s">
        <v>52</v>
      </c>
      <c r="W63" s="9" t="s">
        <v>53</v>
      </c>
      <c r="X63" s="9" t="s">
        <v>427</v>
      </c>
      <c r="Y63" s="9" t="n">
        <v>108081</v>
      </c>
      <c r="Z63" s="10" t="n">
        <f aca="false">(Y63/Q63)*100</f>
        <v>48.2612190221032</v>
      </c>
      <c r="AA63" s="9" t="s">
        <v>55</v>
      </c>
      <c r="AB63" s="9" t="s">
        <v>68</v>
      </c>
      <c r="AC63" s="9" t="s">
        <v>428</v>
      </c>
      <c r="AD63" s="9" t="n">
        <v>96511</v>
      </c>
      <c r="AE63" s="10" t="n">
        <f aca="false">(AD63/Q63)*100</f>
        <v>43.0948872516187</v>
      </c>
      <c r="AF63" s="9" t="s">
        <v>58</v>
      </c>
      <c r="AG63" s="9" t="s">
        <v>58</v>
      </c>
      <c r="AH63" s="9" t="s">
        <v>429</v>
      </c>
      <c r="AI63" s="9" t="n">
        <v>12080</v>
      </c>
      <c r="AJ63" s="10" t="n">
        <f aca="false">(AI63/Q63)*100</f>
        <v>5.39406117436928</v>
      </c>
      <c r="AK63" s="9" t="s">
        <v>60</v>
      </c>
      <c r="AL63" s="9" t="s">
        <v>61</v>
      </c>
      <c r="AM63" s="9" t="s">
        <v>430</v>
      </c>
      <c r="AN63" s="9" t="n">
        <v>2769</v>
      </c>
      <c r="AO63" s="10" t="n">
        <f aca="false">(AN63/Q63)*100</f>
        <v>1.23643670462157</v>
      </c>
      <c r="AP63" s="9" t="s">
        <v>71</v>
      </c>
      <c r="AQ63" s="15" t="s">
        <v>179</v>
      </c>
      <c r="AR63" s="9" t="s">
        <v>431</v>
      </c>
      <c r="AS63" s="9" t="n">
        <v>828</v>
      </c>
      <c r="AT63" s="10" t="n">
        <f aca="false">(AS63/Q63)*100</f>
        <v>0.36972538513061</v>
      </c>
    </row>
    <row r="64" customFormat="false" ht="12.8" hidden="false" customHeight="false" outlineLevel="0" collapsed="false">
      <c r="A64" s="7" t="n">
        <v>2021</v>
      </c>
      <c r="B64" s="8" t="n">
        <v>63</v>
      </c>
      <c r="C64" s="9" t="s">
        <v>426</v>
      </c>
      <c r="D64" s="9" t="s">
        <v>426</v>
      </c>
      <c r="E64" s="9" t="s">
        <v>48</v>
      </c>
      <c r="F64" s="9" t="s">
        <v>289</v>
      </c>
      <c r="G64" s="9" t="s">
        <v>88</v>
      </c>
      <c r="H64" s="9" t="s">
        <v>51</v>
      </c>
      <c r="I64" s="9" t="s">
        <v>51</v>
      </c>
      <c r="J64" s="9" t="s">
        <v>51</v>
      </c>
      <c r="K64" s="9" t="s">
        <v>53</v>
      </c>
      <c r="L64" s="9" t="s">
        <v>53</v>
      </c>
      <c r="M64" s="9" t="s">
        <v>53</v>
      </c>
      <c r="N64" s="9" t="s">
        <v>51</v>
      </c>
      <c r="O64" s="9" t="s">
        <v>51</v>
      </c>
      <c r="P64" s="9" t="n">
        <v>286589</v>
      </c>
      <c r="Q64" s="9" t="n">
        <v>208836</v>
      </c>
      <c r="R64" s="10" t="n">
        <f aca="false">(Q64/P64)*100</f>
        <v>72.8695099951499</v>
      </c>
      <c r="S64" s="9" t="n">
        <f aca="false">Y64-AD64</f>
        <v>94673</v>
      </c>
      <c r="T64" s="10" t="n">
        <f aca="false">(S64/Q64)*100</f>
        <v>45.333658947691</v>
      </c>
      <c r="U64" s="10" t="n">
        <f aca="false">Z64+AE64</f>
        <v>86.7087092263786</v>
      </c>
      <c r="V64" s="9" t="s">
        <v>52</v>
      </c>
      <c r="W64" s="9" t="s">
        <v>53</v>
      </c>
      <c r="X64" s="9" t="s">
        <v>432</v>
      </c>
      <c r="Y64" s="9" t="n">
        <v>137876</v>
      </c>
      <c r="Z64" s="10" t="n">
        <f aca="false">(Y64/Q64)*100</f>
        <v>66.0211840870348</v>
      </c>
      <c r="AA64" s="9" t="s">
        <v>55</v>
      </c>
      <c r="AB64" s="9" t="s">
        <v>171</v>
      </c>
      <c r="AC64" s="9" t="s">
        <v>433</v>
      </c>
      <c r="AD64" s="9" t="n">
        <v>43203</v>
      </c>
      <c r="AE64" s="10" t="n">
        <f aca="false">(AD64/Q64)*100</f>
        <v>20.6875251393438</v>
      </c>
      <c r="AF64" s="9" t="s">
        <v>58</v>
      </c>
      <c r="AG64" s="9" t="s">
        <v>58</v>
      </c>
      <c r="AH64" s="9" t="s">
        <v>434</v>
      </c>
      <c r="AI64" s="9" t="n">
        <v>13995</v>
      </c>
      <c r="AJ64" s="10" t="n">
        <f aca="false">(AI64/Q64)*100</f>
        <v>6.70143078779521</v>
      </c>
      <c r="AK64" s="9" t="s">
        <v>71</v>
      </c>
      <c r="AL64" s="9" t="s">
        <v>72</v>
      </c>
      <c r="AM64" s="9" t="s">
        <v>435</v>
      </c>
      <c r="AN64" s="9" t="n">
        <v>6246</v>
      </c>
      <c r="AO64" s="10" t="n">
        <f aca="false">(AN64/Q64)*100</f>
        <v>2.99086364419928</v>
      </c>
      <c r="AP64" s="9" t="s">
        <v>63</v>
      </c>
      <c r="AQ64" s="9" t="s">
        <v>63</v>
      </c>
      <c r="AR64" s="9" t="s">
        <v>63</v>
      </c>
      <c r="AS64" s="9" t="n">
        <v>2194</v>
      </c>
      <c r="AT64" s="10" t="n">
        <f aca="false">(AS64/Q64)*100</f>
        <v>1.05058514815453</v>
      </c>
    </row>
    <row r="65" customFormat="false" ht="12.8" hidden="false" customHeight="false" outlineLevel="0" collapsed="false">
      <c r="A65" s="7" t="n">
        <v>2021</v>
      </c>
      <c r="B65" s="8" t="n">
        <v>64</v>
      </c>
      <c r="C65" s="9" t="s">
        <v>436</v>
      </c>
      <c r="D65" s="9" t="s">
        <v>426</v>
      </c>
      <c r="E65" s="9" t="s">
        <v>48</v>
      </c>
      <c r="F65" s="9" t="s">
        <v>289</v>
      </c>
      <c r="G65" s="9" t="s">
        <v>50</v>
      </c>
      <c r="H65" s="9" t="s">
        <v>51</v>
      </c>
      <c r="I65" s="9" t="s">
        <v>51</v>
      </c>
      <c r="J65" s="9" t="s">
        <v>51</v>
      </c>
      <c r="K65" s="9" t="s">
        <v>51</v>
      </c>
      <c r="L65" s="9" t="s">
        <v>51</v>
      </c>
      <c r="M65" s="9" t="s">
        <v>51</v>
      </c>
      <c r="N65" s="9" t="s">
        <v>51</v>
      </c>
      <c r="O65" s="9" t="s">
        <v>51</v>
      </c>
      <c r="P65" s="9" t="n">
        <v>253562</v>
      </c>
      <c r="Q65" s="9" t="n">
        <v>203886</v>
      </c>
      <c r="R65" s="10" t="n">
        <f aca="false">(Q65/P65)*100</f>
        <v>80.4087363248436</v>
      </c>
      <c r="S65" s="9" t="n">
        <f aca="false">Y65-AD65</f>
        <v>26787</v>
      </c>
      <c r="T65" s="10" t="n">
        <f aca="false">(S65/Q65)*100</f>
        <v>13.1382243018157</v>
      </c>
      <c r="U65" s="10" t="n">
        <f aca="false">Z65+AE65</f>
        <v>89.5417046781044</v>
      </c>
      <c r="V65" s="9" t="s">
        <v>52</v>
      </c>
      <c r="W65" s="9" t="s">
        <v>53</v>
      </c>
      <c r="X65" s="9" t="s">
        <v>437</v>
      </c>
      <c r="Y65" s="9" t="n">
        <v>104675</v>
      </c>
      <c r="Z65" s="10" t="n">
        <f aca="false">(Y65/Q65)*100</f>
        <v>51.3399644899601</v>
      </c>
      <c r="AA65" s="9" t="s">
        <v>55</v>
      </c>
      <c r="AB65" s="9" t="s">
        <v>56</v>
      </c>
      <c r="AC65" s="9" t="s">
        <v>438</v>
      </c>
      <c r="AD65" s="9" t="n">
        <v>77888</v>
      </c>
      <c r="AE65" s="10" t="n">
        <f aca="false">(AD65/Q65)*100</f>
        <v>38.2017401881444</v>
      </c>
      <c r="AF65" s="9" t="s">
        <v>58</v>
      </c>
      <c r="AG65" s="9" t="s">
        <v>58</v>
      </c>
      <c r="AH65" s="9" t="s">
        <v>439</v>
      </c>
      <c r="AI65" s="9" t="n">
        <v>11541</v>
      </c>
      <c r="AJ65" s="10" t="n">
        <f aca="false">(AI65/Q65)*100</f>
        <v>5.66051617080133</v>
      </c>
      <c r="AK65" s="9" t="s">
        <v>60</v>
      </c>
      <c r="AL65" s="9" t="s">
        <v>74</v>
      </c>
      <c r="AM65" s="9" t="s">
        <v>318</v>
      </c>
      <c r="AN65" s="9" t="n">
        <v>2191</v>
      </c>
      <c r="AO65" s="10" t="n">
        <f aca="false">(AN65/Q65)*100</f>
        <v>1.07462013085744</v>
      </c>
      <c r="AP65" s="9" t="s">
        <v>71</v>
      </c>
      <c r="AQ65" s="9" t="s">
        <v>72</v>
      </c>
      <c r="AR65" s="9" t="s">
        <v>440</v>
      </c>
      <c r="AS65" s="9" t="n">
        <v>1437</v>
      </c>
      <c r="AT65" s="10" t="n">
        <f aca="false">(AS65/Q65)*100</f>
        <v>0.704805626673729</v>
      </c>
    </row>
    <row r="66" customFormat="false" ht="12.8" hidden="false" customHeight="false" outlineLevel="0" collapsed="false">
      <c r="A66" s="7" t="n">
        <v>2021</v>
      </c>
      <c r="B66" s="8" t="n">
        <v>65</v>
      </c>
      <c r="C66" s="9" t="s">
        <v>441</v>
      </c>
      <c r="D66" s="9" t="s">
        <v>426</v>
      </c>
      <c r="E66" s="9" t="s">
        <v>48</v>
      </c>
      <c r="F66" s="9" t="s">
        <v>289</v>
      </c>
      <c r="G66" s="9" t="s">
        <v>50</v>
      </c>
      <c r="H66" s="9" t="s">
        <v>51</v>
      </c>
      <c r="I66" s="9" t="s">
        <v>51</v>
      </c>
      <c r="J66" s="9" t="s">
        <v>51</v>
      </c>
      <c r="K66" s="9" t="s">
        <v>51</v>
      </c>
      <c r="L66" s="14" t="s">
        <v>53</v>
      </c>
      <c r="M66" s="9" t="s">
        <v>51</v>
      </c>
      <c r="N66" s="9" t="s">
        <v>68</v>
      </c>
      <c r="O66" s="9" t="s">
        <v>51</v>
      </c>
      <c r="P66" s="9" t="n">
        <v>243655</v>
      </c>
      <c r="Q66" s="9" t="n">
        <v>196434</v>
      </c>
      <c r="R66" s="10" t="n">
        <f aca="false">(Q66/P66)*100</f>
        <v>80.6197287147812</v>
      </c>
      <c r="S66" s="9" t="n">
        <f aca="false">Y66-AD66</f>
        <v>9222</v>
      </c>
      <c r="T66" s="10" t="n">
        <f aca="false">(S66/Q66)*100</f>
        <v>4.69470661901707</v>
      </c>
      <c r="U66" s="10" t="n">
        <f aca="false">Z66+AE66</f>
        <v>91.1481719050674</v>
      </c>
      <c r="V66" s="9" t="s">
        <v>52</v>
      </c>
      <c r="W66" s="9" t="s">
        <v>53</v>
      </c>
      <c r="X66" s="9" t="s">
        <v>442</v>
      </c>
      <c r="Y66" s="9" t="n">
        <v>94134</v>
      </c>
      <c r="Z66" s="10" t="n">
        <f aca="false">(Y66/Q66)*100</f>
        <v>47.9214392620422</v>
      </c>
      <c r="AA66" s="9" t="s">
        <v>55</v>
      </c>
      <c r="AB66" s="9" t="s">
        <v>68</v>
      </c>
      <c r="AC66" s="9" t="s">
        <v>443</v>
      </c>
      <c r="AD66" s="9" t="n">
        <v>84912</v>
      </c>
      <c r="AE66" s="10" t="n">
        <f aca="false">(AD66/Q66)*100</f>
        <v>43.2267326430251</v>
      </c>
      <c r="AF66" s="9" t="s">
        <v>58</v>
      </c>
      <c r="AG66" s="9" t="s">
        <v>58</v>
      </c>
      <c r="AH66" s="9" t="s">
        <v>444</v>
      </c>
      <c r="AI66" s="9" t="n">
        <v>8822</v>
      </c>
      <c r="AJ66" s="10" t="n">
        <f aca="false">(AI66/Q66)*100</f>
        <v>4.49107588299378</v>
      </c>
      <c r="AK66" s="9" t="s">
        <v>60</v>
      </c>
      <c r="AL66" s="9" t="s">
        <v>61</v>
      </c>
      <c r="AM66" s="9" t="s">
        <v>445</v>
      </c>
      <c r="AN66" s="9" t="n">
        <v>2756</v>
      </c>
      <c r="AO66" s="10" t="n">
        <f aca="false">(AN66/Q66)*100</f>
        <v>1.40301577120051</v>
      </c>
      <c r="AP66" s="9" t="s">
        <v>63</v>
      </c>
      <c r="AQ66" s="9" t="s">
        <v>63</v>
      </c>
      <c r="AR66" s="9" t="s">
        <v>63</v>
      </c>
      <c r="AS66" s="9" t="n">
        <v>1595</v>
      </c>
      <c r="AT66" s="10" t="n">
        <f aca="false">(AS66/Q66)*100</f>
        <v>0.81197755989289</v>
      </c>
    </row>
    <row r="67" customFormat="false" ht="12.8" hidden="false" customHeight="false" outlineLevel="0" collapsed="false">
      <c r="A67" s="7" t="n">
        <v>2021</v>
      </c>
      <c r="B67" s="8" t="n">
        <v>66</v>
      </c>
      <c r="C67" s="9" t="s">
        <v>446</v>
      </c>
      <c r="D67" s="9" t="s">
        <v>426</v>
      </c>
      <c r="E67" s="9" t="s">
        <v>48</v>
      </c>
      <c r="F67" s="9" t="s">
        <v>289</v>
      </c>
      <c r="G67" s="9" t="s">
        <v>50</v>
      </c>
      <c r="H67" s="9" t="s">
        <v>51</v>
      </c>
      <c r="I67" s="9" t="s">
        <v>51</v>
      </c>
      <c r="J67" s="9" t="s">
        <v>51</v>
      </c>
      <c r="K67" s="9" t="s">
        <v>51</v>
      </c>
      <c r="L67" s="9" t="s">
        <v>51</v>
      </c>
      <c r="M67" s="9" t="s">
        <v>51</v>
      </c>
      <c r="N67" s="9" t="s">
        <v>51</v>
      </c>
      <c r="O67" s="9" t="s">
        <v>51</v>
      </c>
      <c r="P67" s="9" t="n">
        <v>245195</v>
      </c>
      <c r="Q67" s="9" t="n">
        <v>202012</v>
      </c>
      <c r="R67" s="10" t="n">
        <f aca="false">(Q67/P67)*100</f>
        <v>82.3883031872591</v>
      </c>
      <c r="S67" s="9" t="n">
        <f aca="false">Y67-AD67</f>
        <v>9725</v>
      </c>
      <c r="T67" s="10" t="n">
        <f aca="false">(S67/Q67)*100</f>
        <v>4.81407045126032</v>
      </c>
      <c r="U67" s="10" t="n">
        <f aca="false">Z67+AE67</f>
        <v>91.9445379482407</v>
      </c>
      <c r="V67" s="9" t="s">
        <v>55</v>
      </c>
      <c r="W67" s="9" t="s">
        <v>68</v>
      </c>
      <c r="X67" s="9" t="s">
        <v>447</v>
      </c>
      <c r="Y67" s="9" t="n">
        <v>97732</v>
      </c>
      <c r="Z67" s="10" t="n">
        <f aca="false">(Y67/Q67)*100</f>
        <v>48.3793041997505</v>
      </c>
      <c r="AA67" s="9" t="s">
        <v>52</v>
      </c>
      <c r="AB67" s="9" t="s">
        <v>53</v>
      </c>
      <c r="AC67" s="9" t="s">
        <v>448</v>
      </c>
      <c r="AD67" s="9" t="n">
        <v>88007</v>
      </c>
      <c r="AE67" s="10" t="n">
        <f aca="false">(AD67/Q67)*100</f>
        <v>43.5652337484902</v>
      </c>
      <c r="AF67" s="9" t="s">
        <v>58</v>
      </c>
      <c r="AG67" s="9" t="s">
        <v>58</v>
      </c>
      <c r="AH67" s="9" t="s">
        <v>449</v>
      </c>
      <c r="AI67" s="9" t="n">
        <v>10197</v>
      </c>
      <c r="AJ67" s="10" t="n">
        <f aca="false">(AI67/Q67)*100</f>
        <v>5.04771993742946</v>
      </c>
      <c r="AK67" s="9" t="s">
        <v>71</v>
      </c>
      <c r="AL67" s="9" t="s">
        <v>72</v>
      </c>
      <c r="AM67" s="9" t="s">
        <v>450</v>
      </c>
      <c r="AN67" s="9" t="n">
        <v>1580</v>
      </c>
      <c r="AO67" s="10" t="n">
        <f aca="false">(AN67/Q67)*100</f>
        <v>0.782131754549235</v>
      </c>
      <c r="AP67" s="9" t="s">
        <v>197</v>
      </c>
      <c r="AQ67" s="9" t="s">
        <v>197</v>
      </c>
      <c r="AR67" s="9" t="s">
        <v>451</v>
      </c>
      <c r="AS67" s="9" t="n">
        <v>1188</v>
      </c>
      <c r="AT67" s="10" t="n">
        <f aca="false">(AS67/Q67)*100</f>
        <v>0.588083876205374</v>
      </c>
    </row>
    <row r="68" customFormat="false" ht="12.8" hidden="false" customHeight="false" outlineLevel="0" collapsed="false">
      <c r="A68" s="7" t="n">
        <v>2021</v>
      </c>
      <c r="B68" s="8" t="n">
        <v>67</v>
      </c>
      <c r="C68" s="9" t="s">
        <v>452</v>
      </c>
      <c r="D68" s="9" t="s">
        <v>426</v>
      </c>
      <c r="E68" s="9" t="s">
        <v>48</v>
      </c>
      <c r="F68" s="9" t="s">
        <v>289</v>
      </c>
      <c r="G68" s="9" t="s">
        <v>77</v>
      </c>
      <c r="H68" s="9" t="s">
        <v>51</v>
      </c>
      <c r="I68" s="9" t="s">
        <v>51</v>
      </c>
      <c r="J68" s="9" t="s">
        <v>51</v>
      </c>
      <c r="K68" s="9" t="s">
        <v>51</v>
      </c>
      <c r="L68" s="9" t="s">
        <v>51</v>
      </c>
      <c r="M68" s="9" t="s">
        <v>51</v>
      </c>
      <c r="N68" s="9" t="s">
        <v>51</v>
      </c>
      <c r="O68" s="9" t="s">
        <v>51</v>
      </c>
      <c r="P68" s="9" t="n">
        <v>277727</v>
      </c>
      <c r="Q68" s="9" t="n">
        <v>221422</v>
      </c>
      <c r="R68" s="10" t="n">
        <f aca="false">(Q68/P68)*100</f>
        <v>79.7264940031038</v>
      </c>
      <c r="S68" s="9" t="n">
        <f aca="false">Y68-AD68</f>
        <v>3128</v>
      </c>
      <c r="T68" s="10" t="n">
        <f aca="false">(S68/Q68)*100</f>
        <v>1.4126870861974</v>
      </c>
      <c r="U68" s="10" t="n">
        <f aca="false">Z68+AE68</f>
        <v>91.5871051657017</v>
      </c>
      <c r="V68" s="9" t="s">
        <v>55</v>
      </c>
      <c r="W68" s="9" t="s">
        <v>68</v>
      </c>
      <c r="X68" s="9" t="s">
        <v>453</v>
      </c>
      <c r="Y68" s="9" t="n">
        <v>102961</v>
      </c>
      <c r="Z68" s="10" t="n">
        <f aca="false">(Y68/Q68)*100</f>
        <v>46.4998961259496</v>
      </c>
      <c r="AA68" s="9" t="s">
        <v>52</v>
      </c>
      <c r="AB68" s="9" t="s">
        <v>53</v>
      </c>
      <c r="AC68" s="9" t="s">
        <v>454</v>
      </c>
      <c r="AD68" s="9" t="n">
        <v>99833</v>
      </c>
      <c r="AE68" s="10" t="n">
        <f aca="false">(AD68/Q68)*100</f>
        <v>45.0872090397521</v>
      </c>
      <c r="AF68" s="9" t="s">
        <v>58</v>
      </c>
      <c r="AG68" s="9" t="s">
        <v>58</v>
      </c>
      <c r="AH68" s="9" t="s">
        <v>455</v>
      </c>
      <c r="AI68" s="9" t="n">
        <v>10491</v>
      </c>
      <c r="AJ68" s="10" t="n">
        <f aca="false">(AI68/Q68)*100</f>
        <v>4.7380115796985</v>
      </c>
      <c r="AK68" s="9" t="s">
        <v>71</v>
      </c>
      <c r="AL68" s="9" t="s">
        <v>72</v>
      </c>
      <c r="AM68" s="9" t="s">
        <v>456</v>
      </c>
      <c r="AN68" s="9" t="n">
        <v>2213</v>
      </c>
      <c r="AO68" s="10" t="n">
        <f aca="false">(AN68/Q68)*100</f>
        <v>0.999449015906279</v>
      </c>
      <c r="AP68" s="12" t="s">
        <v>60</v>
      </c>
      <c r="AQ68" s="9" t="s">
        <v>61</v>
      </c>
      <c r="AR68" s="9" t="s">
        <v>457</v>
      </c>
      <c r="AS68" s="9" t="n">
        <v>1861</v>
      </c>
      <c r="AT68" s="10" t="n">
        <f aca="false">(AS68/Q68)*100</f>
        <v>0.840476556078438</v>
      </c>
    </row>
    <row r="69" customFormat="false" ht="12.8" hidden="false" customHeight="false" outlineLevel="0" collapsed="false">
      <c r="A69" s="7" t="n">
        <v>2021</v>
      </c>
      <c r="B69" s="8" t="n">
        <v>68</v>
      </c>
      <c r="C69" s="9" t="s">
        <v>458</v>
      </c>
      <c r="D69" s="9" t="s">
        <v>426</v>
      </c>
      <c r="E69" s="9" t="s">
        <v>48</v>
      </c>
      <c r="F69" s="9" t="s">
        <v>289</v>
      </c>
      <c r="G69" s="9" t="s">
        <v>77</v>
      </c>
      <c r="H69" s="9" t="s">
        <v>51</v>
      </c>
      <c r="I69" s="9" t="s">
        <v>51</v>
      </c>
      <c r="J69" s="9" t="s">
        <v>51</v>
      </c>
      <c r="K69" s="9" t="s">
        <v>51</v>
      </c>
      <c r="L69" s="9" t="s">
        <v>53</v>
      </c>
      <c r="M69" s="9" t="s">
        <v>51</v>
      </c>
      <c r="N69" s="9" t="s">
        <v>53</v>
      </c>
      <c r="O69" s="9" t="s">
        <v>51</v>
      </c>
      <c r="P69" s="9" t="n">
        <v>259890</v>
      </c>
      <c r="Q69" s="9" t="n">
        <v>214460</v>
      </c>
      <c r="R69" s="10" t="n">
        <f aca="false">(Q69/P69)*100</f>
        <v>82.5195274924006</v>
      </c>
      <c r="S69" s="9" t="n">
        <f aca="false">Y69-AD69</f>
        <v>12271</v>
      </c>
      <c r="T69" s="10" t="n">
        <f aca="false">(S69/Q69)*100</f>
        <v>5.72181292548727</v>
      </c>
      <c r="U69" s="10" t="n">
        <f aca="false">Z69+AE69</f>
        <v>89.8298050918586</v>
      </c>
      <c r="V69" s="9" t="s">
        <v>52</v>
      </c>
      <c r="W69" s="9" t="s">
        <v>53</v>
      </c>
      <c r="X69" s="9" t="s">
        <v>459</v>
      </c>
      <c r="Y69" s="9" t="n">
        <v>102460</v>
      </c>
      <c r="Z69" s="10" t="n">
        <f aca="false">(Y69/Q69)*100</f>
        <v>47.775809008673</v>
      </c>
      <c r="AA69" s="9" t="s">
        <v>55</v>
      </c>
      <c r="AB69" s="9" t="s">
        <v>68</v>
      </c>
      <c r="AC69" s="9" t="s">
        <v>460</v>
      </c>
      <c r="AD69" s="9" t="n">
        <v>90189</v>
      </c>
      <c r="AE69" s="10" t="n">
        <f aca="false">(AD69/Q69)*100</f>
        <v>42.0539960831857</v>
      </c>
      <c r="AF69" s="9" t="s">
        <v>58</v>
      </c>
      <c r="AG69" s="9" t="s">
        <v>58</v>
      </c>
      <c r="AH69" s="9" t="s">
        <v>461</v>
      </c>
      <c r="AI69" s="9" t="n">
        <v>12192</v>
      </c>
      <c r="AJ69" s="10" t="n">
        <f aca="false">(AI69/Q69)*100</f>
        <v>5.6849762193416</v>
      </c>
      <c r="AK69" s="9" t="s">
        <v>71</v>
      </c>
      <c r="AL69" s="9" t="s">
        <v>72</v>
      </c>
      <c r="AM69" s="9" t="s">
        <v>462</v>
      </c>
      <c r="AN69" s="9" t="n">
        <v>2429</v>
      </c>
      <c r="AO69" s="10" t="n">
        <f aca="false">(AN69/Q69)*100</f>
        <v>1.13261214212441</v>
      </c>
      <c r="AP69" s="9" t="s">
        <v>63</v>
      </c>
      <c r="AQ69" s="9" t="s">
        <v>63</v>
      </c>
      <c r="AR69" s="9" t="s">
        <v>63</v>
      </c>
      <c r="AS69" s="9" t="n">
        <v>1895</v>
      </c>
      <c r="AT69" s="10" t="n">
        <f aca="false">(AS69/Q69)*100</f>
        <v>0.883614660076471</v>
      </c>
    </row>
    <row r="70" customFormat="false" ht="12.8" hidden="false" customHeight="false" outlineLevel="0" collapsed="false">
      <c r="A70" s="7" t="n">
        <v>2021</v>
      </c>
      <c r="B70" s="8" t="n">
        <v>69</v>
      </c>
      <c r="C70" s="9" t="s">
        <v>463</v>
      </c>
      <c r="D70" s="9" t="s">
        <v>426</v>
      </c>
      <c r="E70" s="9" t="s">
        <v>48</v>
      </c>
      <c r="F70" s="9" t="s">
        <v>289</v>
      </c>
      <c r="G70" s="9" t="s">
        <v>77</v>
      </c>
      <c r="H70" s="9" t="s">
        <v>65</v>
      </c>
      <c r="I70" s="9" t="s">
        <v>51</v>
      </c>
      <c r="J70" s="9" t="s">
        <v>51</v>
      </c>
      <c r="K70" s="9" t="s">
        <v>51</v>
      </c>
      <c r="L70" s="9" t="s">
        <v>51</v>
      </c>
      <c r="M70" s="9" t="s">
        <v>51</v>
      </c>
      <c r="N70" s="9" t="s">
        <v>51</v>
      </c>
      <c r="O70" s="9" t="s">
        <v>51</v>
      </c>
      <c r="P70" s="9" t="n">
        <v>240654</v>
      </c>
      <c r="Q70" s="9" t="n">
        <v>185974</v>
      </c>
      <c r="R70" s="10" t="n">
        <f aca="false">(Q70/P70)*100</f>
        <v>77.2785825292744</v>
      </c>
      <c r="S70" s="9" t="n">
        <f aca="false">Y70-AD70</f>
        <v>35953</v>
      </c>
      <c r="T70" s="10" t="n">
        <f aca="false">(S70/Q70)*100</f>
        <v>19.3322722531107</v>
      </c>
      <c r="U70" s="10" t="n">
        <f aca="false">Z70+AE70</f>
        <v>90.429307322529</v>
      </c>
      <c r="V70" s="9" t="s">
        <v>52</v>
      </c>
      <c r="W70" s="9" t="s">
        <v>53</v>
      </c>
      <c r="X70" s="9" t="s">
        <v>464</v>
      </c>
      <c r="Y70" s="9" t="n">
        <v>102064</v>
      </c>
      <c r="Z70" s="10" t="n">
        <f aca="false">(Y70/Q70)*100</f>
        <v>54.8807897878198</v>
      </c>
      <c r="AA70" s="9" t="s">
        <v>55</v>
      </c>
      <c r="AB70" s="9" t="s">
        <v>56</v>
      </c>
      <c r="AC70" s="9" t="s">
        <v>465</v>
      </c>
      <c r="AD70" s="9" t="n">
        <v>66111</v>
      </c>
      <c r="AE70" s="10" t="n">
        <f aca="false">(AD70/Q70)*100</f>
        <v>35.5485175347092</v>
      </c>
      <c r="AF70" s="9" t="s">
        <v>58</v>
      </c>
      <c r="AG70" s="9" t="s">
        <v>58</v>
      </c>
      <c r="AH70" s="9" t="s">
        <v>466</v>
      </c>
      <c r="AI70" s="9" t="n">
        <v>9284</v>
      </c>
      <c r="AJ70" s="10" t="n">
        <f aca="false">(AI70/Q70)*100</f>
        <v>4.99209566928711</v>
      </c>
      <c r="AK70" s="9" t="s">
        <v>63</v>
      </c>
      <c r="AL70" s="9" t="s">
        <v>63</v>
      </c>
      <c r="AM70" s="9" t="s">
        <v>63</v>
      </c>
      <c r="AN70" s="9" t="n">
        <v>1769</v>
      </c>
      <c r="AO70" s="10" t="n">
        <f aca="false">(AN70/Q70)*100</f>
        <v>0.951208233408971</v>
      </c>
      <c r="AP70" s="12" t="s">
        <v>60</v>
      </c>
      <c r="AQ70" s="9" t="s">
        <v>74</v>
      </c>
      <c r="AR70" s="9" t="s">
        <v>467</v>
      </c>
      <c r="AS70" s="9" t="n">
        <v>1728</v>
      </c>
      <c r="AT70" s="10" t="n">
        <f aca="false">(AS70/Q70)*100</f>
        <v>0.929162140944433</v>
      </c>
    </row>
    <row r="71" customFormat="false" ht="12.8" hidden="false" customHeight="false" outlineLevel="0" collapsed="false">
      <c r="A71" s="7" t="n">
        <v>2021</v>
      </c>
      <c r="B71" s="8" t="n">
        <v>70</v>
      </c>
      <c r="C71" s="9" t="s">
        <v>468</v>
      </c>
      <c r="D71" s="9" t="s">
        <v>469</v>
      </c>
      <c r="E71" s="9" t="s">
        <v>48</v>
      </c>
      <c r="F71" s="9" t="s">
        <v>470</v>
      </c>
      <c r="G71" s="9" t="s">
        <v>50</v>
      </c>
      <c r="H71" s="9" t="s">
        <v>51</v>
      </c>
      <c r="I71" s="9" t="s">
        <v>51</v>
      </c>
      <c r="J71" s="9" t="s">
        <v>51</v>
      </c>
      <c r="K71" s="9" t="s">
        <v>51</v>
      </c>
      <c r="L71" s="9" t="s">
        <v>53</v>
      </c>
      <c r="M71" s="9" t="s">
        <v>51</v>
      </c>
      <c r="N71" s="9" t="s">
        <v>53</v>
      </c>
      <c r="O71" s="9" t="s">
        <v>51</v>
      </c>
      <c r="P71" s="9" t="n">
        <v>261167</v>
      </c>
      <c r="Q71" s="9" t="n">
        <v>206880</v>
      </c>
      <c r="R71" s="10" t="n">
        <f aca="false">(Q71/P71)*100</f>
        <v>79.2136831988728</v>
      </c>
      <c r="S71" s="9" t="n">
        <f aca="false">Y71-AD71</f>
        <v>35803</v>
      </c>
      <c r="T71" s="10" t="n">
        <f aca="false">(S71/Q71)*100</f>
        <v>17.3061678267595</v>
      </c>
      <c r="U71" s="10" t="n">
        <f aca="false">Z71+AE71</f>
        <v>88.6731438515081</v>
      </c>
      <c r="V71" s="9" t="s">
        <v>52</v>
      </c>
      <c r="W71" s="9" t="s">
        <v>53</v>
      </c>
      <c r="X71" s="9" t="s">
        <v>471</v>
      </c>
      <c r="Y71" s="9" t="n">
        <v>109625</v>
      </c>
      <c r="Z71" s="10" t="n">
        <f aca="false">(Y71/Q71)*100</f>
        <v>52.9896558391338</v>
      </c>
      <c r="AA71" s="9" t="s">
        <v>55</v>
      </c>
      <c r="AB71" s="9" t="s">
        <v>56</v>
      </c>
      <c r="AC71" s="9" t="s">
        <v>472</v>
      </c>
      <c r="AD71" s="9" t="n">
        <v>73822</v>
      </c>
      <c r="AE71" s="10" t="n">
        <f aca="false">(AD71/Q71)*100</f>
        <v>35.6834880123743</v>
      </c>
      <c r="AF71" s="9" t="s">
        <v>58</v>
      </c>
      <c r="AG71" s="9" t="s">
        <v>58</v>
      </c>
      <c r="AH71" s="9" t="s">
        <v>473</v>
      </c>
      <c r="AI71" s="9" t="n">
        <v>9920</v>
      </c>
      <c r="AJ71" s="10" t="n">
        <f aca="false">(AI71/Q71)*100</f>
        <v>4.79505027068832</v>
      </c>
      <c r="AK71" s="9" t="s">
        <v>60</v>
      </c>
      <c r="AL71" s="9" t="s">
        <v>74</v>
      </c>
      <c r="AM71" s="9" t="s">
        <v>474</v>
      </c>
      <c r="AN71" s="9" t="n">
        <v>4811</v>
      </c>
      <c r="AO71" s="10" t="n">
        <f aca="false">(AN71/Q71)*100</f>
        <v>2.32550270688322</v>
      </c>
      <c r="AP71" s="9" t="s">
        <v>63</v>
      </c>
      <c r="AQ71" s="9" t="s">
        <v>63</v>
      </c>
      <c r="AR71" s="9" t="s">
        <v>63</v>
      </c>
      <c r="AS71" s="9" t="n">
        <v>2279</v>
      </c>
      <c r="AT71" s="10" t="n">
        <f aca="false">(AS71/Q71)*100</f>
        <v>1.10160479505027</v>
      </c>
    </row>
    <row r="72" customFormat="false" ht="12.8" hidden="false" customHeight="false" outlineLevel="0" collapsed="false">
      <c r="A72" s="7" t="n">
        <v>2021</v>
      </c>
      <c r="B72" s="8" t="n">
        <v>71</v>
      </c>
      <c r="C72" s="9" t="s">
        <v>475</v>
      </c>
      <c r="D72" s="9" t="s">
        <v>469</v>
      </c>
      <c r="E72" s="9" t="s">
        <v>48</v>
      </c>
      <c r="F72" s="9" t="s">
        <v>470</v>
      </c>
      <c r="G72" s="9" t="s">
        <v>50</v>
      </c>
      <c r="H72" s="9" t="s">
        <v>51</v>
      </c>
      <c r="I72" s="9" t="s">
        <v>51</v>
      </c>
      <c r="J72" s="9" t="s">
        <v>51</v>
      </c>
      <c r="K72" s="9" t="s">
        <v>51</v>
      </c>
      <c r="L72" s="9" t="s">
        <v>51</v>
      </c>
      <c r="M72" s="9" t="s">
        <v>51</v>
      </c>
      <c r="N72" s="9" t="s">
        <v>51</v>
      </c>
      <c r="O72" s="9" t="s">
        <v>51</v>
      </c>
      <c r="P72" s="9" t="n">
        <v>220324</v>
      </c>
      <c r="Q72" s="9" t="n">
        <v>176989</v>
      </c>
      <c r="R72" s="10" t="n">
        <f aca="false">(Q72/P72)*100</f>
        <v>80.3312394473594</v>
      </c>
      <c r="S72" s="9" t="n">
        <f aca="false">Y72-AD72</f>
        <v>2230</v>
      </c>
      <c r="T72" s="10" t="n">
        <f aca="false">(S72/Q72)*100</f>
        <v>1.2599653085785</v>
      </c>
      <c r="U72" s="10" t="n">
        <f aca="false">Z72+AE72</f>
        <v>90.3208673985389</v>
      </c>
      <c r="V72" s="9" t="s">
        <v>55</v>
      </c>
      <c r="W72" s="9" t="s">
        <v>56</v>
      </c>
      <c r="X72" s="9" t="s">
        <v>476</v>
      </c>
      <c r="Y72" s="9" t="n">
        <v>81044</v>
      </c>
      <c r="Z72" s="10" t="n">
        <f aca="false">(Y72/Q72)*100</f>
        <v>45.7904163535587</v>
      </c>
      <c r="AA72" s="9" t="s">
        <v>52</v>
      </c>
      <c r="AB72" s="9" t="s">
        <v>53</v>
      </c>
      <c r="AC72" s="9" t="s">
        <v>477</v>
      </c>
      <c r="AD72" s="9" t="n">
        <v>78814</v>
      </c>
      <c r="AE72" s="10" t="n">
        <f aca="false">(AD72/Q72)*100</f>
        <v>44.5304510449802</v>
      </c>
      <c r="AF72" s="9" t="s">
        <v>58</v>
      </c>
      <c r="AG72" s="9" t="s">
        <v>58</v>
      </c>
      <c r="AH72" s="9" t="s">
        <v>478</v>
      </c>
      <c r="AI72" s="9" t="n">
        <v>8340</v>
      </c>
      <c r="AJ72" s="10" t="n">
        <f aca="false">(AI72/Q72)*100</f>
        <v>4.71215725271062</v>
      </c>
      <c r="AK72" s="9" t="s">
        <v>60</v>
      </c>
      <c r="AL72" s="9" t="s">
        <v>61</v>
      </c>
      <c r="AM72" s="9" t="s">
        <v>479</v>
      </c>
      <c r="AN72" s="9" t="n">
        <v>3921</v>
      </c>
      <c r="AO72" s="10" t="n">
        <f aca="false">(AN72/Q72)*100</f>
        <v>2.21539191701179</v>
      </c>
      <c r="AP72" s="9" t="s">
        <v>63</v>
      </c>
      <c r="AQ72" s="9" t="s">
        <v>63</v>
      </c>
      <c r="AR72" s="9" t="s">
        <v>63</v>
      </c>
      <c r="AS72" s="9" t="n">
        <v>884</v>
      </c>
      <c r="AT72" s="10" t="n">
        <f aca="false">(AS72/Q72)*100</f>
        <v>0.499466068512732</v>
      </c>
    </row>
    <row r="73" customFormat="false" ht="12.8" hidden="false" customHeight="false" outlineLevel="0" collapsed="false">
      <c r="A73" s="7" t="n">
        <v>2021</v>
      </c>
      <c r="B73" s="8" t="n">
        <v>72</v>
      </c>
      <c r="C73" s="9" t="s">
        <v>480</v>
      </c>
      <c r="D73" s="9" t="s">
        <v>469</v>
      </c>
      <c r="E73" s="9" t="s">
        <v>48</v>
      </c>
      <c r="F73" s="9" t="s">
        <v>470</v>
      </c>
      <c r="G73" s="9" t="s">
        <v>77</v>
      </c>
      <c r="H73" s="9" t="s">
        <v>51</v>
      </c>
      <c r="I73" s="9" t="s">
        <v>51</v>
      </c>
      <c r="J73" s="9" t="s">
        <v>51</v>
      </c>
      <c r="K73" s="9" t="s">
        <v>51</v>
      </c>
      <c r="L73" s="9" t="s">
        <v>51</v>
      </c>
      <c r="M73" s="9" t="s">
        <v>51</v>
      </c>
      <c r="N73" s="9" t="s">
        <v>51</v>
      </c>
      <c r="O73" s="9" t="s">
        <v>51</v>
      </c>
      <c r="P73" s="9" t="n">
        <v>230570</v>
      </c>
      <c r="Q73" s="9" t="n">
        <v>182538</v>
      </c>
      <c r="R73" s="10" t="n">
        <f aca="false">(Q73/P73)*100</f>
        <v>79.1681485015397</v>
      </c>
      <c r="S73" s="9" t="n">
        <f aca="false">Y73-AD73</f>
        <v>9753</v>
      </c>
      <c r="T73" s="10" t="n">
        <f aca="false">(S73/Q73)*100</f>
        <v>5.34299707458173</v>
      </c>
      <c r="U73" s="10" t="n">
        <f aca="false">Z73+AE73</f>
        <v>90.1461613472263</v>
      </c>
      <c r="V73" s="9" t="s">
        <v>55</v>
      </c>
      <c r="W73" s="9" t="s">
        <v>68</v>
      </c>
      <c r="X73" s="9" t="s">
        <v>481</v>
      </c>
      <c r="Y73" s="9" t="n">
        <v>87152</v>
      </c>
      <c r="Z73" s="10" t="n">
        <f aca="false">(Y73/Q73)*100</f>
        <v>47.744579210904</v>
      </c>
      <c r="AA73" s="9" t="s">
        <v>52</v>
      </c>
      <c r="AB73" s="9" t="s">
        <v>53</v>
      </c>
      <c r="AC73" s="9" t="s">
        <v>482</v>
      </c>
      <c r="AD73" s="9" t="n">
        <v>77399</v>
      </c>
      <c r="AE73" s="10" t="n">
        <f aca="false">(AD73/Q73)*100</f>
        <v>42.4015821363223</v>
      </c>
      <c r="AF73" s="9" t="s">
        <v>58</v>
      </c>
      <c r="AG73" s="9" t="s">
        <v>58</v>
      </c>
      <c r="AH73" s="9" t="s">
        <v>483</v>
      </c>
      <c r="AI73" s="9" t="n">
        <v>9203</v>
      </c>
      <c r="AJ73" s="10" t="n">
        <f aca="false">(AI73/Q73)*100</f>
        <v>5.04168994948997</v>
      </c>
      <c r="AK73" s="9" t="s">
        <v>60</v>
      </c>
      <c r="AL73" s="9" t="s">
        <v>61</v>
      </c>
      <c r="AM73" s="9" t="s">
        <v>484</v>
      </c>
      <c r="AN73" s="9" t="n">
        <v>2701</v>
      </c>
      <c r="AO73" s="10" t="n">
        <f aca="false">(AN73/Q73)*100</f>
        <v>1.47969189976882</v>
      </c>
      <c r="AP73" s="9" t="s">
        <v>71</v>
      </c>
      <c r="AQ73" s="9" t="s">
        <v>72</v>
      </c>
      <c r="AR73" s="9" t="s">
        <v>485</v>
      </c>
      <c r="AS73" s="9" t="n">
        <v>2079</v>
      </c>
      <c r="AT73" s="10" t="n">
        <f aca="false">(AS73/Q73)*100</f>
        <v>1.13894093284686</v>
      </c>
    </row>
    <row r="74" customFormat="false" ht="12.8" hidden="false" customHeight="false" outlineLevel="0" collapsed="false">
      <c r="A74" s="7" t="n">
        <v>2021</v>
      </c>
      <c r="B74" s="8" t="n">
        <v>73</v>
      </c>
      <c r="C74" s="9" t="s">
        <v>486</v>
      </c>
      <c r="D74" s="9" t="s">
        <v>469</v>
      </c>
      <c r="E74" s="9" t="s">
        <v>48</v>
      </c>
      <c r="F74" s="9" t="s">
        <v>470</v>
      </c>
      <c r="G74" s="9" t="s">
        <v>50</v>
      </c>
      <c r="H74" s="9" t="s">
        <v>65</v>
      </c>
      <c r="I74" s="9" t="s">
        <v>51</v>
      </c>
      <c r="J74" s="9" t="s">
        <v>51</v>
      </c>
      <c r="K74" s="9" t="s">
        <v>51</v>
      </c>
      <c r="L74" s="9" t="s">
        <v>51</v>
      </c>
      <c r="M74" s="9" t="s">
        <v>68</v>
      </c>
      <c r="N74" s="9" t="s">
        <v>53</v>
      </c>
      <c r="O74" s="9" t="s">
        <v>51</v>
      </c>
      <c r="P74" s="9" t="n">
        <v>226608</v>
      </c>
      <c r="Q74" s="9" t="n">
        <v>182208</v>
      </c>
      <c r="R74" s="10" t="n">
        <f aca="false">(Q74/P74)*100</f>
        <v>80.4066934971404</v>
      </c>
      <c r="S74" s="9" t="n">
        <f aca="false">Y74-AD74</f>
        <v>21727</v>
      </c>
      <c r="T74" s="10" t="n">
        <f aca="false">(S74/Q74)*100</f>
        <v>11.9242843343871</v>
      </c>
      <c r="U74" s="10" t="n">
        <f aca="false">Z74+AE74</f>
        <v>89.2995916754478</v>
      </c>
      <c r="V74" s="9" t="s">
        <v>55</v>
      </c>
      <c r="W74" s="9" t="s">
        <v>68</v>
      </c>
      <c r="X74" s="9" t="s">
        <v>487</v>
      </c>
      <c r="Y74" s="9" t="n">
        <v>92219</v>
      </c>
      <c r="Z74" s="10" t="n">
        <f aca="false">(Y74/Q74)*100</f>
        <v>50.6119380049175</v>
      </c>
      <c r="AA74" s="9" t="s">
        <v>52</v>
      </c>
      <c r="AB74" s="9" t="s">
        <v>257</v>
      </c>
      <c r="AC74" s="9" t="s">
        <v>488</v>
      </c>
      <c r="AD74" s="9" t="n">
        <v>70492</v>
      </c>
      <c r="AE74" s="10" t="n">
        <f aca="false">(AD74/Q74)*100</f>
        <v>38.6876536705304</v>
      </c>
      <c r="AF74" s="9" t="s">
        <v>58</v>
      </c>
      <c r="AG74" s="9" t="s">
        <v>58</v>
      </c>
      <c r="AH74" s="9" t="s">
        <v>489</v>
      </c>
      <c r="AI74" s="9" t="n">
        <v>8587</v>
      </c>
      <c r="AJ74" s="10" t="n">
        <f aca="false">(AI74/Q74)*100</f>
        <v>4.71274587284861</v>
      </c>
      <c r="AK74" s="9" t="s">
        <v>60</v>
      </c>
      <c r="AL74" s="9" t="s">
        <v>61</v>
      </c>
      <c r="AM74" s="9" t="s">
        <v>490</v>
      </c>
      <c r="AN74" s="9" t="n">
        <v>5460</v>
      </c>
      <c r="AO74" s="10" t="n">
        <f aca="false">(AN74/Q74)*100</f>
        <v>2.99657534246575</v>
      </c>
      <c r="AP74" s="9" t="s">
        <v>71</v>
      </c>
      <c r="AQ74" s="9" t="s">
        <v>72</v>
      </c>
      <c r="AR74" s="9" t="s">
        <v>491</v>
      </c>
      <c r="AS74" s="9" t="n">
        <v>2500</v>
      </c>
      <c r="AT74" s="10" t="n">
        <f aca="false">(AS74/Q74)*100</f>
        <v>1.37205830698981</v>
      </c>
    </row>
    <row r="75" customFormat="false" ht="12.8" hidden="false" customHeight="false" outlineLevel="0" collapsed="false">
      <c r="A75" s="7" t="n">
        <v>2021</v>
      </c>
      <c r="B75" s="8" t="n">
        <v>74</v>
      </c>
      <c r="C75" s="9" t="s">
        <v>492</v>
      </c>
      <c r="D75" s="9" t="s">
        <v>469</v>
      </c>
      <c r="E75" s="9" t="s">
        <v>48</v>
      </c>
      <c r="F75" s="9" t="s">
        <v>470</v>
      </c>
      <c r="G75" s="9" t="s">
        <v>77</v>
      </c>
      <c r="H75" s="9" t="s">
        <v>51</v>
      </c>
      <c r="I75" s="9" t="s">
        <v>51</v>
      </c>
      <c r="J75" s="9" t="s">
        <v>51</v>
      </c>
      <c r="K75" s="9" t="s">
        <v>51</v>
      </c>
      <c r="L75" s="9" t="s">
        <v>53</v>
      </c>
      <c r="M75" s="9" t="s">
        <v>51</v>
      </c>
      <c r="N75" s="9" t="s">
        <v>51</v>
      </c>
      <c r="O75" s="9" t="s">
        <v>51</v>
      </c>
      <c r="P75" s="9" t="n">
        <v>262175</v>
      </c>
      <c r="Q75" s="9" t="n">
        <v>204860</v>
      </c>
      <c r="R75" s="10" t="n">
        <f aca="false">(Q75/P75)*100</f>
        <v>78.1386478497187</v>
      </c>
      <c r="S75" s="9" t="n">
        <f aca="false">Y75-AD75</f>
        <v>14868</v>
      </c>
      <c r="T75" s="10" t="n">
        <f aca="false">(S75/Q75)*100</f>
        <v>7.25763936346773</v>
      </c>
      <c r="U75" s="10" t="n">
        <f aca="false">Z75+AE75</f>
        <v>92.5871326759738</v>
      </c>
      <c r="V75" s="9" t="s">
        <v>52</v>
      </c>
      <c r="W75" s="9" t="s">
        <v>53</v>
      </c>
      <c r="X75" s="9" t="s">
        <v>493</v>
      </c>
      <c r="Y75" s="9" t="n">
        <v>102271</v>
      </c>
      <c r="Z75" s="10" t="n">
        <f aca="false">(Y75/Q75)*100</f>
        <v>49.9223860197208</v>
      </c>
      <c r="AA75" s="9" t="s">
        <v>55</v>
      </c>
      <c r="AB75" s="9" t="s">
        <v>68</v>
      </c>
      <c r="AC75" s="9" t="s">
        <v>494</v>
      </c>
      <c r="AD75" s="9" t="n">
        <v>87403</v>
      </c>
      <c r="AE75" s="10" t="n">
        <f aca="false">(AD75/Q75)*100</f>
        <v>42.6647466562531</v>
      </c>
      <c r="AF75" s="9" t="s">
        <v>58</v>
      </c>
      <c r="AG75" s="9" t="s">
        <v>58</v>
      </c>
      <c r="AH75" s="9" t="s">
        <v>495</v>
      </c>
      <c r="AI75" s="9" t="n">
        <v>6375</v>
      </c>
      <c r="AJ75" s="10" t="n">
        <f aca="false">(AI75/Q75)*100</f>
        <v>3.11188128477985</v>
      </c>
      <c r="AK75" s="9" t="s">
        <v>71</v>
      </c>
      <c r="AL75" s="9" t="s">
        <v>72</v>
      </c>
      <c r="AM75" s="9" t="s">
        <v>496</v>
      </c>
      <c r="AN75" s="9" t="n">
        <v>3242</v>
      </c>
      <c r="AO75" s="10" t="n">
        <f aca="false">(AN75/Q75)*100</f>
        <v>1.58254417651079</v>
      </c>
      <c r="AP75" s="12" t="s">
        <v>60</v>
      </c>
      <c r="AQ75" s="9" t="s">
        <v>74</v>
      </c>
      <c r="AR75" s="9" t="s">
        <v>497</v>
      </c>
      <c r="AS75" s="9" t="n">
        <v>1695</v>
      </c>
      <c r="AT75" s="10" t="n">
        <f aca="false">(AS75/Q75)*100</f>
        <v>0.827394318070878</v>
      </c>
    </row>
    <row r="76" customFormat="false" ht="12.8" hidden="false" customHeight="false" outlineLevel="0" collapsed="false">
      <c r="A76" s="7" t="n">
        <v>2021</v>
      </c>
      <c r="B76" s="8" t="n">
        <v>75</v>
      </c>
      <c r="C76" s="9" t="s">
        <v>498</v>
      </c>
      <c r="D76" s="9" t="s">
        <v>469</v>
      </c>
      <c r="E76" s="9" t="s">
        <v>48</v>
      </c>
      <c r="F76" s="9" t="s">
        <v>470</v>
      </c>
      <c r="G76" s="9" t="s">
        <v>50</v>
      </c>
      <c r="H76" s="9" t="s">
        <v>51</v>
      </c>
      <c r="I76" s="9" t="s">
        <v>51</v>
      </c>
      <c r="J76" s="9" t="s">
        <v>51</v>
      </c>
      <c r="K76" s="9" t="s">
        <v>51</v>
      </c>
      <c r="L76" s="9" t="s">
        <v>51</v>
      </c>
      <c r="M76" s="9" t="s">
        <v>51</v>
      </c>
      <c r="N76" s="9" t="s">
        <v>51</v>
      </c>
      <c r="O76" s="9" t="s">
        <v>51</v>
      </c>
      <c r="P76" s="9" t="n">
        <v>234841</v>
      </c>
      <c r="Q76" s="9" t="n">
        <v>193617</v>
      </c>
      <c r="R76" s="10" t="n">
        <f aca="false">(Q76/P76)*100</f>
        <v>82.4459953755946</v>
      </c>
      <c r="S76" s="9" t="n">
        <f aca="false">Y76-AD76</f>
        <v>9573</v>
      </c>
      <c r="T76" s="10" t="n">
        <f aca="false">(S76/Q76)*100</f>
        <v>4.94429724662607</v>
      </c>
      <c r="U76" s="10" t="n">
        <f aca="false">Z76+AE76</f>
        <v>91.8757133929355</v>
      </c>
      <c r="V76" s="9" t="s">
        <v>52</v>
      </c>
      <c r="W76" s="9" t="s">
        <v>53</v>
      </c>
      <c r="X76" s="9" t="s">
        <v>499</v>
      </c>
      <c r="Y76" s="9" t="n">
        <v>93730</v>
      </c>
      <c r="Z76" s="10" t="n">
        <f aca="false">(Y76/Q76)*100</f>
        <v>48.4100053197808</v>
      </c>
      <c r="AA76" s="9" t="s">
        <v>55</v>
      </c>
      <c r="AB76" s="9" t="s">
        <v>68</v>
      </c>
      <c r="AC76" s="9" t="s">
        <v>500</v>
      </c>
      <c r="AD76" s="9" t="n">
        <v>84157</v>
      </c>
      <c r="AE76" s="10" t="n">
        <f aca="false">(AD76/Q76)*100</f>
        <v>43.4657080731547</v>
      </c>
      <c r="AF76" s="9" t="s">
        <v>58</v>
      </c>
      <c r="AG76" s="9" t="s">
        <v>58</v>
      </c>
      <c r="AH76" s="9" t="s">
        <v>501</v>
      </c>
      <c r="AI76" s="9" t="n">
        <v>8216</v>
      </c>
      <c r="AJ76" s="10" t="n">
        <f aca="false">(AI76/Q76)*100</f>
        <v>4.24342903773946</v>
      </c>
      <c r="AK76" s="9" t="s">
        <v>60</v>
      </c>
      <c r="AL76" s="9" t="s">
        <v>74</v>
      </c>
      <c r="AM76" s="9" t="s">
        <v>502</v>
      </c>
      <c r="AN76" s="9" t="n">
        <v>3053</v>
      </c>
      <c r="AO76" s="10" t="n">
        <f aca="false">(AN76/Q76)*100</f>
        <v>1.57682434910158</v>
      </c>
      <c r="AP76" s="9" t="s">
        <v>63</v>
      </c>
      <c r="AQ76" s="9" t="s">
        <v>63</v>
      </c>
      <c r="AR76" s="9" t="s">
        <v>63</v>
      </c>
      <c r="AS76" s="9" t="n">
        <v>1122</v>
      </c>
      <c r="AT76" s="10" t="n">
        <f aca="false">(AS76/Q76)*100</f>
        <v>0.579494569175227</v>
      </c>
    </row>
    <row r="77" customFormat="false" ht="12.8" hidden="false" customHeight="false" outlineLevel="0" collapsed="false">
      <c r="A77" s="7" t="n">
        <v>2021</v>
      </c>
      <c r="B77" s="8" t="n">
        <v>76</v>
      </c>
      <c r="C77" s="9" t="s">
        <v>503</v>
      </c>
      <c r="D77" s="9" t="s">
        <v>469</v>
      </c>
      <c r="E77" s="9" t="s">
        <v>48</v>
      </c>
      <c r="F77" s="9" t="s">
        <v>470</v>
      </c>
      <c r="G77" s="9" t="s">
        <v>50</v>
      </c>
      <c r="H77" s="9" t="s">
        <v>51</v>
      </c>
      <c r="I77" s="9" t="s">
        <v>51</v>
      </c>
      <c r="J77" s="9" t="s">
        <v>51</v>
      </c>
      <c r="K77" s="9" t="s">
        <v>51</v>
      </c>
      <c r="L77" s="9" t="s">
        <v>51</v>
      </c>
      <c r="M77" s="9" t="s">
        <v>51</v>
      </c>
      <c r="N77" s="9" t="s">
        <v>51</v>
      </c>
      <c r="O77" s="9" t="s">
        <v>51</v>
      </c>
      <c r="P77" s="9" t="n">
        <v>254716</v>
      </c>
      <c r="Q77" s="9" t="n">
        <v>196217</v>
      </c>
      <c r="R77" s="10" t="n">
        <f aca="false">(Q77/P77)*100</f>
        <v>77.0336374628999</v>
      </c>
      <c r="S77" s="9" t="n">
        <f aca="false">Y77-AD77</f>
        <v>59680</v>
      </c>
      <c r="T77" s="10" t="n">
        <f aca="false">(S77/Q77)*100</f>
        <v>30.4153055036006</v>
      </c>
      <c r="U77" s="10" t="n">
        <f aca="false">Z77+AE77</f>
        <v>82.7043528338523</v>
      </c>
      <c r="V77" s="9" t="s">
        <v>52</v>
      </c>
      <c r="W77" s="9" t="s">
        <v>53</v>
      </c>
      <c r="X77" s="9" t="s">
        <v>504</v>
      </c>
      <c r="Y77" s="9" t="n">
        <v>110980</v>
      </c>
      <c r="Z77" s="10" t="n">
        <f aca="false">(Y77/Q77)*100</f>
        <v>56.5598291687265</v>
      </c>
      <c r="AA77" s="9" t="s">
        <v>55</v>
      </c>
      <c r="AB77" s="9" t="s">
        <v>171</v>
      </c>
      <c r="AC77" s="9" t="s">
        <v>505</v>
      </c>
      <c r="AD77" s="9" t="n">
        <v>51300</v>
      </c>
      <c r="AE77" s="10" t="n">
        <f aca="false">(AD77/Q77)*100</f>
        <v>26.1445236651259</v>
      </c>
      <c r="AF77" s="12" t="s">
        <v>60</v>
      </c>
      <c r="AG77" s="9" t="s">
        <v>61</v>
      </c>
      <c r="AH77" s="9" t="s">
        <v>506</v>
      </c>
      <c r="AI77" s="9" t="n">
        <v>13997</v>
      </c>
      <c r="AJ77" s="10" t="n">
        <f aca="false">(AI77/Q77)*100</f>
        <v>7.1334288058629</v>
      </c>
      <c r="AK77" s="9" t="s">
        <v>58</v>
      </c>
      <c r="AL77" s="9" t="s">
        <v>58</v>
      </c>
      <c r="AM77" s="9" t="s">
        <v>507</v>
      </c>
      <c r="AN77" s="9" t="n">
        <v>11620</v>
      </c>
      <c r="AO77" s="10" t="n">
        <f aca="false">(AN77/Q77)*100</f>
        <v>5.92201491206165</v>
      </c>
      <c r="AP77" s="9" t="s">
        <v>63</v>
      </c>
      <c r="AQ77" s="9" t="s">
        <v>63</v>
      </c>
      <c r="AR77" s="9" t="s">
        <v>63</v>
      </c>
      <c r="AS77" s="9" t="n">
        <v>2039</v>
      </c>
      <c r="AT77" s="10" t="n">
        <f aca="false">(AS77/Q77)*100</f>
        <v>1.03915562871719</v>
      </c>
    </row>
    <row r="78" customFormat="false" ht="12.8" hidden="false" customHeight="false" outlineLevel="0" collapsed="false">
      <c r="A78" s="7" t="n">
        <v>2021</v>
      </c>
      <c r="B78" s="8" t="n">
        <v>77</v>
      </c>
      <c r="C78" s="9" t="s">
        <v>508</v>
      </c>
      <c r="D78" s="9" t="s">
        <v>509</v>
      </c>
      <c r="E78" s="9" t="s">
        <v>48</v>
      </c>
      <c r="F78" s="9" t="s">
        <v>470</v>
      </c>
      <c r="G78" s="9" t="s">
        <v>50</v>
      </c>
      <c r="H78" s="9" t="s">
        <v>51</v>
      </c>
      <c r="I78" s="9" t="s">
        <v>51</v>
      </c>
      <c r="J78" s="9" t="s">
        <v>51</v>
      </c>
      <c r="K78" s="9" t="s">
        <v>51</v>
      </c>
      <c r="L78" s="9" t="s">
        <v>51</v>
      </c>
      <c r="M78" s="9" t="s">
        <v>51</v>
      </c>
      <c r="N78" s="9" t="s">
        <v>51</v>
      </c>
      <c r="O78" s="9" t="s">
        <v>51</v>
      </c>
      <c r="P78" s="9" t="n">
        <v>293464</v>
      </c>
      <c r="Q78" s="9" t="n">
        <v>244853</v>
      </c>
      <c r="R78" s="10" t="n">
        <f aca="false">(Q78/P78)*100</f>
        <v>83.4354469372734</v>
      </c>
      <c r="S78" s="9" t="n">
        <f aca="false">Y78-AD78</f>
        <v>5256</v>
      </c>
      <c r="T78" s="10" t="n">
        <f aca="false">(S78/Q78)*100</f>
        <v>2.14659407889632</v>
      </c>
      <c r="U78" s="10" t="n">
        <f aca="false">Z78+AE78</f>
        <v>92.1557015842159</v>
      </c>
      <c r="V78" s="9" t="s">
        <v>52</v>
      </c>
      <c r="W78" s="9" t="s">
        <v>53</v>
      </c>
      <c r="X78" s="9" t="s">
        <v>510</v>
      </c>
      <c r="Y78" s="9" t="n">
        <v>115451</v>
      </c>
      <c r="Z78" s="10" t="n">
        <f aca="false">(Y78/Q78)*100</f>
        <v>47.1511478315561</v>
      </c>
      <c r="AA78" s="9" t="s">
        <v>55</v>
      </c>
      <c r="AB78" s="9" t="s">
        <v>68</v>
      </c>
      <c r="AC78" s="9" t="s">
        <v>511</v>
      </c>
      <c r="AD78" s="9" t="n">
        <v>110195</v>
      </c>
      <c r="AE78" s="10" t="n">
        <f aca="false">(AD78/Q78)*100</f>
        <v>45.0045537526598</v>
      </c>
      <c r="AF78" s="9" t="s">
        <v>58</v>
      </c>
      <c r="AG78" s="9" t="s">
        <v>58</v>
      </c>
      <c r="AH78" s="9" t="s">
        <v>512</v>
      </c>
      <c r="AI78" s="9" t="n">
        <v>9000</v>
      </c>
      <c r="AJ78" s="10" t="n">
        <f aca="false">(AI78/Q78)*100</f>
        <v>3.67567479263068</v>
      </c>
      <c r="AK78" s="9" t="s">
        <v>60</v>
      </c>
      <c r="AL78" s="9" t="s">
        <v>74</v>
      </c>
      <c r="AM78" s="9" t="s">
        <v>513</v>
      </c>
      <c r="AN78" s="9" t="n">
        <v>2848</v>
      </c>
      <c r="AO78" s="10" t="n">
        <f aca="false">(AN78/Q78)*100</f>
        <v>1.16314686771246</v>
      </c>
      <c r="AP78" s="9" t="s">
        <v>63</v>
      </c>
      <c r="AQ78" s="9" t="s">
        <v>63</v>
      </c>
      <c r="AR78" s="9" t="s">
        <v>63</v>
      </c>
      <c r="AS78" s="9" t="n">
        <v>2280</v>
      </c>
      <c r="AT78" s="10" t="n">
        <f aca="false">(AS78/Q78)*100</f>
        <v>0.931170947466439</v>
      </c>
    </row>
    <row r="79" customFormat="false" ht="12.8" hidden="false" customHeight="false" outlineLevel="0" collapsed="false">
      <c r="A79" s="7" t="n">
        <v>2021</v>
      </c>
      <c r="B79" s="8" t="n">
        <v>78</v>
      </c>
      <c r="C79" s="9" t="s">
        <v>514</v>
      </c>
      <c r="D79" s="9" t="s">
        <v>509</v>
      </c>
      <c r="E79" s="9" t="s">
        <v>48</v>
      </c>
      <c r="F79" s="9" t="s">
        <v>470</v>
      </c>
      <c r="G79" s="9" t="s">
        <v>50</v>
      </c>
      <c r="H79" s="9" t="s">
        <v>51</v>
      </c>
      <c r="I79" s="9" t="s">
        <v>51</v>
      </c>
      <c r="J79" s="9" t="s">
        <v>51</v>
      </c>
      <c r="K79" s="9" t="s">
        <v>51</v>
      </c>
      <c r="L79" s="9" t="s">
        <v>51</v>
      </c>
      <c r="M79" s="9" t="s">
        <v>51</v>
      </c>
      <c r="N79" s="9" t="s">
        <v>51</v>
      </c>
      <c r="O79" s="9" t="s">
        <v>515</v>
      </c>
      <c r="P79" s="9" t="n">
        <v>268323</v>
      </c>
      <c r="Q79" s="9" t="n">
        <v>215106</v>
      </c>
      <c r="R79" s="10" t="n">
        <f aca="false">(Q79/P79)*100</f>
        <v>80.1668138773046</v>
      </c>
      <c r="S79" s="9" t="n">
        <f aca="false">Y79-AD79</f>
        <v>41728</v>
      </c>
      <c r="T79" s="10" t="n">
        <f aca="false">(S79/Q79)*100</f>
        <v>19.3988080295296</v>
      </c>
      <c r="U79" s="10" t="n">
        <f aca="false">Z79+AE79</f>
        <v>86.5136258402834</v>
      </c>
      <c r="V79" s="9" t="s">
        <v>52</v>
      </c>
      <c r="W79" s="9" t="s">
        <v>53</v>
      </c>
      <c r="X79" s="9" t="s">
        <v>516</v>
      </c>
      <c r="Y79" s="9" t="n">
        <v>113912</v>
      </c>
      <c r="Z79" s="10" t="n">
        <f aca="false">(Y79/Q79)*100</f>
        <v>52.9562169349065</v>
      </c>
      <c r="AA79" s="9" t="s">
        <v>55</v>
      </c>
      <c r="AB79" s="9" t="s">
        <v>68</v>
      </c>
      <c r="AC79" s="9" t="s">
        <v>517</v>
      </c>
      <c r="AD79" s="9" t="n">
        <v>72184</v>
      </c>
      <c r="AE79" s="10" t="n">
        <f aca="false">(AD79/Q79)*100</f>
        <v>33.5574089053769</v>
      </c>
      <c r="AF79" s="12" t="s">
        <v>58</v>
      </c>
      <c r="AG79" s="9" t="s">
        <v>58</v>
      </c>
      <c r="AH79" s="9" t="s">
        <v>518</v>
      </c>
      <c r="AI79" s="9" t="n">
        <v>12066</v>
      </c>
      <c r="AJ79" s="10" t="n">
        <f aca="false">(AI79/Q79)*100</f>
        <v>5.60932749435162</v>
      </c>
      <c r="AK79" s="9" t="s">
        <v>60</v>
      </c>
      <c r="AL79" s="9" t="s">
        <v>74</v>
      </c>
      <c r="AM79" s="9" t="s">
        <v>519</v>
      </c>
      <c r="AN79" s="9" t="n">
        <v>10387</v>
      </c>
      <c r="AO79" s="10" t="n">
        <f aca="false">(AN79/Q79)*100</f>
        <v>4.82878208883062</v>
      </c>
      <c r="AP79" s="9" t="s">
        <v>63</v>
      </c>
      <c r="AQ79" s="9" t="s">
        <v>63</v>
      </c>
      <c r="AR79" s="9" t="s">
        <v>63</v>
      </c>
      <c r="AS79" s="9" t="n">
        <v>2420</v>
      </c>
      <c r="AT79" s="10" t="n">
        <f aca="false">(AS79/Q79)*100</f>
        <v>1.12502673100704</v>
      </c>
    </row>
    <row r="80" customFormat="false" ht="12.8" hidden="false" customHeight="false" outlineLevel="0" collapsed="false">
      <c r="A80" s="7" t="n">
        <v>2021</v>
      </c>
      <c r="B80" s="8" t="n">
        <v>79</v>
      </c>
      <c r="C80" s="9" t="s">
        <v>520</v>
      </c>
      <c r="D80" s="9" t="s">
        <v>509</v>
      </c>
      <c r="E80" s="9" t="s">
        <v>48</v>
      </c>
      <c r="F80" s="9" t="s">
        <v>470</v>
      </c>
      <c r="G80" s="9" t="s">
        <v>50</v>
      </c>
      <c r="H80" s="9" t="s">
        <v>51</v>
      </c>
      <c r="I80" s="9" t="s">
        <v>51</v>
      </c>
      <c r="J80" s="9" t="s">
        <v>51</v>
      </c>
      <c r="K80" s="9" t="s">
        <v>51</v>
      </c>
      <c r="L80" s="9" t="s">
        <v>51</v>
      </c>
      <c r="M80" s="9" t="s">
        <v>51</v>
      </c>
      <c r="N80" s="9" t="s">
        <v>51</v>
      </c>
      <c r="O80" s="9" t="s">
        <v>51</v>
      </c>
      <c r="P80" s="9" t="n">
        <v>268594</v>
      </c>
      <c r="Q80" s="9" t="n">
        <v>215802</v>
      </c>
      <c r="R80" s="10" t="n">
        <f aca="false">(Q80/P80)*100</f>
        <v>80.3450561069868</v>
      </c>
      <c r="S80" s="9" t="n">
        <f aca="false">Y80-AD80</f>
        <v>45963</v>
      </c>
      <c r="T80" s="10" t="n">
        <f aca="false">(S80/Q80)*100</f>
        <v>21.2986904662607</v>
      </c>
      <c r="U80" s="10" t="n">
        <f aca="false">Z80+AE80</f>
        <v>91.0135216541089</v>
      </c>
      <c r="V80" s="9" t="s">
        <v>52</v>
      </c>
      <c r="W80" s="9" t="s">
        <v>53</v>
      </c>
      <c r="X80" s="9" t="s">
        <v>521</v>
      </c>
      <c r="Y80" s="9" t="n">
        <v>121186</v>
      </c>
      <c r="Z80" s="10" t="n">
        <f aca="false">(Y80/Q80)*100</f>
        <v>56.1561060601848</v>
      </c>
      <c r="AA80" s="9" t="s">
        <v>55</v>
      </c>
      <c r="AB80" s="9" t="s">
        <v>56</v>
      </c>
      <c r="AC80" s="9" t="s">
        <v>522</v>
      </c>
      <c r="AD80" s="9" t="n">
        <v>75223</v>
      </c>
      <c r="AE80" s="10" t="n">
        <f aca="false">(AD80/Q80)*100</f>
        <v>34.8574155939241</v>
      </c>
      <c r="AF80" s="9" t="s">
        <v>58</v>
      </c>
      <c r="AG80" s="9" t="s">
        <v>58</v>
      </c>
      <c r="AH80" s="9" t="s">
        <v>523</v>
      </c>
      <c r="AI80" s="9" t="n">
        <v>9873</v>
      </c>
      <c r="AJ80" s="10" t="n">
        <f aca="false">(AI80/Q80)*100</f>
        <v>4.5750271081825</v>
      </c>
      <c r="AK80" s="9" t="s">
        <v>197</v>
      </c>
      <c r="AL80" s="9" t="s">
        <v>197</v>
      </c>
      <c r="AM80" s="9" t="s">
        <v>524</v>
      </c>
      <c r="AN80" s="9" t="n">
        <v>2120</v>
      </c>
      <c r="AO80" s="10" t="n">
        <f aca="false">(AN80/Q80)*100</f>
        <v>0.982381998313269</v>
      </c>
      <c r="AP80" s="9" t="s">
        <v>197</v>
      </c>
      <c r="AQ80" s="9" t="s">
        <v>197</v>
      </c>
      <c r="AR80" s="9" t="s">
        <v>525</v>
      </c>
      <c r="AS80" s="9" t="n">
        <v>1156</v>
      </c>
      <c r="AT80" s="10" t="n">
        <f aca="false">(AS80/Q80)*100</f>
        <v>0.535676221721763</v>
      </c>
    </row>
    <row r="81" customFormat="false" ht="12.8" hidden="false" customHeight="false" outlineLevel="0" collapsed="false">
      <c r="A81" s="7" t="n">
        <v>2021</v>
      </c>
      <c r="B81" s="8" t="n">
        <v>80</v>
      </c>
      <c r="C81" s="9" t="s">
        <v>509</v>
      </c>
      <c r="D81" s="9" t="s">
        <v>509</v>
      </c>
      <c r="E81" s="9" t="s">
        <v>48</v>
      </c>
      <c r="F81" s="9" t="s">
        <v>470</v>
      </c>
      <c r="G81" s="9" t="s">
        <v>77</v>
      </c>
      <c r="H81" s="9" t="s">
        <v>65</v>
      </c>
      <c r="I81" s="9" t="s">
        <v>526</v>
      </c>
      <c r="J81" s="9" t="s">
        <v>51</v>
      </c>
      <c r="K81" s="9" t="s">
        <v>51</v>
      </c>
      <c r="L81" s="9" t="s">
        <v>51</v>
      </c>
      <c r="M81" s="9" t="s">
        <v>68</v>
      </c>
      <c r="N81" s="9" t="s">
        <v>51</v>
      </c>
      <c r="O81" s="9" t="s">
        <v>51</v>
      </c>
      <c r="P81" s="9" t="n">
        <v>286621</v>
      </c>
      <c r="Q81" s="9" t="n">
        <v>225858</v>
      </c>
      <c r="R81" s="10" t="n">
        <f aca="false">(Q81/P81)*100</f>
        <v>78.8002274780983</v>
      </c>
      <c r="S81" s="9" t="n">
        <f aca="false">Y81-AD81</f>
        <v>25891</v>
      </c>
      <c r="T81" s="10" t="n">
        <f aca="false">(S81/Q81)*100</f>
        <v>11.4633973558608</v>
      </c>
      <c r="U81" s="10" t="n">
        <f aca="false">Z81+AE81</f>
        <v>86.5123219013717</v>
      </c>
      <c r="V81" s="9" t="s">
        <v>55</v>
      </c>
      <c r="W81" s="9" t="s">
        <v>68</v>
      </c>
      <c r="X81" s="9" t="s">
        <v>527</v>
      </c>
      <c r="Y81" s="9" t="n">
        <v>110643</v>
      </c>
      <c r="Z81" s="10" t="n">
        <f aca="false">(Y81/Q81)*100</f>
        <v>48.9878596286162</v>
      </c>
      <c r="AA81" s="9" t="s">
        <v>52</v>
      </c>
      <c r="AB81" s="9" t="s">
        <v>66</v>
      </c>
      <c r="AC81" s="9" t="s">
        <v>528</v>
      </c>
      <c r="AD81" s="9" t="n">
        <v>84752</v>
      </c>
      <c r="AE81" s="10" t="n">
        <f aca="false">(AD81/Q81)*100</f>
        <v>37.5244622727555</v>
      </c>
      <c r="AF81" s="9" t="s">
        <v>58</v>
      </c>
      <c r="AG81" s="9" t="s">
        <v>58</v>
      </c>
      <c r="AH81" s="9" t="s">
        <v>529</v>
      </c>
      <c r="AI81" s="9" t="n">
        <v>16474</v>
      </c>
      <c r="AJ81" s="10" t="n">
        <f aca="false">(AI81/Q81)*100</f>
        <v>7.29396346376927</v>
      </c>
      <c r="AK81" s="9" t="s">
        <v>60</v>
      </c>
      <c r="AL81" s="9" t="s">
        <v>74</v>
      </c>
      <c r="AM81" s="9" t="s">
        <v>530</v>
      </c>
      <c r="AN81" s="9" t="n">
        <v>6571</v>
      </c>
      <c r="AO81" s="10" t="n">
        <f aca="false">(AN81/Q81)*100</f>
        <v>2.90935012264343</v>
      </c>
      <c r="AP81" s="9" t="s">
        <v>63</v>
      </c>
      <c r="AQ81" s="9" t="s">
        <v>63</v>
      </c>
      <c r="AR81" s="9" t="s">
        <v>63</v>
      </c>
      <c r="AS81" s="9" t="n">
        <v>1257</v>
      </c>
      <c r="AT81" s="10" t="n">
        <f aca="false">(AS81/Q81)*100</f>
        <v>0.556544377440693</v>
      </c>
    </row>
    <row r="82" customFormat="false" ht="12.8" hidden="false" customHeight="false" outlineLevel="0" collapsed="false">
      <c r="A82" s="7" t="n">
        <v>2021</v>
      </c>
      <c r="B82" s="8" t="n">
        <v>151</v>
      </c>
      <c r="C82" s="9" t="s">
        <v>531</v>
      </c>
      <c r="D82" s="9" t="s">
        <v>532</v>
      </c>
      <c r="E82" s="9" t="s">
        <v>48</v>
      </c>
      <c r="F82" s="9" t="s">
        <v>470</v>
      </c>
      <c r="G82" s="9" t="s">
        <v>50</v>
      </c>
      <c r="H82" s="9" t="s">
        <v>65</v>
      </c>
      <c r="I82" s="9" t="s">
        <v>51</v>
      </c>
      <c r="J82" s="9" t="s">
        <v>51</v>
      </c>
      <c r="K82" s="9" t="s">
        <v>51</v>
      </c>
      <c r="L82" s="9" t="s">
        <v>51</v>
      </c>
      <c r="M82" s="9" t="s">
        <v>51</v>
      </c>
      <c r="N82" s="9" t="s">
        <v>51</v>
      </c>
      <c r="O82" s="9" t="s">
        <v>51</v>
      </c>
      <c r="P82" s="9" t="n">
        <v>219415</v>
      </c>
      <c r="Q82" s="9" t="n">
        <v>168184</v>
      </c>
      <c r="R82" s="10" t="n">
        <f aca="false">(Q82/P82)*100</f>
        <v>76.6510949570449</v>
      </c>
      <c r="S82" s="9" t="n">
        <f aca="false">Y82-AD82</f>
        <v>21563</v>
      </c>
      <c r="T82" s="10" t="n">
        <f aca="false">(S82/Q82)*100</f>
        <v>12.8210769157589</v>
      </c>
      <c r="U82" s="10" t="n">
        <f aca="false">Z82+AE82</f>
        <v>86.7436854873234</v>
      </c>
      <c r="V82" s="9" t="s">
        <v>52</v>
      </c>
      <c r="W82" s="9" t="s">
        <v>53</v>
      </c>
      <c r="X82" s="9" t="s">
        <v>533</v>
      </c>
      <c r="Y82" s="9" t="n">
        <v>83726</v>
      </c>
      <c r="Z82" s="10" t="n">
        <f aca="false">(Y82/Q82)*100</f>
        <v>49.7823812015412</v>
      </c>
      <c r="AA82" s="9" t="s">
        <v>55</v>
      </c>
      <c r="AB82" s="9" t="s">
        <v>171</v>
      </c>
      <c r="AC82" s="9" t="s">
        <v>534</v>
      </c>
      <c r="AD82" s="9" t="n">
        <v>62163</v>
      </c>
      <c r="AE82" s="10" t="n">
        <f aca="false">(AD82/Q82)*100</f>
        <v>36.9613042857822</v>
      </c>
      <c r="AF82" s="9" t="s">
        <v>58</v>
      </c>
      <c r="AG82" s="9" t="s">
        <v>58</v>
      </c>
      <c r="AH82" s="9" t="s">
        <v>535</v>
      </c>
      <c r="AI82" s="9" t="n">
        <v>10591</v>
      </c>
      <c r="AJ82" s="10" t="n">
        <f aca="false">(AI82/Q82)*100</f>
        <v>6.29726965704229</v>
      </c>
      <c r="AK82" s="9" t="s">
        <v>60</v>
      </c>
      <c r="AL82" s="9" t="s">
        <v>61</v>
      </c>
      <c r="AM82" s="9" t="s">
        <v>536</v>
      </c>
      <c r="AN82" s="9" t="n">
        <v>4142</v>
      </c>
      <c r="AO82" s="10" t="n">
        <f aca="false">(AN82/Q82)*100</f>
        <v>2.46277886124721</v>
      </c>
      <c r="AP82" s="9" t="s">
        <v>71</v>
      </c>
      <c r="AQ82" s="9" t="s">
        <v>72</v>
      </c>
      <c r="AR82" s="9" t="s">
        <v>537</v>
      </c>
      <c r="AS82" s="9" t="n">
        <v>1745</v>
      </c>
      <c r="AT82" s="10" t="n">
        <f aca="false">(AS82/Q82)*100</f>
        <v>1.03755410740617</v>
      </c>
    </row>
    <row r="83" customFormat="false" ht="12.8" hidden="false" customHeight="false" outlineLevel="0" collapsed="false">
      <c r="A83" s="7" t="n">
        <v>2021</v>
      </c>
      <c r="B83" s="8" t="n">
        <v>152</v>
      </c>
      <c r="C83" s="9" t="s">
        <v>538</v>
      </c>
      <c r="D83" s="9" t="s">
        <v>532</v>
      </c>
      <c r="E83" s="9" t="s">
        <v>48</v>
      </c>
      <c r="F83" s="9" t="s">
        <v>470</v>
      </c>
      <c r="G83" s="9" t="s">
        <v>77</v>
      </c>
      <c r="H83" s="9" t="s">
        <v>51</v>
      </c>
      <c r="I83" s="9" t="s">
        <v>51</v>
      </c>
      <c r="J83" s="9" t="s">
        <v>61</v>
      </c>
      <c r="K83" s="9" t="s">
        <v>51</v>
      </c>
      <c r="L83" s="9" t="s">
        <v>51</v>
      </c>
      <c r="M83" s="9" t="s">
        <v>51</v>
      </c>
      <c r="N83" s="9" t="s">
        <v>51</v>
      </c>
      <c r="O83" s="9" t="s">
        <v>515</v>
      </c>
      <c r="P83" s="9" t="n">
        <v>252911</v>
      </c>
      <c r="Q83" s="9" t="n">
        <v>196734</v>
      </c>
      <c r="R83" s="10" t="n">
        <f aca="false">(Q83/P83)*100</f>
        <v>77.7878384095591</v>
      </c>
      <c r="S83" s="9" t="n">
        <f aca="false">Y83-AD83</f>
        <v>862</v>
      </c>
      <c r="T83" s="10" t="n">
        <f aca="false">(S83/Q83)*100</f>
        <v>0.438155072331168</v>
      </c>
      <c r="U83" s="10" t="n">
        <f aca="false">Z83+AE83</f>
        <v>77.9051917817967</v>
      </c>
      <c r="V83" s="9" t="s">
        <v>52</v>
      </c>
      <c r="W83" s="9" t="s">
        <v>66</v>
      </c>
      <c r="X83" s="9" t="s">
        <v>539</v>
      </c>
      <c r="Y83" s="9" t="n">
        <v>77064</v>
      </c>
      <c r="Z83" s="10" t="n">
        <f aca="false">(Y83/Q83)*100</f>
        <v>39.171673427064</v>
      </c>
      <c r="AA83" s="9" t="s">
        <v>55</v>
      </c>
      <c r="AB83" s="9" t="s">
        <v>56</v>
      </c>
      <c r="AC83" s="9" t="s">
        <v>540</v>
      </c>
      <c r="AD83" s="9" t="n">
        <v>76202</v>
      </c>
      <c r="AE83" s="10" t="n">
        <f aca="false">(AD83/Q83)*100</f>
        <v>38.7335183547328</v>
      </c>
      <c r="AF83" s="12" t="s">
        <v>60</v>
      </c>
      <c r="AG83" s="9" t="s">
        <v>61</v>
      </c>
      <c r="AH83" s="9" t="s">
        <v>541</v>
      </c>
      <c r="AI83" s="9" t="n">
        <v>25908</v>
      </c>
      <c r="AJ83" s="10" t="n">
        <f aca="false">(AI83/Q83)*100</f>
        <v>13.1690505962365</v>
      </c>
      <c r="AK83" s="9" t="s">
        <v>58</v>
      </c>
      <c r="AL83" s="9" t="s">
        <v>58</v>
      </c>
      <c r="AM83" s="9" t="s">
        <v>542</v>
      </c>
      <c r="AN83" s="9" t="n">
        <v>8642</v>
      </c>
      <c r="AO83" s="10" t="n">
        <f aca="false">(AN83/Q83)*100</f>
        <v>4.39273333536654</v>
      </c>
      <c r="AP83" s="9" t="s">
        <v>197</v>
      </c>
      <c r="AQ83" s="9" t="s">
        <v>197</v>
      </c>
      <c r="AR83" s="9" t="s">
        <v>543</v>
      </c>
      <c r="AS83" s="9" t="n">
        <v>891</v>
      </c>
      <c r="AT83" s="10" t="n">
        <f aca="false">(AS83/Q83)*100</f>
        <v>0.45289578822166</v>
      </c>
    </row>
    <row r="84" customFormat="false" ht="12.8" hidden="false" customHeight="false" outlineLevel="0" collapsed="false">
      <c r="A84" s="7" t="n">
        <v>2021</v>
      </c>
      <c r="B84" s="8" t="n">
        <v>153</v>
      </c>
      <c r="C84" s="9" t="s">
        <v>544</v>
      </c>
      <c r="D84" s="9" t="s">
        <v>532</v>
      </c>
      <c r="E84" s="9" t="s">
        <v>48</v>
      </c>
      <c r="F84" s="9" t="s">
        <v>470</v>
      </c>
      <c r="G84" s="9" t="s">
        <v>88</v>
      </c>
      <c r="H84" s="9" t="s">
        <v>51</v>
      </c>
      <c r="I84" s="9" t="s">
        <v>51</v>
      </c>
      <c r="J84" s="9" t="s">
        <v>51</v>
      </c>
      <c r="K84" s="9" t="s">
        <v>51</v>
      </c>
      <c r="L84" s="9" t="s">
        <v>51</v>
      </c>
      <c r="M84" s="9" t="s">
        <v>51</v>
      </c>
      <c r="N84" s="9" t="s">
        <v>51</v>
      </c>
      <c r="O84" s="9" t="s">
        <v>51</v>
      </c>
      <c r="P84" s="9" t="n">
        <v>218666</v>
      </c>
      <c r="Q84" s="9" t="n">
        <v>164130</v>
      </c>
      <c r="R84" s="10" t="n">
        <f aca="false">(Q84/P84)*100</f>
        <v>75.0596800600002</v>
      </c>
      <c r="S84" s="9" t="n">
        <f aca="false">Y84-AD84</f>
        <v>977</v>
      </c>
      <c r="T84" s="10" t="n">
        <f aca="false">(S84/Q84)*100</f>
        <v>0.595259854992993</v>
      </c>
      <c r="U84" s="10" t="n">
        <f aca="false">Z84+AE84</f>
        <v>91.0113934076647</v>
      </c>
      <c r="V84" s="9" t="s">
        <v>52</v>
      </c>
      <c r="W84" s="9" t="s">
        <v>53</v>
      </c>
      <c r="X84" s="9" t="s">
        <v>545</v>
      </c>
      <c r="Y84" s="9" t="n">
        <v>75177</v>
      </c>
      <c r="Z84" s="10" t="n">
        <f aca="false">(Y84/Q84)*100</f>
        <v>45.8033266313288</v>
      </c>
      <c r="AA84" s="9" t="s">
        <v>55</v>
      </c>
      <c r="AB84" s="9" t="s">
        <v>56</v>
      </c>
      <c r="AC84" s="9" t="s">
        <v>546</v>
      </c>
      <c r="AD84" s="9" t="n">
        <v>74200</v>
      </c>
      <c r="AE84" s="10" t="n">
        <f aca="false">(AD84/Q84)*100</f>
        <v>45.2080667763358</v>
      </c>
      <c r="AF84" s="9" t="s">
        <v>58</v>
      </c>
      <c r="AG84" s="9" t="s">
        <v>58</v>
      </c>
      <c r="AH84" s="9" t="s">
        <v>547</v>
      </c>
      <c r="AI84" s="9" t="n">
        <v>7785</v>
      </c>
      <c r="AJ84" s="10" t="n">
        <f aca="false">(AI84/Q84)*100</f>
        <v>4.74319137269238</v>
      </c>
      <c r="AK84" s="9" t="s">
        <v>60</v>
      </c>
      <c r="AL84" s="9" t="s">
        <v>74</v>
      </c>
      <c r="AM84" s="9" t="s">
        <v>548</v>
      </c>
      <c r="AN84" s="9" t="n">
        <v>2230</v>
      </c>
      <c r="AO84" s="10" t="n">
        <f aca="false">(AN84/Q84)*100</f>
        <v>1.35867909583866</v>
      </c>
      <c r="AP84" s="9" t="s">
        <v>63</v>
      </c>
      <c r="AQ84" s="9" t="s">
        <v>63</v>
      </c>
      <c r="AR84" s="9" t="s">
        <v>63</v>
      </c>
      <c r="AS84" s="9" t="n">
        <v>1171</v>
      </c>
      <c r="AT84" s="10" t="n">
        <f aca="false">(AS84/Q84)*100</f>
        <v>0.713458843599586</v>
      </c>
    </row>
    <row r="85" customFormat="false" ht="12.8" hidden="false" customHeight="false" outlineLevel="0" collapsed="false">
      <c r="A85" s="7" t="n">
        <v>2021</v>
      </c>
      <c r="B85" s="8" t="n">
        <v>154</v>
      </c>
      <c r="C85" s="9" t="s">
        <v>549</v>
      </c>
      <c r="D85" s="9" t="s">
        <v>532</v>
      </c>
      <c r="E85" s="9" t="s">
        <v>48</v>
      </c>
      <c r="F85" s="9" t="s">
        <v>470</v>
      </c>
      <c r="G85" s="9" t="s">
        <v>77</v>
      </c>
      <c r="H85" s="9" t="s">
        <v>51</v>
      </c>
      <c r="I85" s="9" t="s">
        <v>51</v>
      </c>
      <c r="J85" s="9" t="s">
        <v>51</v>
      </c>
      <c r="K85" s="22" t="s">
        <v>550</v>
      </c>
      <c r="L85" s="9" t="s">
        <v>68</v>
      </c>
      <c r="M85" s="9" t="s">
        <v>51</v>
      </c>
      <c r="N85" s="9" t="s">
        <v>51</v>
      </c>
      <c r="O85" s="9" t="s">
        <v>51</v>
      </c>
      <c r="P85" s="9" t="n">
        <v>245530</v>
      </c>
      <c r="Q85" s="9" t="n">
        <v>197049</v>
      </c>
      <c r="R85" s="10" t="n">
        <f aca="false">(Q85/P85)*100</f>
        <v>80.2545513786503</v>
      </c>
      <c r="S85" s="9" t="n">
        <f aca="false">Y85-AD85</f>
        <v>4697</v>
      </c>
      <c r="T85" s="10" t="n">
        <f aca="false">(S85/Q85)*100</f>
        <v>2.3836710665875</v>
      </c>
      <c r="U85" s="10" t="n">
        <f aca="false">Z85+AE85</f>
        <v>92.8220899370207</v>
      </c>
      <c r="V85" s="9" t="s">
        <v>52</v>
      </c>
      <c r="W85" s="23" t="s">
        <v>550</v>
      </c>
      <c r="X85" s="9" t="s">
        <v>551</v>
      </c>
      <c r="Y85" s="9" t="n">
        <v>93801</v>
      </c>
      <c r="Z85" s="10" t="n">
        <f aca="false">(Y85/Q85)*100</f>
        <v>47.6028805018041</v>
      </c>
      <c r="AA85" s="9" t="s">
        <v>55</v>
      </c>
      <c r="AB85" s="9" t="s">
        <v>68</v>
      </c>
      <c r="AC85" s="9" t="s">
        <v>552</v>
      </c>
      <c r="AD85" s="9" t="n">
        <v>89104</v>
      </c>
      <c r="AE85" s="10" t="n">
        <f aca="false">(AD85/Q85)*100</f>
        <v>45.2192094352166</v>
      </c>
      <c r="AF85" s="9" t="s">
        <v>58</v>
      </c>
      <c r="AG85" s="9" t="s">
        <v>58</v>
      </c>
      <c r="AH85" s="9" t="s">
        <v>553</v>
      </c>
      <c r="AI85" s="9" t="n">
        <v>6547</v>
      </c>
      <c r="AJ85" s="10" t="n">
        <f aca="false">(AI85/Q85)*100</f>
        <v>3.32252383924811</v>
      </c>
      <c r="AK85" s="9" t="s">
        <v>60</v>
      </c>
      <c r="AL85" s="9" t="s">
        <v>61</v>
      </c>
      <c r="AM85" s="9" t="s">
        <v>554</v>
      </c>
      <c r="AN85" s="9" t="n">
        <v>3362</v>
      </c>
      <c r="AO85" s="10" t="n">
        <f aca="false">(AN85/Q85)*100</f>
        <v>1.7061746063162</v>
      </c>
      <c r="AP85" s="9" t="s">
        <v>71</v>
      </c>
      <c r="AQ85" s="9" t="s">
        <v>72</v>
      </c>
      <c r="AR85" s="9" t="s">
        <v>555</v>
      </c>
      <c r="AS85" s="9" t="n">
        <v>1670</v>
      </c>
      <c r="AT85" s="10" t="n">
        <f aca="false">(AS85/Q85)*100</f>
        <v>0.847504935320656</v>
      </c>
    </row>
    <row r="86" customFormat="false" ht="12.8" hidden="false" customHeight="false" outlineLevel="0" collapsed="false">
      <c r="A86" s="7" t="n">
        <v>2021</v>
      </c>
      <c r="B86" s="8" t="n">
        <v>155</v>
      </c>
      <c r="C86" s="9" t="s">
        <v>532</v>
      </c>
      <c r="D86" s="9" t="s">
        <v>532</v>
      </c>
      <c r="E86" s="9" t="s">
        <v>48</v>
      </c>
      <c r="F86" s="9" t="s">
        <v>470</v>
      </c>
      <c r="G86" s="9" t="s">
        <v>88</v>
      </c>
      <c r="H86" s="9" t="s">
        <v>51</v>
      </c>
      <c r="I86" s="9" t="s">
        <v>51</v>
      </c>
      <c r="J86" s="9" t="s">
        <v>51</v>
      </c>
      <c r="K86" s="9" t="s">
        <v>51</v>
      </c>
      <c r="L86" s="9" t="s">
        <v>51</v>
      </c>
      <c r="M86" s="9" t="s">
        <v>51</v>
      </c>
      <c r="N86" s="9" t="s">
        <v>51</v>
      </c>
      <c r="O86" s="9" t="s">
        <v>51</v>
      </c>
      <c r="P86" s="9" t="n">
        <v>239474</v>
      </c>
      <c r="Q86" s="9" t="n">
        <v>182001</v>
      </c>
      <c r="R86" s="10" t="n">
        <f aca="false">(Q86/P86)*100</f>
        <v>76.0003173622189</v>
      </c>
      <c r="S86" s="9" t="n">
        <f aca="false">Y86-AD86</f>
        <v>5151</v>
      </c>
      <c r="T86" s="10" t="n">
        <f aca="false">(S86/Q86)*100</f>
        <v>2.83020422964709</v>
      </c>
      <c r="U86" s="10" t="n">
        <f aca="false">Z86+AE86</f>
        <v>90.0956588150615</v>
      </c>
      <c r="V86" s="9" t="s">
        <v>52</v>
      </c>
      <c r="W86" s="9" t="s">
        <v>53</v>
      </c>
      <c r="X86" s="9" t="s">
        <v>556</v>
      </c>
      <c r="Y86" s="9" t="n">
        <v>84563</v>
      </c>
      <c r="Z86" s="10" t="n">
        <f aca="false">(Y86/Q86)*100</f>
        <v>46.4629315223543</v>
      </c>
      <c r="AA86" s="9" t="s">
        <v>55</v>
      </c>
      <c r="AB86" s="9" t="s">
        <v>68</v>
      </c>
      <c r="AC86" s="9" t="s">
        <v>557</v>
      </c>
      <c r="AD86" s="9" t="n">
        <v>79412</v>
      </c>
      <c r="AE86" s="10" t="n">
        <f aca="false">(AD86/Q86)*100</f>
        <v>43.6327272927072</v>
      </c>
      <c r="AF86" s="9" t="s">
        <v>58</v>
      </c>
      <c r="AG86" s="9" t="s">
        <v>58</v>
      </c>
      <c r="AH86" s="9" t="s">
        <v>558</v>
      </c>
      <c r="AI86" s="9" t="n">
        <v>9563</v>
      </c>
      <c r="AJ86" s="10" t="n">
        <f aca="false">(AI86/Q86)*100</f>
        <v>5.25436673424871</v>
      </c>
      <c r="AK86" s="9" t="s">
        <v>71</v>
      </c>
      <c r="AL86" s="9" t="s">
        <v>72</v>
      </c>
      <c r="AM86" s="9" t="s">
        <v>559</v>
      </c>
      <c r="AN86" s="9" t="n">
        <v>4040</v>
      </c>
      <c r="AO86" s="10" t="n">
        <f aca="false">(AN86/Q86)*100</f>
        <v>2.21976802325262</v>
      </c>
      <c r="AP86" s="12" t="s">
        <v>60</v>
      </c>
      <c r="AQ86" s="9" t="s">
        <v>61</v>
      </c>
      <c r="AR86" s="9" t="s">
        <v>560</v>
      </c>
      <c r="AS86" s="9" t="n">
        <v>1499</v>
      </c>
      <c r="AT86" s="10" t="n">
        <f aca="false">(AS86/Q86)*100</f>
        <v>0.823621848231603</v>
      </c>
    </row>
    <row r="87" customFormat="false" ht="12.8" hidden="false" customHeight="false" outlineLevel="0" collapsed="false">
      <c r="A87" s="7" t="n">
        <v>2021</v>
      </c>
      <c r="B87" s="8" t="n">
        <v>156</v>
      </c>
      <c r="C87" s="9" t="s">
        <v>561</v>
      </c>
      <c r="D87" s="9" t="s">
        <v>532</v>
      </c>
      <c r="E87" s="9" t="s">
        <v>48</v>
      </c>
      <c r="F87" s="9" t="s">
        <v>470</v>
      </c>
      <c r="G87" s="9" t="s">
        <v>50</v>
      </c>
      <c r="H87" s="9" t="s">
        <v>51</v>
      </c>
      <c r="I87" s="9" t="s">
        <v>51</v>
      </c>
      <c r="J87" s="9" t="s">
        <v>51</v>
      </c>
      <c r="K87" s="9" t="s">
        <v>53</v>
      </c>
      <c r="L87" s="9" t="s">
        <v>51</v>
      </c>
      <c r="M87" s="9" t="s">
        <v>51</v>
      </c>
      <c r="N87" s="9" t="s">
        <v>51</v>
      </c>
      <c r="O87" s="9" t="s">
        <v>51</v>
      </c>
      <c r="P87" s="9" t="n">
        <v>243269</v>
      </c>
      <c r="Q87" s="9" t="n">
        <v>198781</v>
      </c>
      <c r="R87" s="10" t="n">
        <f aca="false">(Q87/P87)*100</f>
        <v>81.7124253398501</v>
      </c>
      <c r="S87" s="9" t="n">
        <f aca="false">Y87-AD87</f>
        <v>17527</v>
      </c>
      <c r="T87" s="10" t="n">
        <f aca="false">(S87/Q87)*100</f>
        <v>8.81724108440948</v>
      </c>
      <c r="U87" s="10" t="n">
        <f aca="false">Z87+AE87</f>
        <v>93.260925339947</v>
      </c>
      <c r="V87" s="9" t="s">
        <v>52</v>
      </c>
      <c r="W87" s="9" t="s">
        <v>53</v>
      </c>
      <c r="X87" s="9" t="s">
        <v>562</v>
      </c>
      <c r="Y87" s="9" t="n">
        <v>101456</v>
      </c>
      <c r="Z87" s="10" t="n">
        <f aca="false">(Y87/Q87)*100</f>
        <v>51.0390832121782</v>
      </c>
      <c r="AA87" s="9" t="s">
        <v>55</v>
      </c>
      <c r="AB87" s="9" t="s">
        <v>68</v>
      </c>
      <c r="AC87" s="9" t="s">
        <v>563</v>
      </c>
      <c r="AD87" s="9" t="n">
        <v>83929</v>
      </c>
      <c r="AE87" s="10" t="n">
        <f aca="false">(AD87/Q87)*100</f>
        <v>42.2218421277688</v>
      </c>
      <c r="AF87" s="9" t="s">
        <v>58</v>
      </c>
      <c r="AG87" s="9" t="s">
        <v>58</v>
      </c>
      <c r="AH87" s="9" t="s">
        <v>564</v>
      </c>
      <c r="AI87" s="9" t="n">
        <v>8512</v>
      </c>
      <c r="AJ87" s="10" t="n">
        <f aca="false">(AI87/Q87)*100</f>
        <v>4.28209939581751</v>
      </c>
      <c r="AK87" s="9" t="s">
        <v>63</v>
      </c>
      <c r="AL87" s="9" t="s">
        <v>63</v>
      </c>
      <c r="AM87" s="9" t="s">
        <v>63</v>
      </c>
      <c r="AN87" s="9" t="n">
        <v>1212</v>
      </c>
      <c r="AO87" s="10" t="n">
        <f aca="false">(AN87/Q87)*100</f>
        <v>0.609716220363113</v>
      </c>
      <c r="AP87" s="9" t="s">
        <v>71</v>
      </c>
      <c r="AQ87" s="15" t="s">
        <v>565</v>
      </c>
      <c r="AR87" s="9" t="s">
        <v>566</v>
      </c>
      <c r="AS87" s="9" t="n">
        <v>1189</v>
      </c>
      <c r="AT87" s="10" t="n">
        <f aca="false">(AS87/Q87)*100</f>
        <v>0.59814569802949</v>
      </c>
    </row>
    <row r="88" customFormat="false" ht="12.8" hidden="false" customHeight="false" outlineLevel="0" collapsed="false">
      <c r="A88" s="7" t="n">
        <v>2021</v>
      </c>
      <c r="B88" s="8" t="n">
        <v>157</v>
      </c>
      <c r="C88" s="9" t="s">
        <v>567</v>
      </c>
      <c r="D88" s="9" t="s">
        <v>532</v>
      </c>
      <c r="E88" s="9" t="s">
        <v>48</v>
      </c>
      <c r="F88" s="9" t="s">
        <v>470</v>
      </c>
      <c r="G88" s="9" t="s">
        <v>50</v>
      </c>
      <c r="H88" s="9" t="s">
        <v>51</v>
      </c>
      <c r="I88" s="9" t="s">
        <v>51</v>
      </c>
      <c r="J88" s="9" t="s">
        <v>51</v>
      </c>
      <c r="K88" s="9" t="s">
        <v>51</v>
      </c>
      <c r="L88" s="9" t="s">
        <v>51</v>
      </c>
      <c r="M88" s="9" t="s">
        <v>51</v>
      </c>
      <c r="N88" s="9" t="s">
        <v>51</v>
      </c>
      <c r="O88" s="9" t="s">
        <v>51</v>
      </c>
      <c r="P88" s="9" t="n">
        <v>248629</v>
      </c>
      <c r="Q88" s="9" t="n">
        <v>197165</v>
      </c>
      <c r="R88" s="10" t="n">
        <f aca="false">(Q88/P88)*100</f>
        <v>79.3008860591484</v>
      </c>
      <c r="S88" s="9" t="n">
        <f aca="false">Y88-AD88</f>
        <v>8259</v>
      </c>
      <c r="T88" s="10" t="n">
        <f aca="false">(S88/Q88)*100</f>
        <v>4.18887733624122</v>
      </c>
      <c r="U88" s="10" t="n">
        <f aca="false">Z88+AE88</f>
        <v>93.6510029670581</v>
      </c>
      <c r="V88" s="9" t="s">
        <v>55</v>
      </c>
      <c r="W88" s="9" t="s">
        <v>68</v>
      </c>
      <c r="X88" s="9" t="s">
        <v>568</v>
      </c>
      <c r="Y88" s="9" t="n">
        <v>96453</v>
      </c>
      <c r="Z88" s="10" t="n">
        <f aca="false">(Y88/Q88)*100</f>
        <v>48.9199401516496</v>
      </c>
      <c r="AA88" s="9" t="s">
        <v>52</v>
      </c>
      <c r="AB88" s="9" t="s">
        <v>53</v>
      </c>
      <c r="AC88" s="9" t="s">
        <v>569</v>
      </c>
      <c r="AD88" s="9" t="n">
        <v>88194</v>
      </c>
      <c r="AE88" s="10" t="n">
        <f aca="false">(AD88/Q88)*100</f>
        <v>44.7310628154084</v>
      </c>
      <c r="AF88" s="9" t="s">
        <v>58</v>
      </c>
      <c r="AG88" s="9" t="s">
        <v>58</v>
      </c>
      <c r="AH88" s="9" t="s">
        <v>570</v>
      </c>
      <c r="AI88" s="9" t="n">
        <v>6958</v>
      </c>
      <c r="AJ88" s="10" t="n">
        <f aca="false">(AI88/Q88)*100</f>
        <v>3.52902391398068</v>
      </c>
      <c r="AK88" s="9" t="s">
        <v>60</v>
      </c>
      <c r="AL88" s="12" t="s">
        <v>74</v>
      </c>
      <c r="AM88" s="9" t="s">
        <v>571</v>
      </c>
      <c r="AN88" s="9" t="n">
        <v>2470</v>
      </c>
      <c r="AO88" s="10" t="n">
        <f aca="false">(AN88/Q88)*100</f>
        <v>1.25275784241625</v>
      </c>
      <c r="AP88" s="9" t="s">
        <v>63</v>
      </c>
      <c r="AQ88" s="9" t="s">
        <v>63</v>
      </c>
      <c r="AR88" s="9" t="s">
        <v>63</v>
      </c>
      <c r="AS88" s="9" t="n">
        <v>1058</v>
      </c>
      <c r="AT88" s="10" t="n">
        <f aca="false">(AS88/Q88)*100</f>
        <v>0.536606395658459</v>
      </c>
    </row>
    <row r="89" customFormat="false" ht="12.8" hidden="false" customHeight="false" outlineLevel="0" collapsed="false">
      <c r="A89" s="7" t="n">
        <v>2021</v>
      </c>
      <c r="B89" s="8" t="n">
        <v>158</v>
      </c>
      <c r="C89" s="9" t="s">
        <v>572</v>
      </c>
      <c r="D89" s="9" t="s">
        <v>532</v>
      </c>
      <c r="E89" s="9" t="s">
        <v>48</v>
      </c>
      <c r="F89" s="9" t="s">
        <v>470</v>
      </c>
      <c r="G89" s="9" t="s">
        <v>77</v>
      </c>
      <c r="H89" s="9" t="s">
        <v>51</v>
      </c>
      <c r="I89" s="9" t="s">
        <v>51</v>
      </c>
      <c r="J89" s="9" t="s">
        <v>51</v>
      </c>
      <c r="K89" s="9" t="s">
        <v>51</v>
      </c>
      <c r="L89" s="9" t="s">
        <v>51</v>
      </c>
      <c r="M89" s="9" t="s">
        <v>51</v>
      </c>
      <c r="N89" s="9" t="s">
        <v>51</v>
      </c>
      <c r="O89" s="9" t="s">
        <v>51</v>
      </c>
      <c r="P89" s="9" t="n">
        <v>251100</v>
      </c>
      <c r="Q89" s="9" t="n">
        <v>183352</v>
      </c>
      <c r="R89" s="10" t="n">
        <f aca="false">(Q89/P89)*100</f>
        <v>73.0195141377937</v>
      </c>
      <c r="S89" s="9" t="n">
        <f aca="false">Y89-AD89</f>
        <v>16937</v>
      </c>
      <c r="T89" s="10" t="n">
        <f aca="false">(S89/Q89)*100</f>
        <v>9.23742309873904</v>
      </c>
      <c r="U89" s="10" t="n">
        <f aca="false">Z89+AE89</f>
        <v>91.0734543391946</v>
      </c>
      <c r="V89" s="9" t="s">
        <v>55</v>
      </c>
      <c r="W89" s="9" t="s">
        <v>68</v>
      </c>
      <c r="X89" s="9" t="s">
        <v>573</v>
      </c>
      <c r="Y89" s="9" t="n">
        <v>91961</v>
      </c>
      <c r="Z89" s="10" t="n">
        <f aca="false">(Y89/Q89)*100</f>
        <v>50.1554387189668</v>
      </c>
      <c r="AA89" s="9" t="s">
        <v>52</v>
      </c>
      <c r="AB89" s="19" t="s">
        <v>342</v>
      </c>
      <c r="AC89" s="9" t="s">
        <v>574</v>
      </c>
      <c r="AD89" s="9" t="n">
        <v>75024</v>
      </c>
      <c r="AE89" s="10" t="n">
        <f aca="false">(AD89/Q89)*100</f>
        <v>40.9180156202278</v>
      </c>
      <c r="AF89" s="9" t="s">
        <v>58</v>
      </c>
      <c r="AG89" s="9" t="s">
        <v>58</v>
      </c>
      <c r="AH89" s="9" t="s">
        <v>575</v>
      </c>
      <c r="AI89" s="9" t="n">
        <v>9071</v>
      </c>
      <c r="AJ89" s="10" t="n">
        <f aca="false">(AI89/Q89)*100</f>
        <v>4.94731445525547</v>
      </c>
      <c r="AK89" s="9" t="s">
        <v>71</v>
      </c>
      <c r="AL89" s="9" t="s">
        <v>72</v>
      </c>
      <c r="AM89" s="9" t="s">
        <v>576</v>
      </c>
      <c r="AN89" s="9" t="n">
        <v>2953</v>
      </c>
      <c r="AO89" s="10" t="n">
        <f aca="false">(AN89/Q89)*100</f>
        <v>1.61056328810158</v>
      </c>
      <c r="AP89" s="12" t="s">
        <v>60</v>
      </c>
      <c r="AQ89" s="9" t="s">
        <v>74</v>
      </c>
      <c r="AR89" s="9" t="s">
        <v>577</v>
      </c>
      <c r="AS89" s="9" t="n">
        <v>1388</v>
      </c>
      <c r="AT89" s="10" t="n">
        <f aca="false">(AS89/Q89)*100</f>
        <v>0.757013831318993</v>
      </c>
    </row>
    <row r="90" customFormat="false" ht="12.8" hidden="false" customHeight="false" outlineLevel="0" collapsed="false">
      <c r="A90" s="7" t="n">
        <v>2021</v>
      </c>
      <c r="B90" s="8" t="n">
        <v>159</v>
      </c>
      <c r="C90" s="9" t="s">
        <v>578</v>
      </c>
      <c r="D90" s="9" t="s">
        <v>532</v>
      </c>
      <c r="E90" s="9" t="s">
        <v>48</v>
      </c>
      <c r="F90" s="9" t="s">
        <v>470</v>
      </c>
      <c r="G90" s="9" t="s">
        <v>50</v>
      </c>
      <c r="H90" s="9" t="s">
        <v>65</v>
      </c>
      <c r="I90" s="9" t="s">
        <v>51</v>
      </c>
      <c r="J90" s="9" t="s">
        <v>51</v>
      </c>
      <c r="K90" s="9" t="s">
        <v>51</v>
      </c>
      <c r="L90" s="9" t="s">
        <v>51</v>
      </c>
      <c r="M90" s="9" t="s">
        <v>51</v>
      </c>
      <c r="N90" s="9" t="s">
        <v>51</v>
      </c>
      <c r="O90" s="9" t="s">
        <v>51</v>
      </c>
      <c r="P90" s="9" t="n">
        <v>229154</v>
      </c>
      <c r="Q90" s="9" t="n">
        <v>175561</v>
      </c>
      <c r="R90" s="10" t="n">
        <f aca="false">(Q90/P90)*100</f>
        <v>76.6126709549037</v>
      </c>
      <c r="S90" s="9" t="n">
        <f aca="false">Y90-AD90</f>
        <v>10565</v>
      </c>
      <c r="T90" s="10" t="n">
        <f aca="false">(S90/Q90)*100</f>
        <v>6.01785134511651</v>
      </c>
      <c r="U90" s="10" t="n">
        <f aca="false">Z90+AE90</f>
        <v>92.0175893279259</v>
      </c>
      <c r="V90" s="9" t="s">
        <v>52</v>
      </c>
      <c r="W90" s="9" t="s">
        <v>257</v>
      </c>
      <c r="X90" s="9" t="s">
        <v>579</v>
      </c>
      <c r="Y90" s="9" t="n">
        <v>86056</v>
      </c>
      <c r="Z90" s="10" t="n">
        <f aca="false">(Y90/Q90)*100</f>
        <v>49.0177203365212</v>
      </c>
      <c r="AA90" s="9" t="s">
        <v>55</v>
      </c>
      <c r="AB90" s="9" t="s">
        <v>68</v>
      </c>
      <c r="AC90" s="9" t="s">
        <v>580</v>
      </c>
      <c r="AD90" s="9" t="n">
        <v>75491</v>
      </c>
      <c r="AE90" s="10" t="n">
        <f aca="false">(AD90/Q90)*100</f>
        <v>42.9998689914047</v>
      </c>
      <c r="AF90" s="9" t="s">
        <v>58</v>
      </c>
      <c r="AG90" s="9" t="s">
        <v>58</v>
      </c>
      <c r="AH90" s="9" t="s">
        <v>581</v>
      </c>
      <c r="AI90" s="9" t="n">
        <v>6806</v>
      </c>
      <c r="AJ90" s="10" t="n">
        <f aca="false">(AI90/Q90)*100</f>
        <v>3.87671521579394</v>
      </c>
      <c r="AK90" s="9" t="s">
        <v>60</v>
      </c>
      <c r="AL90" s="9" t="s">
        <v>74</v>
      </c>
      <c r="AM90" s="9" t="s">
        <v>582</v>
      </c>
      <c r="AN90" s="9" t="n">
        <v>1904</v>
      </c>
      <c r="AO90" s="10" t="n">
        <f aca="false">(AN90/Q90)*100</f>
        <v>1.084523328074</v>
      </c>
      <c r="AP90" s="9" t="s">
        <v>71</v>
      </c>
      <c r="AQ90" s="9" t="s">
        <v>72</v>
      </c>
      <c r="AR90" s="9" t="s">
        <v>583</v>
      </c>
      <c r="AS90" s="9" t="n">
        <v>1415</v>
      </c>
      <c r="AT90" s="10" t="n">
        <f aca="false">(AS90/Q90)*100</f>
        <v>0.805987662407938</v>
      </c>
    </row>
    <row r="91" customFormat="false" ht="12.8" hidden="false" customHeight="false" outlineLevel="0" collapsed="false">
      <c r="A91" s="7" t="n">
        <v>2021</v>
      </c>
      <c r="B91" s="8" t="n">
        <v>81</v>
      </c>
      <c r="C91" s="9" t="s">
        <v>584</v>
      </c>
      <c r="D91" s="9" t="s">
        <v>585</v>
      </c>
      <c r="E91" s="9" t="s">
        <v>586</v>
      </c>
      <c r="F91" s="9" t="s">
        <v>365</v>
      </c>
      <c r="G91" s="9" t="s">
        <v>50</v>
      </c>
      <c r="H91" s="9" t="s">
        <v>65</v>
      </c>
      <c r="I91" s="9" t="s">
        <v>51</v>
      </c>
      <c r="J91" s="9" t="s">
        <v>51</v>
      </c>
      <c r="K91" s="9" t="s">
        <v>51</v>
      </c>
      <c r="L91" s="9" t="s">
        <v>51</v>
      </c>
      <c r="M91" s="9" t="s">
        <v>51</v>
      </c>
      <c r="N91" s="9" t="s">
        <v>51</v>
      </c>
      <c r="O91" s="9" t="s">
        <v>51</v>
      </c>
      <c r="P91" s="9" t="n">
        <v>239024</v>
      </c>
      <c r="Q91" s="9" t="n">
        <v>186503</v>
      </c>
      <c r="R91" s="10" t="n">
        <f aca="false">(Q91/P91)*100</f>
        <v>78.0268926969677</v>
      </c>
      <c r="S91" s="9" t="n">
        <f aca="false">Y91-AD91</f>
        <v>7361</v>
      </c>
      <c r="T91" s="10" t="n">
        <f aca="false">(S91/Q91)*100</f>
        <v>3.94685340182195</v>
      </c>
      <c r="U91" s="10" t="n">
        <f aca="false">Z91+AE91</f>
        <v>92.1030760899289</v>
      </c>
      <c r="V91" s="9" t="s">
        <v>55</v>
      </c>
      <c r="W91" s="9" t="s">
        <v>68</v>
      </c>
      <c r="X91" s="9" t="s">
        <v>359</v>
      </c>
      <c r="Y91" s="9" t="n">
        <v>89568</v>
      </c>
      <c r="Z91" s="10" t="n">
        <f aca="false">(Y91/Q91)*100</f>
        <v>48.0249647458754</v>
      </c>
      <c r="AA91" s="9" t="s">
        <v>52</v>
      </c>
      <c r="AB91" s="9" t="s">
        <v>53</v>
      </c>
      <c r="AC91" s="9" t="s">
        <v>587</v>
      </c>
      <c r="AD91" s="9" t="n">
        <v>82207</v>
      </c>
      <c r="AE91" s="10" t="n">
        <f aca="false">(AD91/Q91)*100</f>
        <v>44.0781113440535</v>
      </c>
      <c r="AF91" s="9" t="s">
        <v>58</v>
      </c>
      <c r="AG91" s="9" t="s">
        <v>58</v>
      </c>
      <c r="AH91" s="9" t="s">
        <v>588</v>
      </c>
      <c r="AI91" s="9" t="n">
        <v>9323</v>
      </c>
      <c r="AJ91" s="10" t="n">
        <f aca="false">(AI91/Q91)*100</f>
        <v>4.99884720353024</v>
      </c>
      <c r="AK91" s="9" t="s">
        <v>60</v>
      </c>
      <c r="AL91" s="9" t="s">
        <v>74</v>
      </c>
      <c r="AM91" s="9" t="s">
        <v>589</v>
      </c>
      <c r="AN91" s="9" t="n">
        <v>1519</v>
      </c>
      <c r="AO91" s="10" t="n">
        <f aca="false">(AN91/Q91)*100</f>
        <v>0.814464110496882</v>
      </c>
      <c r="AP91" s="9" t="s">
        <v>63</v>
      </c>
      <c r="AQ91" s="9" t="s">
        <v>63</v>
      </c>
      <c r="AR91" s="9" t="s">
        <v>63</v>
      </c>
      <c r="AS91" s="9" t="n">
        <v>1251</v>
      </c>
      <c r="AT91" s="10" t="n">
        <f aca="false">(AS91/Q91)*100</f>
        <v>0.670766690080052</v>
      </c>
    </row>
    <row r="92" customFormat="false" ht="12.8" hidden="false" customHeight="false" outlineLevel="0" collapsed="false">
      <c r="A92" s="7" t="n">
        <v>2021</v>
      </c>
      <c r="B92" s="8" t="n">
        <v>82</v>
      </c>
      <c r="C92" s="9" t="s">
        <v>590</v>
      </c>
      <c r="D92" s="9" t="s">
        <v>585</v>
      </c>
      <c r="E92" s="9" t="s">
        <v>586</v>
      </c>
      <c r="F92" s="9" t="s">
        <v>365</v>
      </c>
      <c r="G92" s="9" t="s">
        <v>77</v>
      </c>
      <c r="H92" s="9" t="s">
        <v>65</v>
      </c>
      <c r="I92" s="9" t="s">
        <v>51</v>
      </c>
      <c r="J92" s="9" t="s">
        <v>51</v>
      </c>
      <c r="K92" s="9" t="s">
        <v>51</v>
      </c>
      <c r="L92" s="9" t="s">
        <v>66</v>
      </c>
      <c r="M92" s="9" t="s">
        <v>68</v>
      </c>
      <c r="N92" s="9" t="s">
        <v>51</v>
      </c>
      <c r="O92" s="9" t="s">
        <v>51</v>
      </c>
      <c r="P92" s="9" t="n">
        <v>254705</v>
      </c>
      <c r="Q92" s="9" t="n">
        <v>199743</v>
      </c>
      <c r="R92" s="10" t="n">
        <f aca="false">(Q92/P92)*100</f>
        <v>78.4213109283289</v>
      </c>
      <c r="S92" s="9" t="n">
        <f aca="false">Y92-AD92</f>
        <v>8257</v>
      </c>
      <c r="T92" s="10" t="n">
        <f aca="false">(S92/Q92)*100</f>
        <v>4.13381194835363</v>
      </c>
      <c r="U92" s="10" t="n">
        <f aca="false">Z92+AE92</f>
        <v>91.2968164090857</v>
      </c>
      <c r="V92" s="9" t="s">
        <v>55</v>
      </c>
      <c r="W92" s="9" t="s">
        <v>68</v>
      </c>
      <c r="X92" s="9" t="s">
        <v>591</v>
      </c>
      <c r="Y92" s="9" t="n">
        <v>95308</v>
      </c>
      <c r="Z92" s="10" t="n">
        <f aca="false">(Y92/Q92)*100</f>
        <v>47.7153141787197</v>
      </c>
      <c r="AA92" s="9" t="s">
        <v>52</v>
      </c>
      <c r="AB92" s="9" t="s">
        <v>53</v>
      </c>
      <c r="AC92" s="9" t="s">
        <v>592</v>
      </c>
      <c r="AD92" s="9" t="n">
        <v>87051</v>
      </c>
      <c r="AE92" s="10" t="n">
        <f aca="false">(AD92/Q92)*100</f>
        <v>43.581502230366</v>
      </c>
      <c r="AF92" s="9" t="s">
        <v>58</v>
      </c>
      <c r="AG92" s="9" t="s">
        <v>58</v>
      </c>
      <c r="AH92" s="9" t="s">
        <v>593</v>
      </c>
      <c r="AI92" s="9" t="n">
        <v>10233</v>
      </c>
      <c r="AJ92" s="10" t="n">
        <f aca="false">(AI92/Q92)*100</f>
        <v>5.12308316186299</v>
      </c>
      <c r="AK92" s="9" t="s">
        <v>71</v>
      </c>
      <c r="AL92" s="9" t="s">
        <v>72</v>
      </c>
      <c r="AM92" s="9" t="s">
        <v>150</v>
      </c>
      <c r="AN92" s="9" t="n">
        <v>1959</v>
      </c>
      <c r="AO92" s="10" t="n">
        <f aca="false">(AN92/Q92)*100</f>
        <v>0.980760276955888</v>
      </c>
      <c r="AP92" s="9" t="s">
        <v>63</v>
      </c>
      <c r="AQ92" s="9" t="s">
        <v>63</v>
      </c>
      <c r="AR92" s="9" t="s">
        <v>63</v>
      </c>
      <c r="AS92" s="9" t="n">
        <v>1834</v>
      </c>
      <c r="AT92" s="10" t="n">
        <f aca="false">(AS92/Q92)*100</f>
        <v>0.918179861121541</v>
      </c>
    </row>
    <row r="93" customFormat="false" ht="12.8" hidden="false" customHeight="false" outlineLevel="0" collapsed="false">
      <c r="A93" s="7" t="n">
        <v>2021</v>
      </c>
      <c r="B93" s="8" t="n">
        <v>83</v>
      </c>
      <c r="C93" s="9" t="s">
        <v>594</v>
      </c>
      <c r="D93" s="9" t="s">
        <v>585</v>
      </c>
      <c r="E93" s="9" t="s">
        <v>586</v>
      </c>
      <c r="F93" s="9" t="s">
        <v>365</v>
      </c>
      <c r="G93" s="9" t="s">
        <v>50</v>
      </c>
      <c r="H93" s="9" t="s">
        <v>595</v>
      </c>
      <c r="I93" s="9" t="s">
        <v>316</v>
      </c>
      <c r="J93" s="9" t="s">
        <v>51</v>
      </c>
      <c r="K93" s="9" t="s">
        <v>51</v>
      </c>
      <c r="L93" s="9" t="s">
        <v>51</v>
      </c>
      <c r="M93" s="9" t="s">
        <v>68</v>
      </c>
      <c r="N93" s="9" t="s">
        <v>51</v>
      </c>
      <c r="O93" s="9" t="s">
        <v>51</v>
      </c>
      <c r="P93" s="9" t="n">
        <v>284029</v>
      </c>
      <c r="Q93" s="9" t="n">
        <v>238924</v>
      </c>
      <c r="R93" s="10" t="n">
        <f aca="false">(Q93/P93)*100</f>
        <v>84.1195793387295</v>
      </c>
      <c r="S93" s="9" t="n">
        <f aca="false">Y93-AD93</f>
        <v>25955</v>
      </c>
      <c r="T93" s="10" t="n">
        <f aca="false">(S93/Q93)*100</f>
        <v>10.8632870703655</v>
      </c>
      <c r="U93" s="10" t="n">
        <f aca="false">Z93+AE93</f>
        <v>90.8937570105975</v>
      </c>
      <c r="V93" s="9" t="s">
        <v>55</v>
      </c>
      <c r="W93" s="9" t="s">
        <v>68</v>
      </c>
      <c r="X93" s="9" t="s">
        <v>596</v>
      </c>
      <c r="Y93" s="9" t="n">
        <v>121561</v>
      </c>
      <c r="Z93" s="10" t="n">
        <f aca="false">(Y93/Q93)*100</f>
        <v>50.8785220404815</v>
      </c>
      <c r="AA93" s="9" t="s">
        <v>52</v>
      </c>
      <c r="AB93" s="9" t="s">
        <v>53</v>
      </c>
      <c r="AC93" s="9" t="s">
        <v>597</v>
      </c>
      <c r="AD93" s="9" t="n">
        <v>95606</v>
      </c>
      <c r="AE93" s="10" t="n">
        <f aca="false">(AD93/Q93)*100</f>
        <v>40.015234970116</v>
      </c>
      <c r="AF93" s="9" t="s">
        <v>58</v>
      </c>
      <c r="AG93" s="9" t="s">
        <v>58</v>
      </c>
      <c r="AH93" s="9" t="s">
        <v>598</v>
      </c>
      <c r="AI93" s="9" t="n">
        <v>13308</v>
      </c>
      <c r="AJ93" s="10" t="n">
        <f aca="false">(AI93/Q93)*100</f>
        <v>5.56997204131858</v>
      </c>
      <c r="AK93" s="9" t="s">
        <v>60</v>
      </c>
      <c r="AL93" s="9" t="s">
        <v>61</v>
      </c>
      <c r="AM93" s="9" t="s">
        <v>599</v>
      </c>
      <c r="AN93" s="9" t="n">
        <v>2986</v>
      </c>
      <c r="AO93" s="10" t="n">
        <f aca="false">(AN93/Q93)*100</f>
        <v>1.24976980127572</v>
      </c>
      <c r="AP93" s="9" t="s">
        <v>63</v>
      </c>
      <c r="AQ93" s="9" t="s">
        <v>63</v>
      </c>
      <c r="AR93" s="9" t="s">
        <v>63</v>
      </c>
      <c r="AS93" s="9" t="n">
        <v>1979</v>
      </c>
      <c r="AT93" s="10" t="n">
        <f aca="false">(AS93/Q93)*100</f>
        <v>0.828296864274832</v>
      </c>
    </row>
    <row r="94" customFormat="false" ht="12.8" hidden="false" customHeight="false" outlineLevel="0" collapsed="false">
      <c r="A94" s="7" t="n">
        <v>2021</v>
      </c>
      <c r="B94" s="8" t="n">
        <v>84</v>
      </c>
      <c r="C94" s="9" t="s">
        <v>600</v>
      </c>
      <c r="D94" s="9" t="s">
        <v>585</v>
      </c>
      <c r="E94" s="9" t="s">
        <v>586</v>
      </c>
      <c r="F94" s="9" t="s">
        <v>365</v>
      </c>
      <c r="G94" s="9" t="s">
        <v>77</v>
      </c>
      <c r="H94" s="9" t="s">
        <v>51</v>
      </c>
      <c r="I94" s="9" t="s">
        <v>51</v>
      </c>
      <c r="J94" s="9" t="s">
        <v>51</v>
      </c>
      <c r="K94" s="9" t="s">
        <v>51</v>
      </c>
      <c r="L94" s="9" t="s">
        <v>51</v>
      </c>
      <c r="M94" s="9" t="s">
        <v>68</v>
      </c>
      <c r="N94" s="9" t="s">
        <v>51</v>
      </c>
      <c r="O94" s="9" t="s">
        <v>51</v>
      </c>
      <c r="P94" s="9" t="n">
        <v>296192</v>
      </c>
      <c r="Q94" s="9" t="n">
        <v>249027</v>
      </c>
      <c r="R94" s="10" t="n">
        <f aca="false">(Q94/P94)*100</f>
        <v>84.0762073249784</v>
      </c>
      <c r="S94" s="9" t="n">
        <f aca="false">Y94-AD94</f>
        <v>55294</v>
      </c>
      <c r="T94" s="10" t="n">
        <f aca="false">(S94/Q94)*100</f>
        <v>22.2040180382047</v>
      </c>
      <c r="U94" s="10" t="n">
        <f aca="false">Z94+AE94</f>
        <v>92.231766033402</v>
      </c>
      <c r="V94" s="9" t="s">
        <v>55</v>
      </c>
      <c r="W94" s="9" t="s">
        <v>68</v>
      </c>
      <c r="X94" s="9" t="s">
        <v>601</v>
      </c>
      <c r="Y94" s="9" t="n">
        <v>142488</v>
      </c>
      <c r="Z94" s="10" t="n">
        <f aca="false">(Y94/Q94)*100</f>
        <v>57.2178920358033</v>
      </c>
      <c r="AA94" s="9" t="s">
        <v>52</v>
      </c>
      <c r="AB94" s="9" t="s">
        <v>66</v>
      </c>
      <c r="AC94" s="9" t="s">
        <v>602</v>
      </c>
      <c r="AD94" s="9" t="n">
        <v>87194</v>
      </c>
      <c r="AE94" s="10" t="n">
        <f aca="false">(AD94/Q94)*100</f>
        <v>35.0138739975987</v>
      </c>
      <c r="AF94" s="9" t="s">
        <v>58</v>
      </c>
      <c r="AG94" s="9" t="s">
        <v>58</v>
      </c>
      <c r="AH94" s="9" t="s">
        <v>603</v>
      </c>
      <c r="AI94" s="9" t="n">
        <v>9416</v>
      </c>
      <c r="AJ94" s="10" t="n">
        <f aca="false">(AI94/Q94)*100</f>
        <v>3.78111610387629</v>
      </c>
      <c r="AK94" s="9" t="s">
        <v>71</v>
      </c>
      <c r="AL94" s="9" t="s">
        <v>72</v>
      </c>
      <c r="AM94" s="9" t="s">
        <v>604</v>
      </c>
      <c r="AN94" s="9" t="n">
        <v>2930</v>
      </c>
      <c r="AO94" s="10" t="n">
        <f aca="false">(AN94/Q94)*100</f>
        <v>1.17657924642709</v>
      </c>
      <c r="AP94" s="9" t="s">
        <v>63</v>
      </c>
      <c r="AQ94" s="9" t="s">
        <v>63</v>
      </c>
      <c r="AR94" s="9" t="s">
        <v>63</v>
      </c>
      <c r="AS94" s="9" t="n">
        <v>1600</v>
      </c>
      <c r="AT94" s="10" t="n">
        <f aca="false">(AS94/Q94)*100</f>
        <v>0.642500612383396</v>
      </c>
    </row>
    <row r="95" customFormat="false" ht="12.8" hidden="false" customHeight="false" outlineLevel="0" collapsed="false">
      <c r="A95" s="7" t="n">
        <v>2021</v>
      </c>
      <c r="B95" s="8" t="n">
        <v>85</v>
      </c>
      <c r="C95" s="9" t="s">
        <v>605</v>
      </c>
      <c r="D95" s="9" t="s">
        <v>585</v>
      </c>
      <c r="E95" s="9" t="s">
        <v>586</v>
      </c>
      <c r="F95" s="9" t="s">
        <v>365</v>
      </c>
      <c r="G95" s="9" t="s">
        <v>50</v>
      </c>
      <c r="H95" s="9" t="s">
        <v>51</v>
      </c>
      <c r="I95" s="9" t="s">
        <v>51</v>
      </c>
      <c r="J95" s="9" t="s">
        <v>51</v>
      </c>
      <c r="K95" s="9" t="s">
        <v>51</v>
      </c>
      <c r="L95" s="9" t="s">
        <v>68</v>
      </c>
      <c r="M95" s="9" t="s">
        <v>51</v>
      </c>
      <c r="N95" s="9" t="s">
        <v>51</v>
      </c>
      <c r="O95" s="9" t="s">
        <v>51</v>
      </c>
      <c r="P95" s="9" t="n">
        <v>286849</v>
      </c>
      <c r="Q95" s="9" t="n">
        <v>218442</v>
      </c>
      <c r="R95" s="10" t="n">
        <f aca="false">(Q95/P95)*100</f>
        <v>76.1522612942698</v>
      </c>
      <c r="S95" s="9" t="n">
        <f aca="false">Y95-AD95</f>
        <v>656</v>
      </c>
      <c r="T95" s="10" t="n">
        <f aca="false">(S95/Q95)*100</f>
        <v>0.300308548722315</v>
      </c>
      <c r="U95" s="10" t="n">
        <f aca="false">Z95+AE95</f>
        <v>88.5608079032421</v>
      </c>
      <c r="V95" s="9" t="s">
        <v>55</v>
      </c>
      <c r="W95" s="9" t="s">
        <v>56</v>
      </c>
      <c r="X95" s="9" t="s">
        <v>606</v>
      </c>
      <c r="Y95" s="9" t="n">
        <v>97055</v>
      </c>
      <c r="Z95" s="10" t="n">
        <f aca="false">(Y95/Q95)*100</f>
        <v>44.4305582259822</v>
      </c>
      <c r="AA95" s="9" t="s">
        <v>52</v>
      </c>
      <c r="AB95" s="9" t="s">
        <v>53</v>
      </c>
      <c r="AC95" s="9" t="s">
        <v>607</v>
      </c>
      <c r="AD95" s="9" t="n">
        <v>96399</v>
      </c>
      <c r="AE95" s="10" t="n">
        <f aca="false">(AD95/Q95)*100</f>
        <v>44.1302496772599</v>
      </c>
      <c r="AF95" s="9" t="s">
        <v>58</v>
      </c>
      <c r="AG95" s="9" t="s">
        <v>58</v>
      </c>
      <c r="AH95" s="9" t="s">
        <v>608</v>
      </c>
      <c r="AI95" s="9" t="n">
        <v>9109</v>
      </c>
      <c r="AJ95" s="10" t="n">
        <f aca="false">(AI95/Q95)*100</f>
        <v>4.16998562547495</v>
      </c>
      <c r="AK95" s="9" t="s">
        <v>71</v>
      </c>
      <c r="AL95" s="9" t="s">
        <v>72</v>
      </c>
      <c r="AM95" s="9" t="s">
        <v>609</v>
      </c>
      <c r="AN95" s="9" t="n">
        <v>4605</v>
      </c>
      <c r="AO95" s="10" t="n">
        <f aca="false">(AN95/Q95)*100</f>
        <v>2.10811107754003</v>
      </c>
      <c r="AP95" s="9" t="s">
        <v>197</v>
      </c>
      <c r="AQ95" s="9" t="s">
        <v>197</v>
      </c>
      <c r="AR95" s="9" t="s">
        <v>610</v>
      </c>
      <c r="AS95" s="9" t="n">
        <v>2823</v>
      </c>
      <c r="AT95" s="10" t="n">
        <f aca="false">(AS95/Q95)*100</f>
        <v>1.29233389183399</v>
      </c>
    </row>
    <row r="96" customFormat="false" ht="12.8" hidden="false" customHeight="false" outlineLevel="0" collapsed="false">
      <c r="A96" s="7" t="n">
        <v>2021</v>
      </c>
      <c r="B96" s="8" t="n">
        <v>86</v>
      </c>
      <c r="C96" s="9" t="s">
        <v>611</v>
      </c>
      <c r="D96" s="9" t="s">
        <v>585</v>
      </c>
      <c r="E96" s="9" t="s">
        <v>586</v>
      </c>
      <c r="F96" s="9" t="s">
        <v>365</v>
      </c>
      <c r="G96" s="9" t="s">
        <v>77</v>
      </c>
      <c r="H96" s="9" t="s">
        <v>51</v>
      </c>
      <c r="I96" s="9" t="s">
        <v>51</v>
      </c>
      <c r="J96" s="9" t="s">
        <v>68</v>
      </c>
      <c r="K96" s="9" t="s">
        <v>68</v>
      </c>
      <c r="L96" s="9" t="s">
        <v>51</v>
      </c>
      <c r="M96" s="9" t="s">
        <v>68</v>
      </c>
      <c r="N96" s="9" t="s">
        <v>51</v>
      </c>
      <c r="O96" s="9" t="s">
        <v>51</v>
      </c>
      <c r="P96" s="9" t="n">
        <v>285298</v>
      </c>
      <c r="Q96" s="9" t="n">
        <v>247301</v>
      </c>
      <c r="R96" s="10" t="n">
        <f aca="false">(Q96/P96)*100</f>
        <v>86.6816451569937</v>
      </c>
      <c r="S96" s="9" t="n">
        <f aca="false">Y96-AD96</f>
        <v>93802</v>
      </c>
      <c r="T96" s="10" t="n">
        <f aca="false">(S96/Q96)*100</f>
        <v>37.930295469893</v>
      </c>
      <c r="U96" s="10" t="n">
        <f aca="false">Z96+AE96</f>
        <v>94.0174119797332</v>
      </c>
      <c r="V96" s="9" t="s">
        <v>55</v>
      </c>
      <c r="W96" s="9" t="s">
        <v>68</v>
      </c>
      <c r="X96" s="9" t="s">
        <v>612</v>
      </c>
      <c r="Y96" s="9" t="n">
        <v>163154</v>
      </c>
      <c r="Z96" s="10" t="n">
        <f aca="false">(Y96/Q96)*100</f>
        <v>65.9738537248131</v>
      </c>
      <c r="AA96" s="9" t="s">
        <v>52</v>
      </c>
      <c r="AB96" s="9" t="s">
        <v>53</v>
      </c>
      <c r="AC96" s="9" t="s">
        <v>613</v>
      </c>
      <c r="AD96" s="9" t="n">
        <v>69352</v>
      </c>
      <c r="AE96" s="10" t="n">
        <f aca="false">(AD96/Q96)*100</f>
        <v>28.0435582549201</v>
      </c>
      <c r="AF96" s="9" t="s">
        <v>58</v>
      </c>
      <c r="AG96" s="9" t="s">
        <v>58</v>
      </c>
      <c r="AH96" s="9" t="s">
        <v>614</v>
      </c>
      <c r="AI96" s="9" t="n">
        <v>6626</v>
      </c>
      <c r="AJ96" s="10" t="n">
        <f aca="false">(AI96/Q96)*100</f>
        <v>2.67932600353416</v>
      </c>
      <c r="AK96" s="9" t="s">
        <v>71</v>
      </c>
      <c r="AL96" s="9" t="s">
        <v>72</v>
      </c>
      <c r="AM96" s="9" t="s">
        <v>615</v>
      </c>
      <c r="AN96" s="9" t="n">
        <v>1547</v>
      </c>
      <c r="AO96" s="10" t="n">
        <f aca="false">(AN96/Q96)*100</f>
        <v>0.62555347531955</v>
      </c>
      <c r="AP96" s="9" t="s">
        <v>63</v>
      </c>
      <c r="AQ96" s="9" t="s">
        <v>63</v>
      </c>
      <c r="AR96" s="9" t="s">
        <v>63</v>
      </c>
      <c r="AS96" s="9" t="n">
        <v>1091</v>
      </c>
      <c r="AT96" s="10" t="n">
        <f aca="false">(AS96/Q96)*100</f>
        <v>0.441162793518829</v>
      </c>
    </row>
    <row r="97" customFormat="false" ht="12.8" hidden="false" customHeight="false" outlineLevel="0" collapsed="false">
      <c r="A97" s="7" t="n">
        <v>2021</v>
      </c>
      <c r="B97" s="8" t="n">
        <v>87</v>
      </c>
      <c r="C97" s="9" t="s">
        <v>616</v>
      </c>
      <c r="D97" s="9" t="s">
        <v>585</v>
      </c>
      <c r="E97" s="9" t="s">
        <v>586</v>
      </c>
      <c r="F97" s="9" t="s">
        <v>365</v>
      </c>
      <c r="G97" s="9" t="s">
        <v>50</v>
      </c>
      <c r="H97" s="9" t="s">
        <v>51</v>
      </c>
      <c r="I97" s="9" t="s">
        <v>51</v>
      </c>
      <c r="J97" s="9" t="s">
        <v>51</v>
      </c>
      <c r="K97" s="9" t="s">
        <v>51</v>
      </c>
      <c r="L97" s="9" t="s">
        <v>68</v>
      </c>
      <c r="M97" s="9" t="s">
        <v>68</v>
      </c>
      <c r="N97" s="9" t="s">
        <v>51</v>
      </c>
      <c r="O97" s="9" t="s">
        <v>51</v>
      </c>
      <c r="P97" s="9" t="n">
        <v>274307</v>
      </c>
      <c r="Q97" s="9" t="n">
        <v>232247</v>
      </c>
      <c r="R97" s="10" t="n">
        <f aca="false">(Q97/P97)*100</f>
        <v>84.6668149190506</v>
      </c>
      <c r="S97" s="9" t="n">
        <f aca="false">Y97-AD97</f>
        <v>20045</v>
      </c>
      <c r="T97" s="10" t="n">
        <f aca="false">(S97/Q97)*100</f>
        <v>8.63089727746752</v>
      </c>
      <c r="U97" s="10" t="n">
        <f aca="false">Z97+AE97</f>
        <v>90.808062106292</v>
      </c>
      <c r="V97" s="9" t="s">
        <v>55</v>
      </c>
      <c r="W97" s="9" t="s">
        <v>68</v>
      </c>
      <c r="X97" s="9" t="s">
        <v>617</v>
      </c>
      <c r="Y97" s="9" t="n">
        <v>115472</v>
      </c>
      <c r="Z97" s="10" t="n">
        <f aca="false">(Y97/Q97)*100</f>
        <v>49.7194796918798</v>
      </c>
      <c r="AA97" s="9" t="s">
        <v>52</v>
      </c>
      <c r="AB97" s="9" t="s">
        <v>53</v>
      </c>
      <c r="AC97" s="9" t="s">
        <v>618</v>
      </c>
      <c r="AD97" s="9" t="n">
        <v>95427</v>
      </c>
      <c r="AE97" s="10" t="n">
        <f aca="false">(AD97/Q97)*100</f>
        <v>41.0885824144122</v>
      </c>
      <c r="AF97" s="9" t="s">
        <v>58</v>
      </c>
      <c r="AG97" s="9" t="s">
        <v>58</v>
      </c>
      <c r="AH97" s="9" t="s">
        <v>619</v>
      </c>
      <c r="AI97" s="9" t="n">
        <v>10862</v>
      </c>
      <c r="AJ97" s="10" t="n">
        <f aca="false">(AI97/Q97)*100</f>
        <v>4.67691724758555</v>
      </c>
      <c r="AK97" s="9" t="s">
        <v>71</v>
      </c>
      <c r="AL97" s="9" t="s">
        <v>72</v>
      </c>
      <c r="AM97" s="9" t="s">
        <v>620</v>
      </c>
      <c r="AN97" s="9" t="n">
        <v>3175</v>
      </c>
      <c r="AO97" s="10" t="n">
        <f aca="false">(AN97/Q97)*100</f>
        <v>1.36707901501419</v>
      </c>
      <c r="AP97" s="9" t="s">
        <v>60</v>
      </c>
      <c r="AQ97" s="9" t="s">
        <v>74</v>
      </c>
      <c r="AR97" s="9" t="s">
        <v>621</v>
      </c>
      <c r="AS97" s="9" t="n">
        <v>1471</v>
      </c>
      <c r="AT97" s="10" t="n">
        <f aca="false">(AS97/Q97)*100</f>
        <v>0.633377395617597</v>
      </c>
    </row>
    <row r="98" customFormat="false" ht="12.8" hidden="false" customHeight="false" outlineLevel="0" collapsed="false">
      <c r="A98" s="7" t="n">
        <v>2021</v>
      </c>
      <c r="B98" s="8" t="n">
        <v>88</v>
      </c>
      <c r="C98" s="9" t="s">
        <v>622</v>
      </c>
      <c r="D98" s="9" t="s">
        <v>585</v>
      </c>
      <c r="E98" s="9" t="s">
        <v>586</v>
      </c>
      <c r="F98" s="9" t="s">
        <v>365</v>
      </c>
      <c r="G98" s="9" t="s">
        <v>88</v>
      </c>
      <c r="H98" s="9" t="s">
        <v>51</v>
      </c>
      <c r="I98" s="9" t="s">
        <v>51</v>
      </c>
      <c r="J98" s="9" t="s">
        <v>51</v>
      </c>
      <c r="K98" s="9" t="s">
        <v>51</v>
      </c>
      <c r="L98" s="9" t="s">
        <v>51</v>
      </c>
      <c r="M98" s="9" t="s">
        <v>51</v>
      </c>
      <c r="N98" s="9" t="s">
        <v>51</v>
      </c>
      <c r="O98" s="9" t="s">
        <v>51</v>
      </c>
      <c r="P98" s="9" t="n">
        <v>299693</v>
      </c>
      <c r="Q98" s="9" t="n">
        <v>216628</v>
      </c>
      <c r="R98" s="10" t="n">
        <f aca="false">(Q98/P98)*100</f>
        <v>72.2833032469894</v>
      </c>
      <c r="S98" s="9" t="n">
        <f aca="false">Y98-AD98</f>
        <v>21499</v>
      </c>
      <c r="T98" s="10" t="n">
        <f aca="false">(S98/Q98)*100</f>
        <v>9.92438650589951</v>
      </c>
      <c r="U98" s="10" t="n">
        <f aca="false">Z98+AE98</f>
        <v>87.4619162804439</v>
      </c>
      <c r="V98" s="9" t="s">
        <v>55</v>
      </c>
      <c r="W98" s="9" t="s">
        <v>56</v>
      </c>
      <c r="X98" s="9" t="s">
        <v>623</v>
      </c>
      <c r="Y98" s="9" t="n">
        <v>105483</v>
      </c>
      <c r="Z98" s="10" t="n">
        <f aca="false">(Y98/Q98)*100</f>
        <v>48.6931513931717</v>
      </c>
      <c r="AA98" s="9" t="s">
        <v>52</v>
      </c>
      <c r="AB98" s="9" t="s">
        <v>53</v>
      </c>
      <c r="AC98" s="9" t="s">
        <v>624</v>
      </c>
      <c r="AD98" s="9" t="n">
        <v>83984</v>
      </c>
      <c r="AE98" s="10" t="n">
        <f aca="false">(AD98/Q98)*100</f>
        <v>38.7687648872722</v>
      </c>
      <c r="AF98" s="9" t="s">
        <v>58</v>
      </c>
      <c r="AG98" s="9" t="s">
        <v>58</v>
      </c>
      <c r="AH98" s="9" t="s">
        <v>625</v>
      </c>
      <c r="AI98" s="9" t="n">
        <v>10668</v>
      </c>
      <c r="AJ98" s="10" t="n">
        <f aca="false">(AI98/Q98)*100</f>
        <v>4.92457115423676</v>
      </c>
      <c r="AK98" s="9" t="s">
        <v>71</v>
      </c>
      <c r="AL98" s="9" t="s">
        <v>72</v>
      </c>
      <c r="AM98" s="9" t="s">
        <v>626</v>
      </c>
      <c r="AN98" s="9" t="n">
        <v>7939</v>
      </c>
      <c r="AO98" s="10" t="n">
        <f aca="false">(AN98/Q98)*100</f>
        <v>3.6648078734051</v>
      </c>
      <c r="AP98" s="9" t="s">
        <v>60</v>
      </c>
      <c r="AQ98" s="9" t="s">
        <v>61</v>
      </c>
      <c r="AR98" s="9" t="s">
        <v>627</v>
      </c>
      <c r="AS98" s="9" t="n">
        <v>2307</v>
      </c>
      <c r="AT98" s="10" t="n">
        <f aca="false">(AS98/Q98)*100</f>
        <v>1.06495928504164</v>
      </c>
    </row>
    <row r="99" customFormat="false" ht="12.8" hidden="false" customHeight="false" outlineLevel="0" collapsed="false">
      <c r="A99" s="7" t="n">
        <v>2021</v>
      </c>
      <c r="B99" s="8" t="n">
        <v>89</v>
      </c>
      <c r="C99" s="9" t="s">
        <v>628</v>
      </c>
      <c r="D99" s="9" t="s">
        <v>585</v>
      </c>
      <c r="E99" s="9" t="s">
        <v>586</v>
      </c>
      <c r="F99" s="9" t="s">
        <v>365</v>
      </c>
      <c r="G99" s="9" t="s">
        <v>88</v>
      </c>
      <c r="H99" s="9" t="s">
        <v>51</v>
      </c>
      <c r="I99" s="9" t="s">
        <v>51</v>
      </c>
      <c r="J99" s="9" t="s">
        <v>51</v>
      </c>
      <c r="K99" s="9" t="s">
        <v>51</v>
      </c>
      <c r="L99" s="9" t="s">
        <v>51</v>
      </c>
      <c r="M99" s="9" t="s">
        <v>51</v>
      </c>
      <c r="N99" s="9" t="s">
        <v>51</v>
      </c>
      <c r="O99" s="9" t="s">
        <v>51</v>
      </c>
      <c r="P99" s="9" t="n">
        <v>276022</v>
      </c>
      <c r="Q99" s="9" t="n">
        <v>202376</v>
      </c>
      <c r="R99" s="10" t="n">
        <f aca="false">(Q99/P99)*100</f>
        <v>73.3187934295092</v>
      </c>
      <c r="S99" s="9" t="n">
        <f aca="false">Y99-AD99</f>
        <v>7588</v>
      </c>
      <c r="T99" s="10" t="n">
        <f aca="false">(S99/Q99)*100</f>
        <v>3.74945645728743</v>
      </c>
      <c r="U99" s="10" t="n">
        <f aca="false">Z99+AE99</f>
        <v>88.5856030359331</v>
      </c>
      <c r="V99" s="9" t="s">
        <v>52</v>
      </c>
      <c r="W99" s="9" t="s">
        <v>53</v>
      </c>
      <c r="X99" s="9" t="s">
        <v>552</v>
      </c>
      <c r="Y99" s="9" t="n">
        <v>93432</v>
      </c>
      <c r="Z99" s="10" t="n">
        <f aca="false">(Y99/Q99)*100</f>
        <v>46.1675297466103</v>
      </c>
      <c r="AA99" s="9" t="s">
        <v>55</v>
      </c>
      <c r="AB99" s="9" t="s">
        <v>68</v>
      </c>
      <c r="AC99" s="9" t="s">
        <v>629</v>
      </c>
      <c r="AD99" s="9" t="n">
        <v>85844</v>
      </c>
      <c r="AE99" s="10" t="n">
        <f aca="false">(AD99/Q99)*100</f>
        <v>42.4180732893228</v>
      </c>
      <c r="AF99" s="9" t="s">
        <v>71</v>
      </c>
      <c r="AG99" s="9" t="s">
        <v>72</v>
      </c>
      <c r="AH99" s="9" t="s">
        <v>630</v>
      </c>
      <c r="AI99" s="9" t="n">
        <v>10718</v>
      </c>
      <c r="AJ99" s="10" t="n">
        <f aca="false">(AI99/Q99)*100</f>
        <v>5.29608253943155</v>
      </c>
      <c r="AK99" s="9" t="s">
        <v>58</v>
      </c>
      <c r="AL99" s="9" t="s">
        <v>58</v>
      </c>
      <c r="AM99" s="9" t="s">
        <v>631</v>
      </c>
      <c r="AN99" s="9" t="n">
        <v>8155</v>
      </c>
      <c r="AO99" s="10" t="n">
        <f aca="false">(AN99/Q99)*100</f>
        <v>4.0296280191327</v>
      </c>
      <c r="AP99" s="9" t="s">
        <v>63</v>
      </c>
      <c r="AQ99" s="9" t="s">
        <v>63</v>
      </c>
      <c r="AR99" s="9" t="s">
        <v>63</v>
      </c>
      <c r="AS99" s="9" t="n">
        <v>1505</v>
      </c>
      <c r="AT99" s="10" t="n">
        <f aca="false">(AS99/Q99)*100</f>
        <v>0.743665256749812</v>
      </c>
    </row>
    <row r="100" customFormat="false" ht="12.8" hidden="false" customHeight="false" outlineLevel="0" collapsed="false">
      <c r="A100" s="7" t="n">
        <v>2021</v>
      </c>
      <c r="B100" s="8" t="n">
        <v>90</v>
      </c>
      <c r="C100" s="9" t="s">
        <v>632</v>
      </c>
      <c r="D100" s="9" t="s">
        <v>585</v>
      </c>
      <c r="E100" s="9" t="s">
        <v>586</v>
      </c>
      <c r="F100" s="9" t="s">
        <v>365</v>
      </c>
      <c r="G100" s="9" t="s">
        <v>88</v>
      </c>
      <c r="H100" s="9" t="s">
        <v>51</v>
      </c>
      <c r="I100" s="9" t="s">
        <v>51</v>
      </c>
      <c r="J100" s="9" t="s">
        <v>51</v>
      </c>
      <c r="K100" s="9" t="s">
        <v>51</v>
      </c>
      <c r="L100" s="9" t="s">
        <v>51</v>
      </c>
      <c r="M100" s="9" t="s">
        <v>68</v>
      </c>
      <c r="N100" s="9" t="s">
        <v>51</v>
      </c>
      <c r="O100" s="9" t="s">
        <v>51</v>
      </c>
      <c r="P100" s="9" t="n">
        <v>260403</v>
      </c>
      <c r="Q100" s="9" t="n">
        <v>199982</v>
      </c>
      <c r="R100" s="10" t="n">
        <f aca="false">(Q100/P100)*100</f>
        <v>76.7971183127691</v>
      </c>
      <c r="S100" s="9" t="n">
        <f aca="false">Y100-AD100</f>
        <v>22609</v>
      </c>
      <c r="T100" s="10" t="n">
        <f aca="false">(S100/Q100)*100</f>
        <v>11.3055174965747</v>
      </c>
      <c r="U100" s="10" t="n">
        <f aca="false">Z100+AE100</f>
        <v>86.209258833295</v>
      </c>
      <c r="V100" s="9" t="s">
        <v>55</v>
      </c>
      <c r="W100" s="9" t="s">
        <v>68</v>
      </c>
      <c r="X100" s="9" t="s">
        <v>633</v>
      </c>
      <c r="Y100" s="9" t="n">
        <v>97506</v>
      </c>
      <c r="Z100" s="10" t="n">
        <f aca="false">(Y100/Q100)*100</f>
        <v>48.7573881649348</v>
      </c>
      <c r="AA100" s="9" t="s">
        <v>52</v>
      </c>
      <c r="AB100" s="9" t="s">
        <v>53</v>
      </c>
      <c r="AC100" s="9" t="s">
        <v>634</v>
      </c>
      <c r="AD100" s="9" t="n">
        <v>74897</v>
      </c>
      <c r="AE100" s="10" t="n">
        <f aca="false">(AD100/Q100)*100</f>
        <v>37.4518706683602</v>
      </c>
      <c r="AF100" s="9" t="s">
        <v>71</v>
      </c>
      <c r="AG100" s="9" t="s">
        <v>72</v>
      </c>
      <c r="AH100" s="9" t="s">
        <v>635</v>
      </c>
      <c r="AI100" s="9" t="n">
        <v>10368</v>
      </c>
      <c r="AJ100" s="10" t="n">
        <f aca="false">(AI100/Q100)*100</f>
        <v>5.18446660199418</v>
      </c>
      <c r="AK100" s="9" t="s">
        <v>58</v>
      </c>
      <c r="AL100" s="9" t="s">
        <v>58</v>
      </c>
      <c r="AM100" s="9" t="s">
        <v>636</v>
      </c>
      <c r="AN100" s="9" t="n">
        <v>10176</v>
      </c>
      <c r="AO100" s="10" t="n">
        <f aca="false">(AN100/Q100)*100</f>
        <v>5.08845796121651</v>
      </c>
      <c r="AP100" s="9" t="s">
        <v>60</v>
      </c>
      <c r="AQ100" s="9" t="s">
        <v>74</v>
      </c>
      <c r="AR100" s="9" t="s">
        <v>637</v>
      </c>
      <c r="AS100" s="9" t="n">
        <v>2970</v>
      </c>
      <c r="AT100" s="10" t="n">
        <f aca="false">(AS100/Q100)*100</f>
        <v>1.48513366202958</v>
      </c>
    </row>
    <row r="101" customFormat="false" ht="12.8" hidden="false" customHeight="false" outlineLevel="0" collapsed="false">
      <c r="A101" s="7" t="n">
        <v>2021</v>
      </c>
      <c r="B101" s="8" t="n">
        <v>91</v>
      </c>
      <c r="C101" s="9" t="s">
        <v>638</v>
      </c>
      <c r="D101" s="9" t="s">
        <v>585</v>
      </c>
      <c r="E101" s="9" t="s">
        <v>586</v>
      </c>
      <c r="F101" s="9" t="s">
        <v>365</v>
      </c>
      <c r="G101" s="9" t="s">
        <v>50</v>
      </c>
      <c r="H101" s="9" t="s">
        <v>51</v>
      </c>
      <c r="I101" s="9" t="s">
        <v>51</v>
      </c>
      <c r="J101" s="9" t="s">
        <v>51</v>
      </c>
      <c r="K101" s="9" t="s">
        <v>51</v>
      </c>
      <c r="L101" s="9" t="s">
        <v>51</v>
      </c>
      <c r="M101" s="9" t="s">
        <v>68</v>
      </c>
      <c r="N101" s="9" t="s">
        <v>51</v>
      </c>
      <c r="O101" s="9" t="s">
        <v>51</v>
      </c>
      <c r="P101" s="9" t="n">
        <v>260064</v>
      </c>
      <c r="Q101" s="9" t="n">
        <v>223702</v>
      </c>
      <c r="R101" s="10" t="n">
        <f aca="false">(Q101/P101)*100</f>
        <v>86.0180570936385</v>
      </c>
      <c r="S101" s="9" t="n">
        <f aca="false">Y101-AD101</f>
        <v>19895</v>
      </c>
      <c r="T101" s="10" t="n">
        <f aca="false">(S101/Q101)*100</f>
        <v>8.89352799706753</v>
      </c>
      <c r="U101" s="10" t="n">
        <f aca="false">Z101+AE101</f>
        <v>90.9553781369858</v>
      </c>
      <c r="V101" s="9" t="s">
        <v>55</v>
      </c>
      <c r="W101" s="9" t="s">
        <v>68</v>
      </c>
      <c r="X101" s="9" t="s">
        <v>639</v>
      </c>
      <c r="Y101" s="9" t="n">
        <v>111682</v>
      </c>
      <c r="Z101" s="10" t="n">
        <f aca="false">(Y101/Q101)*100</f>
        <v>49.9244530670267</v>
      </c>
      <c r="AA101" s="9" t="s">
        <v>52</v>
      </c>
      <c r="AB101" s="9" t="s">
        <v>53</v>
      </c>
      <c r="AC101" s="9" t="s">
        <v>640</v>
      </c>
      <c r="AD101" s="9" t="n">
        <v>91787</v>
      </c>
      <c r="AE101" s="10" t="n">
        <f aca="false">(AD101/Q101)*100</f>
        <v>41.0309250699591</v>
      </c>
      <c r="AF101" s="9" t="s">
        <v>58</v>
      </c>
      <c r="AG101" s="9" t="s">
        <v>58</v>
      </c>
      <c r="AH101" s="9" t="s">
        <v>641</v>
      </c>
      <c r="AI101" s="9" t="n">
        <v>9806</v>
      </c>
      <c r="AJ101" s="10" t="n">
        <f aca="false">(AI101/Q101)*100</f>
        <v>4.3835102055413</v>
      </c>
      <c r="AK101" s="9" t="s">
        <v>60</v>
      </c>
      <c r="AL101" s="9" t="s">
        <v>74</v>
      </c>
      <c r="AM101" s="9" t="s">
        <v>642</v>
      </c>
      <c r="AN101" s="9" t="n">
        <v>4986</v>
      </c>
      <c r="AO101" s="10" t="n">
        <f aca="false">(AN101/Q101)*100</f>
        <v>2.22885803434927</v>
      </c>
      <c r="AP101" s="9" t="s">
        <v>63</v>
      </c>
      <c r="AQ101" s="9" t="s">
        <v>63</v>
      </c>
      <c r="AR101" s="9" t="s">
        <v>63</v>
      </c>
      <c r="AS101" s="9" t="n">
        <v>1409</v>
      </c>
      <c r="AT101" s="10" t="n">
        <f aca="false">(AS101/Q101)*100</f>
        <v>0.629855790292443</v>
      </c>
    </row>
    <row r="102" customFormat="false" ht="12.8" hidden="false" customHeight="false" outlineLevel="0" collapsed="false">
      <c r="A102" s="7" t="n">
        <v>2021</v>
      </c>
      <c r="B102" s="8" t="n">
        <v>92</v>
      </c>
      <c r="C102" s="9" t="s">
        <v>643</v>
      </c>
      <c r="D102" s="9" t="s">
        <v>644</v>
      </c>
      <c r="E102" s="9" t="s">
        <v>586</v>
      </c>
      <c r="F102" s="9" t="s">
        <v>645</v>
      </c>
      <c r="G102" s="9" t="s">
        <v>77</v>
      </c>
      <c r="H102" s="9" t="s">
        <v>65</v>
      </c>
      <c r="I102" s="9" t="s">
        <v>51</v>
      </c>
      <c r="J102" s="9" t="s">
        <v>51</v>
      </c>
      <c r="K102" s="9" t="s">
        <v>51</v>
      </c>
      <c r="L102" s="9" t="s">
        <v>51</v>
      </c>
      <c r="M102" s="9" t="s">
        <v>51</v>
      </c>
      <c r="N102" s="9" t="s">
        <v>51</v>
      </c>
      <c r="O102" s="9" t="s">
        <v>51</v>
      </c>
      <c r="P102" s="9" t="n">
        <v>236580</v>
      </c>
      <c r="Q102" s="9" t="n">
        <v>196904</v>
      </c>
      <c r="R102" s="10" t="n">
        <f aca="false">(Q102/P102)*100</f>
        <v>83.2293515935413</v>
      </c>
      <c r="S102" s="9" t="n">
        <f aca="false">Y102-AD102</f>
        <v>1952</v>
      </c>
      <c r="T102" s="10" t="n">
        <f aca="false">(S102/Q102)*100</f>
        <v>0.9913460366473</v>
      </c>
      <c r="U102" s="10" t="n">
        <f aca="false">Z102+AE102</f>
        <v>91.1621907122252</v>
      </c>
      <c r="V102" s="9" t="s">
        <v>52</v>
      </c>
      <c r="W102" s="9" t="s">
        <v>53</v>
      </c>
      <c r="X102" s="9" t="s">
        <v>646</v>
      </c>
      <c r="Y102" s="9" t="n">
        <v>90727</v>
      </c>
      <c r="Z102" s="10" t="n">
        <f aca="false">(Y102/Q102)*100</f>
        <v>46.0767683744363</v>
      </c>
      <c r="AA102" s="9" t="s">
        <v>55</v>
      </c>
      <c r="AB102" s="9" t="s">
        <v>68</v>
      </c>
      <c r="AC102" s="9" t="s">
        <v>647</v>
      </c>
      <c r="AD102" s="9" t="n">
        <v>88775</v>
      </c>
      <c r="AE102" s="10" t="n">
        <f aca="false">(AD102/Q102)*100</f>
        <v>45.085422337789</v>
      </c>
      <c r="AF102" s="9" t="s">
        <v>58</v>
      </c>
      <c r="AG102" s="9" t="s">
        <v>58</v>
      </c>
      <c r="AH102" s="9" t="s">
        <v>648</v>
      </c>
      <c r="AI102" s="9" t="n">
        <v>11295</v>
      </c>
      <c r="AJ102" s="10" t="n">
        <f aca="false">(AI102/Q102)*100</f>
        <v>5.73629789135823</v>
      </c>
      <c r="AK102" s="9" t="s">
        <v>63</v>
      </c>
      <c r="AL102" s="9" t="s">
        <v>63</v>
      </c>
      <c r="AM102" s="9" t="s">
        <v>63</v>
      </c>
      <c r="AN102" s="9" t="n">
        <v>2110</v>
      </c>
      <c r="AO102" s="10" t="n">
        <f aca="false">(AN102/Q102)*100</f>
        <v>1.07158818510543</v>
      </c>
      <c r="AP102" s="9" t="s">
        <v>71</v>
      </c>
      <c r="AQ102" s="15" t="s">
        <v>179</v>
      </c>
      <c r="AR102" s="9" t="s">
        <v>649</v>
      </c>
      <c r="AS102" s="9" t="n">
        <v>1133</v>
      </c>
      <c r="AT102" s="10" t="n">
        <f aca="false">(AS102/Q102)*100</f>
        <v>0.57540730508268</v>
      </c>
    </row>
    <row r="103" customFormat="false" ht="12.8" hidden="false" customHeight="false" outlineLevel="0" collapsed="false">
      <c r="A103" s="7" t="n">
        <v>2021</v>
      </c>
      <c r="B103" s="8" t="n">
        <v>93</v>
      </c>
      <c r="C103" s="9" t="s">
        <v>650</v>
      </c>
      <c r="D103" s="9" t="s">
        <v>644</v>
      </c>
      <c r="E103" s="9" t="s">
        <v>586</v>
      </c>
      <c r="F103" s="9" t="s">
        <v>645</v>
      </c>
      <c r="G103" s="9" t="s">
        <v>50</v>
      </c>
      <c r="H103" s="9" t="s">
        <v>595</v>
      </c>
      <c r="I103" s="9" t="s">
        <v>51</v>
      </c>
      <c r="J103" s="9" t="s">
        <v>51</v>
      </c>
      <c r="K103" s="9" t="s">
        <v>51</v>
      </c>
      <c r="L103" s="9" t="s">
        <v>51</v>
      </c>
      <c r="M103" s="9" t="s">
        <v>51</v>
      </c>
      <c r="N103" s="9" t="s">
        <v>68</v>
      </c>
      <c r="O103" s="9" t="s">
        <v>51</v>
      </c>
      <c r="P103" s="9" t="n">
        <v>243556</v>
      </c>
      <c r="Q103" s="9" t="n">
        <v>199235</v>
      </c>
      <c r="R103" s="10" t="n">
        <f aca="false">(Q103/P103)*100</f>
        <v>81.8025423311271</v>
      </c>
      <c r="S103" s="9" t="n">
        <f aca="false">Y103-AD103</f>
        <v>10493</v>
      </c>
      <c r="T103" s="10" t="n">
        <f aca="false">(S103/Q103)*100</f>
        <v>5.26664491680679</v>
      </c>
      <c r="U103" s="10" t="n">
        <f aca="false">Z103+AE103</f>
        <v>85.762541722087</v>
      </c>
      <c r="V103" s="9" t="s">
        <v>52</v>
      </c>
      <c r="W103" s="9" t="s">
        <v>53</v>
      </c>
      <c r="X103" s="9" t="s">
        <v>651</v>
      </c>
      <c r="Y103" s="9" t="n">
        <v>90681</v>
      </c>
      <c r="Z103" s="10" t="n">
        <f aca="false">(Y103/Q103)*100</f>
        <v>45.5145933194469</v>
      </c>
      <c r="AA103" s="9" t="s">
        <v>55</v>
      </c>
      <c r="AB103" s="9" t="s">
        <v>68</v>
      </c>
      <c r="AC103" s="9" t="s">
        <v>78</v>
      </c>
      <c r="AD103" s="9" t="n">
        <v>80188</v>
      </c>
      <c r="AE103" s="10" t="n">
        <f aca="false">(AD103/Q103)*100</f>
        <v>40.2479484026401</v>
      </c>
      <c r="AF103" s="9" t="s">
        <v>58</v>
      </c>
      <c r="AG103" s="9" t="s">
        <v>58</v>
      </c>
      <c r="AH103" s="9" t="s">
        <v>652</v>
      </c>
      <c r="AI103" s="9" t="n">
        <v>11654</v>
      </c>
      <c r="AJ103" s="10" t="n">
        <f aca="false">(AI103/Q103)*100</f>
        <v>5.84937385499536</v>
      </c>
      <c r="AK103" s="9" t="s">
        <v>197</v>
      </c>
      <c r="AL103" s="9" t="s">
        <v>197</v>
      </c>
      <c r="AM103" s="9" t="s">
        <v>653</v>
      </c>
      <c r="AN103" s="9" t="n">
        <v>11371</v>
      </c>
      <c r="AO103" s="10" t="n">
        <f aca="false">(AN103/Q103)*100</f>
        <v>5.70733053931287</v>
      </c>
      <c r="AP103" s="9" t="s">
        <v>63</v>
      </c>
      <c r="AQ103" s="9" t="s">
        <v>63</v>
      </c>
      <c r="AR103" s="9" t="s">
        <v>63</v>
      </c>
      <c r="AS103" s="9" t="n">
        <v>2058</v>
      </c>
      <c r="AT103" s="10" t="n">
        <f aca="false">(AS103/Q103)*100</f>
        <v>1.03295103771928</v>
      </c>
    </row>
    <row r="104" customFormat="false" ht="12.8" hidden="false" customHeight="false" outlineLevel="0" collapsed="false">
      <c r="A104" s="7" t="n">
        <v>2021</v>
      </c>
      <c r="B104" s="8" t="n">
        <v>94</v>
      </c>
      <c r="C104" s="9" t="s">
        <v>644</v>
      </c>
      <c r="D104" s="9" t="s">
        <v>644</v>
      </c>
      <c r="E104" s="9" t="s">
        <v>586</v>
      </c>
      <c r="F104" s="9" t="s">
        <v>645</v>
      </c>
      <c r="G104" s="9" t="s">
        <v>77</v>
      </c>
      <c r="H104" s="9" t="s">
        <v>51</v>
      </c>
      <c r="I104" s="9" t="s">
        <v>51</v>
      </c>
      <c r="J104" s="9" t="s">
        <v>51</v>
      </c>
      <c r="K104" s="9" t="s">
        <v>51</v>
      </c>
      <c r="L104" s="9" t="s">
        <v>68</v>
      </c>
      <c r="M104" s="9" t="s">
        <v>51</v>
      </c>
      <c r="N104" s="9" t="s">
        <v>51</v>
      </c>
      <c r="O104" s="9" t="s">
        <v>51</v>
      </c>
      <c r="P104" s="9" t="n">
        <v>257854</v>
      </c>
      <c r="Q104" s="9" t="n">
        <v>206759</v>
      </c>
      <c r="R104" s="10" t="n">
        <f aca="false">(Q104/P104)*100</f>
        <v>80.1845230246574</v>
      </c>
      <c r="S104" s="9" t="n">
        <f aca="false">Y104-AD104</f>
        <v>27861</v>
      </c>
      <c r="T104" s="10" t="n">
        <f aca="false">(S104/Q104)*100</f>
        <v>13.475108701435</v>
      </c>
      <c r="U104" s="10" t="n">
        <f aca="false">Z104+AE104</f>
        <v>89.5375775661519</v>
      </c>
      <c r="V104" s="9" t="s">
        <v>52</v>
      </c>
      <c r="W104" s="9" t="s">
        <v>53</v>
      </c>
      <c r="X104" s="9" t="s">
        <v>654</v>
      </c>
      <c r="Y104" s="9" t="n">
        <v>106494</v>
      </c>
      <c r="Z104" s="10" t="n">
        <f aca="false">(Y104/Q104)*100</f>
        <v>51.5063431337935</v>
      </c>
      <c r="AA104" s="9" t="s">
        <v>55</v>
      </c>
      <c r="AB104" s="9" t="s">
        <v>68</v>
      </c>
      <c r="AC104" s="9" t="s">
        <v>655</v>
      </c>
      <c r="AD104" s="9" t="n">
        <v>78633</v>
      </c>
      <c r="AE104" s="10" t="n">
        <f aca="false">(AD104/Q104)*100</f>
        <v>38.0312344323584</v>
      </c>
      <c r="AF104" s="9" t="s">
        <v>58</v>
      </c>
      <c r="AG104" s="9" t="s">
        <v>58</v>
      </c>
      <c r="AH104" s="9" t="s">
        <v>656</v>
      </c>
      <c r="AI104" s="9" t="n">
        <v>10122</v>
      </c>
      <c r="AJ104" s="10" t="n">
        <f aca="false">(AI104/Q104)*100</f>
        <v>4.89555472796831</v>
      </c>
      <c r="AK104" s="9" t="s">
        <v>71</v>
      </c>
      <c r="AL104" s="9" t="s">
        <v>72</v>
      </c>
      <c r="AM104" s="9" t="s">
        <v>657</v>
      </c>
      <c r="AN104" s="9" t="n">
        <v>5589</v>
      </c>
      <c r="AO104" s="10" t="n">
        <f aca="false">(AN104/Q104)*100</f>
        <v>2.70314714232512</v>
      </c>
      <c r="AP104" s="9" t="s">
        <v>63</v>
      </c>
      <c r="AQ104" s="9" t="s">
        <v>63</v>
      </c>
      <c r="AR104" s="9" t="s">
        <v>63</v>
      </c>
      <c r="AS104" s="9" t="n">
        <v>1285</v>
      </c>
      <c r="AT104" s="10" t="n">
        <f aca="false">(AS104/Q104)*100</f>
        <v>0.621496524939664</v>
      </c>
    </row>
    <row r="105" customFormat="false" ht="12.8" hidden="false" customHeight="false" outlineLevel="0" collapsed="false">
      <c r="A105" s="7" t="n">
        <v>2021</v>
      </c>
      <c r="B105" s="8" t="n">
        <v>95</v>
      </c>
      <c r="C105" s="9" t="s">
        <v>658</v>
      </c>
      <c r="D105" s="9" t="s">
        <v>644</v>
      </c>
      <c r="E105" s="9" t="s">
        <v>586</v>
      </c>
      <c r="F105" s="9" t="s">
        <v>645</v>
      </c>
      <c r="G105" s="9" t="s">
        <v>50</v>
      </c>
      <c r="H105" s="9" t="s">
        <v>51</v>
      </c>
      <c r="I105" s="9" t="s">
        <v>51</v>
      </c>
      <c r="J105" s="9" t="s">
        <v>51</v>
      </c>
      <c r="K105" s="9" t="s">
        <v>51</v>
      </c>
      <c r="L105" s="9" t="s">
        <v>51</v>
      </c>
      <c r="M105" s="9" t="s">
        <v>51</v>
      </c>
      <c r="N105" s="9" t="s">
        <v>51</v>
      </c>
      <c r="O105" s="9" t="s">
        <v>51</v>
      </c>
      <c r="P105" s="9" t="n">
        <v>221664</v>
      </c>
      <c r="Q105" s="9" t="n">
        <v>183697</v>
      </c>
      <c r="R105" s="10" t="n">
        <f aca="false">(Q105/P105)*100</f>
        <v>82.8718240219431</v>
      </c>
      <c r="S105" s="9" t="n">
        <f aca="false">Y105-AD105</f>
        <v>7662</v>
      </c>
      <c r="T105" s="10" t="n">
        <f aca="false">(S105/Q105)*100</f>
        <v>4.1709989820193</v>
      </c>
      <c r="U105" s="10" t="n">
        <f aca="false">Z105+AE105</f>
        <v>89.4984675852083</v>
      </c>
      <c r="V105" s="9" t="s">
        <v>55</v>
      </c>
      <c r="W105" s="9" t="s">
        <v>68</v>
      </c>
      <c r="X105" s="9" t="s">
        <v>659</v>
      </c>
      <c r="Y105" s="9" t="n">
        <v>86034</v>
      </c>
      <c r="Z105" s="10" t="n">
        <f aca="false">(Y105/Q105)*100</f>
        <v>46.8347332836138</v>
      </c>
      <c r="AA105" s="9" t="s">
        <v>52</v>
      </c>
      <c r="AB105" s="9" t="s">
        <v>53</v>
      </c>
      <c r="AC105" s="9" t="s">
        <v>660</v>
      </c>
      <c r="AD105" s="9" t="n">
        <v>78372</v>
      </c>
      <c r="AE105" s="10" t="n">
        <f aca="false">(AD105/Q105)*100</f>
        <v>42.6637343015945</v>
      </c>
      <c r="AF105" s="9" t="s">
        <v>58</v>
      </c>
      <c r="AG105" s="9" t="s">
        <v>58</v>
      </c>
      <c r="AH105" s="9" t="s">
        <v>661</v>
      </c>
      <c r="AI105" s="9" t="n">
        <v>11684</v>
      </c>
      <c r="AJ105" s="10" t="n">
        <f aca="false">(AI105/Q105)*100</f>
        <v>6.36047404149224</v>
      </c>
      <c r="AK105" s="9" t="s">
        <v>71</v>
      </c>
      <c r="AL105" s="9" t="s">
        <v>72</v>
      </c>
      <c r="AM105" s="9" t="s">
        <v>662</v>
      </c>
      <c r="AN105" s="9" t="n">
        <v>1882</v>
      </c>
      <c r="AO105" s="10" t="n">
        <f aca="false">(AN105/Q105)*100</f>
        <v>1.02451319292095</v>
      </c>
      <c r="AP105" s="9" t="s">
        <v>63</v>
      </c>
      <c r="AQ105" s="9" t="s">
        <v>63</v>
      </c>
      <c r="AR105" s="9" t="s">
        <v>63</v>
      </c>
      <c r="AS105" s="9" t="n">
        <v>964</v>
      </c>
      <c r="AT105" s="10" t="n">
        <f aca="false">(AS105/Q105)*100</f>
        <v>0.52477721465239</v>
      </c>
    </row>
    <row r="106" customFormat="false" ht="12.8" hidden="false" customHeight="false" outlineLevel="0" collapsed="false">
      <c r="A106" s="7" t="n">
        <v>2021</v>
      </c>
      <c r="B106" s="8" t="n">
        <v>96</v>
      </c>
      <c r="C106" s="9" t="s">
        <v>663</v>
      </c>
      <c r="D106" s="9" t="s">
        <v>644</v>
      </c>
      <c r="E106" s="9" t="s">
        <v>586</v>
      </c>
      <c r="F106" s="9" t="s">
        <v>645</v>
      </c>
      <c r="G106" s="9" t="s">
        <v>77</v>
      </c>
      <c r="H106" s="9" t="s">
        <v>51</v>
      </c>
      <c r="I106" s="9" t="s">
        <v>316</v>
      </c>
      <c r="J106" s="9" t="s">
        <v>51</v>
      </c>
      <c r="K106" s="9" t="s">
        <v>51</v>
      </c>
      <c r="L106" s="9" t="s">
        <v>68</v>
      </c>
      <c r="M106" s="9" t="s">
        <v>51</v>
      </c>
      <c r="N106" s="9" t="s">
        <v>51</v>
      </c>
      <c r="O106" s="9" t="s">
        <v>51</v>
      </c>
      <c r="P106" s="9" t="n">
        <v>231133</v>
      </c>
      <c r="Q106" s="9" t="n">
        <v>184669</v>
      </c>
      <c r="R106" s="10" t="n">
        <f aca="false">(Q106/P106)*100</f>
        <v>79.897288574111</v>
      </c>
      <c r="S106" s="9" t="n">
        <f aca="false">Y106-AD106</f>
        <v>2862</v>
      </c>
      <c r="T106" s="10" t="n">
        <f aca="false">(S106/Q106)*100</f>
        <v>1.54979991227548</v>
      </c>
      <c r="U106" s="10" t="n">
        <f aca="false">Z106+AE106</f>
        <v>86.9198403630279</v>
      </c>
      <c r="V106" s="9" t="s">
        <v>52</v>
      </c>
      <c r="W106" s="19" t="s">
        <v>664</v>
      </c>
      <c r="X106" s="9" t="s">
        <v>665</v>
      </c>
      <c r="Y106" s="9" t="n">
        <v>81688</v>
      </c>
      <c r="Z106" s="10" t="n">
        <f aca="false">(Y106/Q106)*100</f>
        <v>44.2348201376517</v>
      </c>
      <c r="AA106" s="9" t="s">
        <v>55</v>
      </c>
      <c r="AB106" s="9" t="s">
        <v>68</v>
      </c>
      <c r="AC106" s="9" t="s">
        <v>666</v>
      </c>
      <c r="AD106" s="9" t="n">
        <v>78826</v>
      </c>
      <c r="AE106" s="10" t="n">
        <f aca="false">(AD106/Q106)*100</f>
        <v>42.6850202253762</v>
      </c>
      <c r="AF106" s="9" t="s">
        <v>58</v>
      </c>
      <c r="AG106" s="9" t="s">
        <v>58</v>
      </c>
      <c r="AH106" s="9" t="s">
        <v>667</v>
      </c>
      <c r="AI106" s="9" t="n">
        <v>13967</v>
      </c>
      <c r="AJ106" s="10" t="n">
        <f aca="false">(AI106/Q106)*100</f>
        <v>7.56326183604178</v>
      </c>
      <c r="AK106" s="9" t="s">
        <v>71</v>
      </c>
      <c r="AL106" s="9" t="s">
        <v>72</v>
      </c>
      <c r="AM106" s="9" t="s">
        <v>668</v>
      </c>
      <c r="AN106" s="9" t="n">
        <v>3724</v>
      </c>
      <c r="AO106" s="10" t="n">
        <f aca="false">(AN106/Q106)*100</f>
        <v>2.01658101792938</v>
      </c>
      <c r="AP106" s="9" t="s">
        <v>63</v>
      </c>
      <c r="AQ106" s="9" t="s">
        <v>63</v>
      </c>
      <c r="AR106" s="9" t="s">
        <v>63</v>
      </c>
      <c r="AS106" s="9" t="n">
        <v>1518</v>
      </c>
      <c r="AT106" s="10" t="n">
        <f aca="false">(AS106/Q106)*100</f>
        <v>0.822011274225777</v>
      </c>
    </row>
    <row r="107" customFormat="false" ht="12.8" hidden="false" customHeight="false" outlineLevel="0" collapsed="false">
      <c r="A107" s="7" t="n">
        <v>2021</v>
      </c>
      <c r="B107" s="8" t="n">
        <v>97</v>
      </c>
      <c r="C107" s="9" t="s">
        <v>669</v>
      </c>
      <c r="D107" s="9" t="s">
        <v>644</v>
      </c>
      <c r="E107" s="9" t="s">
        <v>586</v>
      </c>
      <c r="F107" s="9" t="s">
        <v>645</v>
      </c>
      <c r="G107" s="9" t="s">
        <v>77</v>
      </c>
      <c r="H107" s="9" t="s">
        <v>51</v>
      </c>
      <c r="I107" s="9" t="s">
        <v>51</v>
      </c>
      <c r="J107" s="9" t="s">
        <v>51</v>
      </c>
      <c r="K107" s="9" t="s">
        <v>68</v>
      </c>
      <c r="L107" s="9" t="s">
        <v>51</v>
      </c>
      <c r="M107" s="9" t="s">
        <v>68</v>
      </c>
      <c r="N107" s="9" t="s">
        <v>51</v>
      </c>
      <c r="O107" s="9" t="s">
        <v>51</v>
      </c>
      <c r="P107" s="9" t="n">
        <v>254468</v>
      </c>
      <c r="Q107" s="9" t="n">
        <v>201925</v>
      </c>
      <c r="R107" s="10" t="n">
        <f aca="false">(Q107/P107)*100</f>
        <v>79.3518241979345</v>
      </c>
      <c r="S107" s="9" t="n">
        <f aca="false">Y107-AD107</f>
        <v>31646</v>
      </c>
      <c r="T107" s="10" t="n">
        <f aca="false">(S107/Q107)*100</f>
        <v>15.6721555032809</v>
      </c>
      <c r="U107" s="10" t="n">
        <f aca="false">Z107+AE107</f>
        <v>84.1668936486319</v>
      </c>
      <c r="V107" s="9" t="s">
        <v>55</v>
      </c>
      <c r="W107" s="9" t="s">
        <v>68</v>
      </c>
      <c r="X107" s="9" t="s">
        <v>670</v>
      </c>
      <c r="Y107" s="9" t="n">
        <v>100800</v>
      </c>
      <c r="Z107" s="10" t="n">
        <f aca="false">(Y107/Q107)*100</f>
        <v>49.9195245759564</v>
      </c>
      <c r="AA107" s="9" t="s">
        <v>52</v>
      </c>
      <c r="AB107" s="9" t="s">
        <v>53</v>
      </c>
      <c r="AC107" s="9" t="s">
        <v>671</v>
      </c>
      <c r="AD107" s="9" t="n">
        <v>69154</v>
      </c>
      <c r="AE107" s="10" t="n">
        <f aca="false">(AD107/Q107)*100</f>
        <v>34.2473690726755</v>
      </c>
      <c r="AF107" s="9" t="s">
        <v>58</v>
      </c>
      <c r="AG107" s="9" t="s">
        <v>58</v>
      </c>
      <c r="AH107" s="9" t="s">
        <v>672</v>
      </c>
      <c r="AI107" s="9" t="n">
        <v>13240</v>
      </c>
      <c r="AJ107" s="10" t="n">
        <f aca="false">(AI107/Q107)*100</f>
        <v>6.55688993438158</v>
      </c>
      <c r="AK107" s="9" t="s">
        <v>197</v>
      </c>
      <c r="AL107" s="9" t="s">
        <v>197</v>
      </c>
      <c r="AM107" s="9" t="s">
        <v>673</v>
      </c>
      <c r="AN107" s="9" t="n">
        <v>7342</v>
      </c>
      <c r="AO107" s="10" t="n">
        <f aca="false">(AN107/Q107)*100</f>
        <v>3.63600346663365</v>
      </c>
      <c r="AP107" s="9" t="s">
        <v>71</v>
      </c>
      <c r="AQ107" s="9" t="s">
        <v>72</v>
      </c>
      <c r="AR107" s="9" t="s">
        <v>674</v>
      </c>
      <c r="AS107" s="9" t="n">
        <v>6125</v>
      </c>
      <c r="AT107" s="10" t="n">
        <f aca="false">(AS107/Q107)*100</f>
        <v>3.03330444471957</v>
      </c>
    </row>
    <row r="108" customFormat="false" ht="12.8" hidden="false" customHeight="false" outlineLevel="0" collapsed="false">
      <c r="A108" s="7" t="n">
        <v>2021</v>
      </c>
      <c r="B108" s="8" t="n">
        <v>98</v>
      </c>
      <c r="C108" s="9" t="s">
        <v>675</v>
      </c>
      <c r="D108" s="9" t="s">
        <v>676</v>
      </c>
      <c r="E108" s="9" t="s">
        <v>586</v>
      </c>
      <c r="F108" s="9" t="s">
        <v>645</v>
      </c>
      <c r="G108" s="9" t="s">
        <v>88</v>
      </c>
      <c r="H108" s="9" t="s">
        <v>51</v>
      </c>
      <c r="I108" s="9" t="s">
        <v>316</v>
      </c>
      <c r="J108" s="9" t="s">
        <v>51</v>
      </c>
      <c r="K108" s="9" t="s">
        <v>51</v>
      </c>
      <c r="L108" s="9" t="s">
        <v>51</v>
      </c>
      <c r="M108" s="9" t="s">
        <v>51</v>
      </c>
      <c r="N108" s="9" t="s">
        <v>51</v>
      </c>
      <c r="O108" s="9" t="s">
        <v>51</v>
      </c>
      <c r="P108" s="9" t="n">
        <v>228425</v>
      </c>
      <c r="Q108" s="9" t="n">
        <v>152037</v>
      </c>
      <c r="R108" s="10" t="n">
        <f aca="false">(Q108/P108)*100</f>
        <v>66.5588267483857</v>
      </c>
      <c r="S108" s="9" t="n">
        <f aca="false">Y108-AD108</f>
        <v>8904</v>
      </c>
      <c r="T108" s="10" t="n">
        <f aca="false">(S108/Q108)*100</f>
        <v>5.85646914895716</v>
      </c>
      <c r="U108" s="10" t="n">
        <f aca="false">Z108+AE108</f>
        <v>82.6746121010017</v>
      </c>
      <c r="V108" s="9" t="s">
        <v>52</v>
      </c>
      <c r="W108" s="9" t="s">
        <v>66</v>
      </c>
      <c r="X108" s="9" t="s">
        <v>677</v>
      </c>
      <c r="Y108" s="9" t="n">
        <v>67300</v>
      </c>
      <c r="Z108" s="10" t="n">
        <f aca="false">(Y108/Q108)*100</f>
        <v>44.2655406249794</v>
      </c>
      <c r="AA108" s="9" t="s">
        <v>55</v>
      </c>
      <c r="AB108" s="9" t="s">
        <v>68</v>
      </c>
      <c r="AC108" s="9" t="s">
        <v>678</v>
      </c>
      <c r="AD108" s="9" t="n">
        <v>58396</v>
      </c>
      <c r="AE108" s="10" t="n">
        <f aca="false">(AD108/Q108)*100</f>
        <v>38.4090714760223</v>
      </c>
      <c r="AF108" s="9" t="s">
        <v>58</v>
      </c>
      <c r="AG108" s="9" t="s">
        <v>58</v>
      </c>
      <c r="AH108" s="9" t="s">
        <v>679</v>
      </c>
      <c r="AI108" s="9" t="n">
        <v>11629</v>
      </c>
      <c r="AJ108" s="10" t="n">
        <f aca="false">(AI108/Q108)*100</f>
        <v>7.64879601675908</v>
      </c>
      <c r="AK108" s="9" t="s">
        <v>71</v>
      </c>
      <c r="AL108" s="9" t="s">
        <v>72</v>
      </c>
      <c r="AM108" s="9" t="s">
        <v>680</v>
      </c>
      <c r="AN108" s="9" t="n">
        <v>10005</v>
      </c>
      <c r="AO108" s="10" t="n">
        <f aca="false">(AN108/Q108)*100</f>
        <v>6.58063497701217</v>
      </c>
      <c r="AP108" s="9" t="s">
        <v>60</v>
      </c>
      <c r="AQ108" s="9" t="s">
        <v>74</v>
      </c>
      <c r="AR108" s="9" t="s">
        <v>681</v>
      </c>
      <c r="AS108" s="9" t="n">
        <v>1204</v>
      </c>
      <c r="AT108" s="10" t="n">
        <f aca="false">(AS108/Q108)*100</f>
        <v>0.791912494984774</v>
      </c>
    </row>
    <row r="109" customFormat="false" ht="12.8" hidden="false" customHeight="false" outlineLevel="0" collapsed="false">
      <c r="A109" s="7" t="n">
        <v>2021</v>
      </c>
      <c r="B109" s="8" t="n">
        <v>99</v>
      </c>
      <c r="C109" s="9" t="s">
        <v>682</v>
      </c>
      <c r="D109" s="9" t="s">
        <v>676</v>
      </c>
      <c r="E109" s="9" t="s">
        <v>586</v>
      </c>
      <c r="F109" s="9" t="s">
        <v>645</v>
      </c>
      <c r="G109" s="9" t="s">
        <v>88</v>
      </c>
      <c r="H109" s="9" t="s">
        <v>51</v>
      </c>
      <c r="I109" s="9" t="s">
        <v>51</v>
      </c>
      <c r="J109" s="9" t="s">
        <v>51</v>
      </c>
      <c r="K109" s="9" t="s">
        <v>51</v>
      </c>
      <c r="L109" s="9" t="s">
        <v>51</v>
      </c>
      <c r="M109" s="9" t="s">
        <v>51</v>
      </c>
      <c r="N109" s="9" t="s">
        <v>51</v>
      </c>
      <c r="O109" s="9" t="s">
        <v>51</v>
      </c>
      <c r="P109" s="9" t="n">
        <v>293099</v>
      </c>
      <c r="Q109" s="9" t="n">
        <v>205579</v>
      </c>
      <c r="R109" s="10" t="n">
        <f aca="false">(Q109/P109)*100</f>
        <v>70.1397821213993</v>
      </c>
      <c r="S109" s="9" t="n">
        <f aca="false">Y109-AD109</f>
        <v>22089</v>
      </c>
      <c r="T109" s="10" t="n">
        <f aca="false">(S109/Q109)*100</f>
        <v>10.7447745149067</v>
      </c>
      <c r="U109" s="10" t="n">
        <f aca="false">Z109+AE109</f>
        <v>87.2778834414021</v>
      </c>
      <c r="V109" s="9" t="s">
        <v>52</v>
      </c>
      <c r="W109" s="9" t="s">
        <v>53</v>
      </c>
      <c r="X109" s="9" t="s">
        <v>683</v>
      </c>
      <c r="Y109" s="9" t="n">
        <v>100757</v>
      </c>
      <c r="Z109" s="10" t="n">
        <f aca="false">(Y109/Q109)*100</f>
        <v>49.0113289781544</v>
      </c>
      <c r="AA109" s="9" t="s">
        <v>55</v>
      </c>
      <c r="AB109" s="9" t="s">
        <v>68</v>
      </c>
      <c r="AC109" s="9" t="s">
        <v>684</v>
      </c>
      <c r="AD109" s="9" t="n">
        <v>78668</v>
      </c>
      <c r="AE109" s="10" t="n">
        <f aca="false">(AD109/Q109)*100</f>
        <v>38.2665544632477</v>
      </c>
      <c r="AF109" s="9" t="s">
        <v>58</v>
      </c>
      <c r="AG109" s="9" t="s">
        <v>58</v>
      </c>
      <c r="AH109" s="9" t="s">
        <v>685</v>
      </c>
      <c r="AI109" s="9" t="n">
        <v>13353</v>
      </c>
      <c r="AJ109" s="10" t="n">
        <f aca="false">(AI109/Q109)*100</f>
        <v>6.495313237247</v>
      </c>
      <c r="AK109" s="9" t="s">
        <v>71</v>
      </c>
      <c r="AL109" s="9" t="s">
        <v>72</v>
      </c>
      <c r="AM109" s="9" t="s">
        <v>686</v>
      </c>
      <c r="AN109" s="9" t="n">
        <v>8107</v>
      </c>
      <c r="AO109" s="10" t="n">
        <f aca="false">(AN109/Q109)*100</f>
        <v>3.94349617422013</v>
      </c>
      <c r="AP109" s="9" t="s">
        <v>63</v>
      </c>
      <c r="AQ109" s="9" t="s">
        <v>63</v>
      </c>
      <c r="AR109" s="9" t="s">
        <v>63</v>
      </c>
      <c r="AS109" s="9" t="n">
        <v>1968</v>
      </c>
      <c r="AT109" s="10" t="n">
        <f aca="false">(AS109/Q109)*100</f>
        <v>0.957296221890368</v>
      </c>
    </row>
    <row r="110" customFormat="false" ht="12.8" hidden="false" customHeight="false" outlineLevel="0" collapsed="false">
      <c r="A110" s="7" t="n">
        <v>2021</v>
      </c>
      <c r="B110" s="8" t="n">
        <v>100</v>
      </c>
      <c r="C110" s="9" t="s">
        <v>687</v>
      </c>
      <c r="D110" s="9" t="s">
        <v>676</v>
      </c>
      <c r="E110" s="9" t="s">
        <v>586</v>
      </c>
      <c r="F110" s="9" t="s">
        <v>645</v>
      </c>
      <c r="G110" s="9" t="s">
        <v>50</v>
      </c>
      <c r="H110" s="9" t="s">
        <v>51</v>
      </c>
      <c r="I110" s="9" t="s">
        <v>526</v>
      </c>
      <c r="J110" s="9" t="s">
        <v>51</v>
      </c>
      <c r="K110" s="9" t="s">
        <v>51</v>
      </c>
      <c r="L110" s="9" t="s">
        <v>51</v>
      </c>
      <c r="M110" s="9" t="s">
        <v>51</v>
      </c>
      <c r="N110" s="9" t="s">
        <v>51</v>
      </c>
      <c r="O110" s="9" t="s">
        <v>51</v>
      </c>
      <c r="P110" s="9" t="n">
        <v>238932</v>
      </c>
      <c r="Q110" s="9" t="n">
        <v>181857</v>
      </c>
      <c r="R110" s="10" t="n">
        <f aca="false">(Q110/P110)*100</f>
        <v>76.1124504042991</v>
      </c>
      <c r="S110" s="9" t="n">
        <f aca="false">Y110-AD110</f>
        <v>281</v>
      </c>
      <c r="T110" s="10" t="n">
        <f aca="false">(S110/Q110)*100</f>
        <v>0.154517010618233</v>
      </c>
      <c r="U110" s="10" t="n">
        <f aca="false">Z110+AE110</f>
        <v>85.7646392495202</v>
      </c>
      <c r="V110" s="9" t="s">
        <v>55</v>
      </c>
      <c r="W110" s="9" t="s">
        <v>171</v>
      </c>
      <c r="X110" s="9" t="s">
        <v>688</v>
      </c>
      <c r="Y110" s="9" t="n">
        <v>78125</v>
      </c>
      <c r="Z110" s="10" t="n">
        <f aca="false">(Y110/Q110)*100</f>
        <v>42.9595781300692</v>
      </c>
      <c r="AA110" s="9" t="s">
        <v>52</v>
      </c>
      <c r="AB110" s="9" t="s">
        <v>53</v>
      </c>
      <c r="AC110" s="9" t="s">
        <v>689</v>
      </c>
      <c r="AD110" s="9" t="n">
        <v>77844</v>
      </c>
      <c r="AE110" s="10" t="n">
        <f aca="false">(AD110/Q110)*100</f>
        <v>42.805061119451</v>
      </c>
      <c r="AF110" s="9" t="s">
        <v>58</v>
      </c>
      <c r="AG110" s="9" t="s">
        <v>58</v>
      </c>
      <c r="AH110" s="9" t="s">
        <v>690</v>
      </c>
      <c r="AI110" s="9" t="n">
        <v>12944</v>
      </c>
      <c r="AJ110" s="10" t="n">
        <f aca="false">(AI110/Q110)*100</f>
        <v>7.11768037523989</v>
      </c>
      <c r="AK110" s="9" t="s">
        <v>71</v>
      </c>
      <c r="AL110" s="9" t="s">
        <v>72</v>
      </c>
      <c r="AM110" s="9" t="s">
        <v>691</v>
      </c>
      <c r="AN110" s="9" t="n">
        <v>4574</v>
      </c>
      <c r="AO110" s="10" t="n">
        <f aca="false">(AN110/Q110)*100</f>
        <v>2.51516301269679</v>
      </c>
      <c r="AP110" s="9" t="s">
        <v>63</v>
      </c>
      <c r="AQ110" s="9" t="s">
        <v>63</v>
      </c>
      <c r="AR110" s="9" t="s">
        <v>63</v>
      </c>
      <c r="AS110" s="9" t="n">
        <v>2342</v>
      </c>
      <c r="AT110" s="10" t="n">
        <f aca="false">(AS110/Q110)*100</f>
        <v>1.28782504935196</v>
      </c>
    </row>
    <row r="111" customFormat="false" ht="12.8" hidden="false" customHeight="false" outlineLevel="0" collapsed="false">
      <c r="A111" s="7" t="n">
        <v>2021</v>
      </c>
      <c r="B111" s="8" t="n">
        <v>101</v>
      </c>
      <c r="C111" s="9" t="s">
        <v>692</v>
      </c>
      <c r="D111" s="9" t="s">
        <v>693</v>
      </c>
      <c r="E111" s="9" t="s">
        <v>586</v>
      </c>
      <c r="F111" s="9" t="s">
        <v>694</v>
      </c>
      <c r="G111" s="9" t="s">
        <v>77</v>
      </c>
      <c r="H111" s="9" t="s">
        <v>65</v>
      </c>
      <c r="I111" s="9" t="s">
        <v>51</v>
      </c>
      <c r="J111" s="9" t="s">
        <v>51</v>
      </c>
      <c r="K111" s="9" t="s">
        <v>51</v>
      </c>
      <c r="L111" s="9" t="s">
        <v>51</v>
      </c>
      <c r="M111" s="9" t="s">
        <v>51</v>
      </c>
      <c r="N111" s="9" t="s">
        <v>51</v>
      </c>
      <c r="O111" s="9" t="s">
        <v>51</v>
      </c>
      <c r="P111" s="9" t="n">
        <v>258581</v>
      </c>
      <c r="Q111" s="9" t="n">
        <v>193991</v>
      </c>
      <c r="R111" s="10" t="n">
        <f aca="false">(Q111/P111)*100</f>
        <v>75.0213666123961</v>
      </c>
      <c r="S111" s="9" t="n">
        <f aca="false">Y111-AD111</f>
        <v>1393</v>
      </c>
      <c r="T111" s="10" t="n">
        <f aca="false">(S111/Q111)*100</f>
        <v>0.718074549850251</v>
      </c>
      <c r="U111" s="10" t="n">
        <f aca="false">Z111+AE111</f>
        <v>92.0553015346073</v>
      </c>
      <c r="V111" s="9" t="s">
        <v>52</v>
      </c>
      <c r="W111" s="9" t="s">
        <v>53</v>
      </c>
      <c r="X111" s="9" t="s">
        <v>695</v>
      </c>
      <c r="Y111" s="9" t="n">
        <v>89986</v>
      </c>
      <c r="Z111" s="10" t="n">
        <f aca="false">(Y111/Q111)*100</f>
        <v>46.3866880422288</v>
      </c>
      <c r="AA111" s="9" t="s">
        <v>55</v>
      </c>
      <c r="AB111" s="9" t="s">
        <v>171</v>
      </c>
      <c r="AC111" s="9" t="s">
        <v>696</v>
      </c>
      <c r="AD111" s="9" t="n">
        <v>88593</v>
      </c>
      <c r="AE111" s="10" t="n">
        <f aca="false">(AD111/Q111)*100</f>
        <v>45.6686134923785</v>
      </c>
      <c r="AF111" s="9" t="s">
        <v>58</v>
      </c>
      <c r="AG111" s="9" t="s">
        <v>58</v>
      </c>
      <c r="AH111" s="9" t="s">
        <v>697</v>
      </c>
      <c r="AI111" s="9" t="n">
        <v>6753</v>
      </c>
      <c r="AJ111" s="10" t="n">
        <f aca="false">(AI111/Q111)*100</f>
        <v>3.48108932888639</v>
      </c>
      <c r="AK111" s="9" t="s">
        <v>71</v>
      </c>
      <c r="AL111" s="9" t="s">
        <v>72</v>
      </c>
      <c r="AM111" s="9" t="s">
        <v>698</v>
      </c>
      <c r="AN111" s="9" t="n">
        <v>2130</v>
      </c>
      <c r="AO111" s="10" t="n">
        <f aca="false">(AN111/Q111)*100</f>
        <v>1.09798908196772</v>
      </c>
      <c r="AP111" s="9" t="s">
        <v>63</v>
      </c>
      <c r="AQ111" s="9" t="s">
        <v>63</v>
      </c>
      <c r="AR111" s="9" t="s">
        <v>63</v>
      </c>
      <c r="AS111" s="9" t="n">
        <v>1903</v>
      </c>
      <c r="AT111" s="10" t="n">
        <f aca="false">(AS111/Q111)*100</f>
        <v>0.980973344124212</v>
      </c>
    </row>
    <row r="112" customFormat="false" ht="12.8" hidden="false" customHeight="false" outlineLevel="0" collapsed="false">
      <c r="A112" s="7" t="n">
        <v>2021</v>
      </c>
      <c r="B112" s="8" t="n">
        <v>102</v>
      </c>
      <c r="C112" s="9" t="s">
        <v>699</v>
      </c>
      <c r="D112" s="9" t="s">
        <v>693</v>
      </c>
      <c r="E112" s="9" t="s">
        <v>586</v>
      </c>
      <c r="F112" s="9" t="s">
        <v>694</v>
      </c>
      <c r="G112" s="9" t="s">
        <v>77</v>
      </c>
      <c r="H112" s="9" t="s">
        <v>51</v>
      </c>
      <c r="I112" s="9" t="s">
        <v>51</v>
      </c>
      <c r="J112" s="9" t="s">
        <v>51</v>
      </c>
      <c r="K112" s="9" t="s">
        <v>51</v>
      </c>
      <c r="L112" s="9" t="s">
        <v>51</v>
      </c>
      <c r="M112" s="9" t="s">
        <v>51</v>
      </c>
      <c r="N112" s="9" t="s">
        <v>68</v>
      </c>
      <c r="O112" s="9" t="s">
        <v>126</v>
      </c>
      <c r="P112" s="9" t="n">
        <v>257190</v>
      </c>
      <c r="Q112" s="9" t="n">
        <v>199818</v>
      </c>
      <c r="R112" s="10" t="n">
        <f aca="false">(Q112/P112)*100</f>
        <v>77.6927563280065</v>
      </c>
      <c r="S112" s="9" t="n">
        <f aca="false">Y112-AD112</f>
        <v>7331</v>
      </c>
      <c r="T112" s="10" t="n">
        <f aca="false">(S112/Q112)*100</f>
        <v>3.66883864316528</v>
      </c>
      <c r="U112" s="10" t="n">
        <f aca="false">Z112+AE112</f>
        <v>90.6139587024192</v>
      </c>
      <c r="V112" s="9" t="s">
        <v>52</v>
      </c>
      <c r="W112" s="9" t="s">
        <v>53</v>
      </c>
      <c r="X112" s="9" t="s">
        <v>700</v>
      </c>
      <c r="Y112" s="9" t="n">
        <v>94197</v>
      </c>
      <c r="Z112" s="10" t="n">
        <f aca="false">(Y112/Q112)*100</f>
        <v>47.1413986727922</v>
      </c>
      <c r="AA112" s="9" t="s">
        <v>55</v>
      </c>
      <c r="AB112" s="9" t="s">
        <v>68</v>
      </c>
      <c r="AC112" s="9" t="s">
        <v>701</v>
      </c>
      <c r="AD112" s="9" t="n">
        <v>86866</v>
      </c>
      <c r="AE112" s="10" t="n">
        <f aca="false">(AD112/Q112)*100</f>
        <v>43.472560029627</v>
      </c>
      <c r="AF112" s="9" t="s">
        <v>58</v>
      </c>
      <c r="AG112" s="9" t="s">
        <v>58</v>
      </c>
      <c r="AH112" s="9" t="s">
        <v>702</v>
      </c>
      <c r="AI112" s="9" t="n">
        <v>11307</v>
      </c>
      <c r="AJ112" s="10" t="n">
        <f aca="false">(AI112/Q112)*100</f>
        <v>5.65864937092754</v>
      </c>
      <c r="AK112" s="9" t="s">
        <v>197</v>
      </c>
      <c r="AL112" s="9" t="s">
        <v>197</v>
      </c>
      <c r="AM112" s="9" t="s">
        <v>703</v>
      </c>
      <c r="AN112" s="9" t="n">
        <v>2327</v>
      </c>
      <c r="AO112" s="10" t="n">
        <f aca="false">(AN112/Q112)*100</f>
        <v>1.16455974937193</v>
      </c>
      <c r="AP112" s="9" t="s">
        <v>63</v>
      </c>
      <c r="AQ112" s="9" t="s">
        <v>63</v>
      </c>
      <c r="AR112" s="9" t="s">
        <v>63</v>
      </c>
      <c r="AS112" s="9" t="n">
        <v>1027</v>
      </c>
      <c r="AT112" s="10" t="n">
        <f aca="false">(AS112/Q112)*100</f>
        <v>0.513967710616661</v>
      </c>
    </row>
    <row r="113" customFormat="false" ht="12.8" hidden="false" customHeight="false" outlineLevel="0" collapsed="false">
      <c r="A113" s="7" t="n">
        <v>2021</v>
      </c>
      <c r="B113" s="8" t="n">
        <v>103</v>
      </c>
      <c r="C113" s="9" t="s">
        <v>704</v>
      </c>
      <c r="D113" s="9" t="s">
        <v>676</v>
      </c>
      <c r="E113" s="9" t="s">
        <v>586</v>
      </c>
      <c r="F113" s="9" t="s">
        <v>645</v>
      </c>
      <c r="G113" s="9" t="s">
        <v>50</v>
      </c>
      <c r="H113" s="9" t="s">
        <v>51</v>
      </c>
      <c r="I113" s="9" t="s">
        <v>526</v>
      </c>
      <c r="J113" s="9" t="s">
        <v>51</v>
      </c>
      <c r="K113" s="9" t="s">
        <v>51</v>
      </c>
      <c r="L113" s="9" t="s">
        <v>51</v>
      </c>
      <c r="M113" s="9" t="s">
        <v>68</v>
      </c>
      <c r="N113" s="9" t="s">
        <v>68</v>
      </c>
      <c r="O113" s="9" t="s">
        <v>51</v>
      </c>
      <c r="P113" s="9" t="n">
        <v>227887</v>
      </c>
      <c r="Q113" s="9" t="n">
        <v>189843</v>
      </c>
      <c r="R113" s="10" t="n">
        <f aca="false">(Q113/P113)*100</f>
        <v>83.3057611886593</v>
      </c>
      <c r="S113" s="9" t="n">
        <f aca="false">Y113-AD113</f>
        <v>14507</v>
      </c>
      <c r="T113" s="10" t="n">
        <f aca="false">(S113/Q113)*100</f>
        <v>7.64157751405108</v>
      </c>
      <c r="U113" s="10" t="n">
        <f aca="false">Z113+AE113</f>
        <v>82.0377891204838</v>
      </c>
      <c r="V113" s="9" t="s">
        <v>55</v>
      </c>
      <c r="W113" s="9" t="s">
        <v>68</v>
      </c>
      <c r="X113" s="9" t="s">
        <v>705</v>
      </c>
      <c r="Y113" s="9" t="n">
        <v>85125</v>
      </c>
      <c r="Z113" s="10" t="n">
        <f aca="false">(Y113/Q113)*100</f>
        <v>44.8396833172674</v>
      </c>
      <c r="AA113" s="9" t="s">
        <v>52</v>
      </c>
      <c r="AB113" s="19" t="s">
        <v>664</v>
      </c>
      <c r="AC113" s="9" t="s">
        <v>706</v>
      </c>
      <c r="AD113" s="9" t="n">
        <v>70618</v>
      </c>
      <c r="AE113" s="10" t="n">
        <f aca="false">(AD113/Q113)*100</f>
        <v>37.1981058032163</v>
      </c>
      <c r="AF113" s="9" t="s">
        <v>58</v>
      </c>
      <c r="AG113" s="9" t="s">
        <v>58</v>
      </c>
      <c r="AH113" s="9" t="s">
        <v>707</v>
      </c>
      <c r="AI113" s="9" t="n">
        <v>10294</v>
      </c>
      <c r="AJ113" s="10" t="n">
        <f aca="false">(AI113/Q113)*100</f>
        <v>5.42237533119472</v>
      </c>
      <c r="AK113" s="9" t="s">
        <v>197</v>
      </c>
      <c r="AL113" s="9" t="s">
        <v>197</v>
      </c>
      <c r="AM113" s="9" t="s">
        <v>708</v>
      </c>
      <c r="AN113" s="9" t="n">
        <v>9895</v>
      </c>
      <c r="AO113" s="10" t="n">
        <f aca="false">(AN113/Q113)*100</f>
        <v>5.21220166137282</v>
      </c>
      <c r="AP113" s="9" t="s">
        <v>71</v>
      </c>
      <c r="AQ113" s="9" t="s">
        <v>72</v>
      </c>
      <c r="AR113" s="9" t="s">
        <v>709</v>
      </c>
      <c r="AS113" s="9" t="n">
        <v>3533</v>
      </c>
      <c r="AT113" s="10" t="n">
        <f aca="false">(AS113/Q113)*100</f>
        <v>1.86101146737041</v>
      </c>
    </row>
    <row r="114" customFormat="false" ht="12.8" hidden="false" customHeight="false" outlineLevel="0" collapsed="false">
      <c r="A114" s="7" t="n">
        <v>2021</v>
      </c>
      <c r="B114" s="8" t="n">
        <v>104</v>
      </c>
      <c r="C114" s="9" t="s">
        <v>710</v>
      </c>
      <c r="D114" s="9" t="s">
        <v>676</v>
      </c>
      <c r="E114" s="9" t="s">
        <v>586</v>
      </c>
      <c r="F114" s="9" t="s">
        <v>645</v>
      </c>
      <c r="G114" s="9" t="s">
        <v>77</v>
      </c>
      <c r="H114" s="9" t="s">
        <v>51</v>
      </c>
      <c r="I114" s="9" t="s">
        <v>51</v>
      </c>
      <c r="J114" s="9" t="s">
        <v>51</v>
      </c>
      <c r="K114" s="9" t="s">
        <v>68</v>
      </c>
      <c r="L114" s="9" t="s">
        <v>51</v>
      </c>
      <c r="M114" s="9" t="s">
        <v>68</v>
      </c>
      <c r="N114" s="9" t="s">
        <v>51</v>
      </c>
      <c r="O114" s="9" t="s">
        <v>51</v>
      </c>
      <c r="P114" s="9" t="n">
        <v>238721</v>
      </c>
      <c r="Q114" s="9" t="n">
        <v>201385</v>
      </c>
      <c r="R114" s="10" t="n">
        <f aca="false">(Q114/P114)*100</f>
        <v>84.3599850871938</v>
      </c>
      <c r="S114" s="9" t="n">
        <f aca="false">Y114-AD114</f>
        <v>22523</v>
      </c>
      <c r="T114" s="10" t="n">
        <f aca="false">(S114/Q114)*100</f>
        <v>11.1840504506294</v>
      </c>
      <c r="U114" s="10" t="n">
        <f aca="false">Z114+AE114</f>
        <v>89.0369193336147</v>
      </c>
      <c r="V114" s="9" t="s">
        <v>55</v>
      </c>
      <c r="W114" s="9" t="s">
        <v>68</v>
      </c>
      <c r="X114" s="9" t="s">
        <v>711</v>
      </c>
      <c r="Y114" s="9" t="n">
        <v>100915</v>
      </c>
      <c r="Z114" s="10" t="n">
        <f aca="false">(Y114/Q114)*100</f>
        <v>50.1104848921221</v>
      </c>
      <c r="AA114" s="9" t="s">
        <v>52</v>
      </c>
      <c r="AB114" s="9" t="s">
        <v>53</v>
      </c>
      <c r="AC114" s="9" t="s">
        <v>712</v>
      </c>
      <c r="AD114" s="9" t="n">
        <v>78392</v>
      </c>
      <c r="AE114" s="10" t="n">
        <f aca="false">(AD114/Q114)*100</f>
        <v>38.9264344414927</v>
      </c>
      <c r="AF114" s="9" t="s">
        <v>58</v>
      </c>
      <c r="AG114" s="9" t="s">
        <v>58</v>
      </c>
      <c r="AH114" s="9" t="s">
        <v>713</v>
      </c>
      <c r="AI114" s="9" t="n">
        <v>10471</v>
      </c>
      <c r="AJ114" s="10" t="n">
        <f aca="false">(AI114/Q114)*100</f>
        <v>5.19949350746083</v>
      </c>
      <c r="AK114" s="9" t="s">
        <v>71</v>
      </c>
      <c r="AL114" s="9" t="s">
        <v>72</v>
      </c>
      <c r="AM114" s="9" t="s">
        <v>714</v>
      </c>
      <c r="AN114" s="9" t="n">
        <v>4221</v>
      </c>
      <c r="AO114" s="10" t="n">
        <f aca="false">(AN114/Q114)*100</f>
        <v>2.09598530178514</v>
      </c>
      <c r="AP114" s="9" t="s">
        <v>63</v>
      </c>
      <c r="AQ114" s="9" t="s">
        <v>63</v>
      </c>
      <c r="AR114" s="9" t="s">
        <v>63</v>
      </c>
      <c r="AS114" s="9" t="n">
        <v>2079</v>
      </c>
      <c r="AT114" s="10" t="n">
        <f aca="false">(AS114/Q114)*100</f>
        <v>1.03235096953596</v>
      </c>
    </row>
    <row r="115" customFormat="false" ht="12.8" hidden="false" customHeight="false" outlineLevel="0" collapsed="false">
      <c r="A115" s="7" t="n">
        <v>2021</v>
      </c>
      <c r="B115" s="8" t="n">
        <v>105</v>
      </c>
      <c r="C115" s="9" t="s">
        <v>715</v>
      </c>
      <c r="D115" s="9" t="s">
        <v>676</v>
      </c>
      <c r="E115" s="9" t="s">
        <v>586</v>
      </c>
      <c r="F115" s="9" t="s">
        <v>645</v>
      </c>
      <c r="G115" s="9" t="s">
        <v>50</v>
      </c>
      <c r="H115" s="9" t="s">
        <v>51</v>
      </c>
      <c r="I115" s="9" t="s">
        <v>51</v>
      </c>
      <c r="J115" s="9" t="s">
        <v>51</v>
      </c>
      <c r="K115" s="9" t="s">
        <v>51</v>
      </c>
      <c r="L115" s="9" t="s">
        <v>51</v>
      </c>
      <c r="M115" s="9" t="s">
        <v>51</v>
      </c>
      <c r="N115" s="9" t="s">
        <v>68</v>
      </c>
      <c r="O115" s="9" t="s">
        <v>51</v>
      </c>
      <c r="P115" s="9" t="n">
        <v>219615</v>
      </c>
      <c r="Q115" s="9" t="n">
        <v>176385</v>
      </c>
      <c r="R115" s="10" t="n">
        <f aca="false">(Q115/P115)*100</f>
        <v>80.3155522163787</v>
      </c>
      <c r="S115" s="9" t="n">
        <f aca="false">Y115-AD115</f>
        <v>1275</v>
      </c>
      <c r="T115" s="10" t="n">
        <f aca="false">(S115/Q115)*100</f>
        <v>0.722850582532528</v>
      </c>
      <c r="U115" s="10" t="n">
        <f aca="false">Z115+AE115</f>
        <v>88.96278028177</v>
      </c>
      <c r="V115" s="9" t="s">
        <v>52</v>
      </c>
      <c r="W115" s="9" t="s">
        <v>53</v>
      </c>
      <c r="X115" s="9" t="s">
        <v>716</v>
      </c>
      <c r="Y115" s="9" t="n">
        <v>79096</v>
      </c>
      <c r="Z115" s="10" t="n">
        <f aca="false">(Y115/Q115)*100</f>
        <v>44.8428154321513</v>
      </c>
      <c r="AA115" s="9" t="s">
        <v>55</v>
      </c>
      <c r="AB115" s="9" t="s">
        <v>68</v>
      </c>
      <c r="AC115" s="9" t="s">
        <v>717</v>
      </c>
      <c r="AD115" s="9" t="n">
        <v>77821</v>
      </c>
      <c r="AE115" s="10" t="n">
        <f aca="false">(AD115/Q115)*100</f>
        <v>44.1199648496187</v>
      </c>
      <c r="AF115" s="9" t="s">
        <v>58</v>
      </c>
      <c r="AG115" s="9" t="s">
        <v>58</v>
      </c>
      <c r="AH115" s="9" t="s">
        <v>718</v>
      </c>
      <c r="AI115" s="9" t="n">
        <v>8230</v>
      </c>
      <c r="AJ115" s="10" t="n">
        <f aca="false">(AI115/Q115)*100</f>
        <v>4.6659296425433</v>
      </c>
      <c r="AK115" s="9" t="s">
        <v>71</v>
      </c>
      <c r="AL115" s="9" t="s">
        <v>72</v>
      </c>
      <c r="AM115" s="9" t="s">
        <v>719</v>
      </c>
      <c r="AN115" s="9" t="n">
        <v>2474</v>
      </c>
      <c r="AO115" s="10" t="n">
        <f aca="false">(AN115/Q115)*100</f>
        <v>1.40261360092978</v>
      </c>
      <c r="AP115" s="9" t="s">
        <v>720</v>
      </c>
      <c r="AQ115" s="9" t="s">
        <v>720</v>
      </c>
      <c r="AR115" s="9" t="s">
        <v>721</v>
      </c>
      <c r="AS115" s="9" t="n">
        <v>2045</v>
      </c>
      <c r="AT115" s="10" t="n">
        <f aca="false">(AS115/Q115)*100</f>
        <v>1.15939564021884</v>
      </c>
    </row>
    <row r="116" customFormat="false" ht="12.8" hidden="false" customHeight="false" outlineLevel="0" collapsed="false">
      <c r="A116" s="7" t="n">
        <v>2021</v>
      </c>
      <c r="B116" s="8" t="n">
        <v>106</v>
      </c>
      <c r="C116" s="9" t="s">
        <v>722</v>
      </c>
      <c r="D116" s="9" t="s">
        <v>676</v>
      </c>
      <c r="E116" s="9" t="s">
        <v>586</v>
      </c>
      <c r="F116" s="9" t="s">
        <v>645</v>
      </c>
      <c r="G116" s="9" t="s">
        <v>77</v>
      </c>
      <c r="H116" s="9" t="s">
        <v>51</v>
      </c>
      <c r="I116" s="9" t="s">
        <v>51</v>
      </c>
      <c r="J116" s="9" t="s">
        <v>51</v>
      </c>
      <c r="K116" s="9" t="s">
        <v>68</v>
      </c>
      <c r="L116" s="9" t="s">
        <v>51</v>
      </c>
      <c r="M116" s="9" t="s">
        <v>68</v>
      </c>
      <c r="N116" s="9" t="s">
        <v>68</v>
      </c>
      <c r="O116" s="9" t="s">
        <v>51</v>
      </c>
      <c r="P116" s="9" t="n">
        <v>256363</v>
      </c>
      <c r="Q116" s="9" t="n">
        <v>214281</v>
      </c>
      <c r="R116" s="10" t="n">
        <f aca="false">(Q116/P116)*100</f>
        <v>83.5849947145259</v>
      </c>
      <c r="S116" s="9" t="n">
        <f aca="false">Y116-AD116</f>
        <v>28563</v>
      </c>
      <c r="T116" s="10" t="n">
        <f aca="false">(S116/Q116)*100</f>
        <v>13.3296932532516</v>
      </c>
      <c r="U116" s="10" t="n">
        <f aca="false">Z116+AE116</f>
        <v>88.0400035467447</v>
      </c>
      <c r="V116" s="9" t="s">
        <v>55</v>
      </c>
      <c r="W116" s="9" t="s">
        <v>68</v>
      </c>
      <c r="X116" s="9" t="s">
        <v>723</v>
      </c>
      <c r="Y116" s="9" t="n">
        <v>108608</v>
      </c>
      <c r="Z116" s="10" t="n">
        <f aca="false">(Y116/Q116)*100</f>
        <v>50.6848483999981</v>
      </c>
      <c r="AA116" s="9" t="s">
        <v>52</v>
      </c>
      <c r="AB116" s="9" t="s">
        <v>53</v>
      </c>
      <c r="AC116" s="9" t="s">
        <v>724</v>
      </c>
      <c r="AD116" s="9" t="n">
        <v>80045</v>
      </c>
      <c r="AE116" s="10" t="n">
        <f aca="false">(AD116/Q116)*100</f>
        <v>37.3551551467466</v>
      </c>
      <c r="AF116" s="9" t="s">
        <v>58</v>
      </c>
      <c r="AG116" s="9" t="s">
        <v>58</v>
      </c>
      <c r="AH116" s="9" t="s">
        <v>725</v>
      </c>
      <c r="AI116" s="9" t="n">
        <v>11709</v>
      </c>
      <c r="AJ116" s="10" t="n">
        <f aca="false">(AI116/Q116)*100</f>
        <v>5.46432021504473</v>
      </c>
      <c r="AK116" s="9" t="s">
        <v>71</v>
      </c>
      <c r="AL116" s="9" t="s">
        <v>72</v>
      </c>
      <c r="AM116" s="9" t="s">
        <v>726</v>
      </c>
      <c r="AN116" s="9" t="n">
        <v>4291</v>
      </c>
      <c r="AO116" s="10" t="n">
        <f aca="false">(AN116/Q116)*100</f>
        <v>2.00251072190255</v>
      </c>
      <c r="AP116" s="9" t="s">
        <v>60</v>
      </c>
      <c r="AQ116" s="9" t="s">
        <v>74</v>
      </c>
      <c r="AR116" s="9" t="s">
        <v>727</v>
      </c>
      <c r="AS116" s="9" t="n">
        <v>2682</v>
      </c>
      <c r="AT116" s="10" t="n">
        <f aca="false">(AS116/Q116)*100</f>
        <v>1.25162753580579</v>
      </c>
    </row>
    <row r="117" customFormat="false" ht="12.8" hidden="false" customHeight="false" outlineLevel="0" collapsed="false">
      <c r="A117" s="7" t="n">
        <v>2021</v>
      </c>
      <c r="B117" s="8" t="n">
        <v>107</v>
      </c>
      <c r="C117" s="9" t="s">
        <v>728</v>
      </c>
      <c r="D117" s="9" t="s">
        <v>676</v>
      </c>
      <c r="E117" s="9" t="s">
        <v>586</v>
      </c>
      <c r="F117" s="9" t="s">
        <v>645</v>
      </c>
      <c r="G117" s="9" t="s">
        <v>50</v>
      </c>
      <c r="H117" s="9" t="s">
        <v>65</v>
      </c>
      <c r="I117" s="9" t="s">
        <v>51</v>
      </c>
      <c r="J117" s="9" t="s">
        <v>51</v>
      </c>
      <c r="K117" s="9" t="s">
        <v>51</v>
      </c>
      <c r="L117" s="9" t="s">
        <v>68</v>
      </c>
      <c r="M117" s="9" t="s">
        <v>51</v>
      </c>
      <c r="N117" s="9" t="s">
        <v>68</v>
      </c>
      <c r="O117" s="9" t="s">
        <v>51</v>
      </c>
      <c r="P117" s="9" t="n">
        <v>260249</v>
      </c>
      <c r="Q117" s="9" t="n">
        <v>200567</v>
      </c>
      <c r="R117" s="10" t="n">
        <f aca="false">(Q117/P117)*100</f>
        <v>77.0673470407187</v>
      </c>
      <c r="S117" s="9" t="n">
        <f aca="false">Y117-AD117</f>
        <v>16008</v>
      </c>
      <c r="T117" s="10" t="n">
        <f aca="false">(S117/Q117)*100</f>
        <v>7.98137280808907</v>
      </c>
      <c r="U117" s="10" t="n">
        <f aca="false">Z117+AE117</f>
        <v>90.9192439434204</v>
      </c>
      <c r="V117" s="9" t="s">
        <v>55</v>
      </c>
      <c r="W117" s="9" t="s">
        <v>68</v>
      </c>
      <c r="X117" s="9" t="s">
        <v>729</v>
      </c>
      <c r="Y117" s="9" t="n">
        <v>99181</v>
      </c>
      <c r="Z117" s="10" t="n">
        <f aca="false">(Y117/Q117)*100</f>
        <v>49.4503083757547</v>
      </c>
      <c r="AA117" s="9" t="s">
        <v>52</v>
      </c>
      <c r="AB117" s="9" t="s">
        <v>422</v>
      </c>
      <c r="AC117" s="9" t="s">
        <v>730</v>
      </c>
      <c r="AD117" s="9" t="n">
        <v>83173</v>
      </c>
      <c r="AE117" s="10" t="n">
        <f aca="false">(AD117/Q117)*100</f>
        <v>41.4689355676657</v>
      </c>
      <c r="AF117" s="9" t="s">
        <v>58</v>
      </c>
      <c r="AG117" s="9" t="s">
        <v>58</v>
      </c>
      <c r="AH117" s="9" t="s">
        <v>731</v>
      </c>
      <c r="AI117" s="9" t="n">
        <v>8517</v>
      </c>
      <c r="AJ117" s="10" t="n">
        <f aca="false">(AI117/Q117)*100</f>
        <v>4.24646128226478</v>
      </c>
      <c r="AK117" s="9" t="s">
        <v>71</v>
      </c>
      <c r="AL117" s="9" t="s">
        <v>72</v>
      </c>
      <c r="AM117" s="9" t="s">
        <v>732</v>
      </c>
      <c r="AN117" s="9" t="n">
        <v>4297</v>
      </c>
      <c r="AO117" s="10" t="n">
        <f aca="false">(AN117/Q117)*100</f>
        <v>2.14242622166159</v>
      </c>
      <c r="AP117" s="9" t="s">
        <v>60</v>
      </c>
      <c r="AQ117" s="9" t="s">
        <v>61</v>
      </c>
      <c r="AR117" s="9" t="s">
        <v>733</v>
      </c>
      <c r="AS117" s="9" t="n">
        <v>2197</v>
      </c>
      <c r="AT117" s="10" t="n">
        <f aca="false">(AS117/Q117)*100</f>
        <v>1.09539455643251</v>
      </c>
    </row>
    <row r="118" customFormat="false" ht="12.8" hidden="false" customHeight="false" outlineLevel="0" collapsed="false">
      <c r="A118" s="7" t="n">
        <v>2021</v>
      </c>
      <c r="B118" s="8" t="n">
        <v>108</v>
      </c>
      <c r="C118" s="9" t="s">
        <v>734</v>
      </c>
      <c r="D118" s="9" t="s">
        <v>735</v>
      </c>
      <c r="E118" s="9" t="s">
        <v>586</v>
      </c>
      <c r="F118" s="9" t="s">
        <v>736</v>
      </c>
      <c r="G118" s="9" t="s">
        <v>77</v>
      </c>
      <c r="H118" s="9" t="s">
        <v>51</v>
      </c>
      <c r="I118" s="9" t="s">
        <v>316</v>
      </c>
      <c r="J118" s="9" t="s">
        <v>51</v>
      </c>
      <c r="K118" s="9" t="s">
        <v>51</v>
      </c>
      <c r="L118" s="9" t="s">
        <v>51</v>
      </c>
      <c r="M118" s="9" t="s">
        <v>51</v>
      </c>
      <c r="N118" s="9" t="s">
        <v>66</v>
      </c>
      <c r="O118" s="9" t="s">
        <v>51</v>
      </c>
      <c r="P118" s="9" t="n">
        <v>206039</v>
      </c>
      <c r="Q118" s="9" t="n">
        <v>141102</v>
      </c>
      <c r="R118" s="10" t="n">
        <f aca="false">(Q118/P118)*100</f>
        <v>68.4831512480647</v>
      </c>
      <c r="S118" s="9" t="n">
        <f aca="false">Y118-AD118</f>
        <v>5348</v>
      </c>
      <c r="T118" s="10" t="n">
        <f aca="false">(S118/Q118)*100</f>
        <v>3.79016597922071</v>
      </c>
      <c r="U118" s="10" t="n">
        <f aca="false">Z118+AE118</f>
        <v>89.0929965556831</v>
      </c>
      <c r="V118" s="9" t="s">
        <v>52</v>
      </c>
      <c r="W118" s="9" t="s">
        <v>66</v>
      </c>
      <c r="X118" s="9" t="s">
        <v>737</v>
      </c>
      <c r="Y118" s="9" t="n">
        <v>65530</v>
      </c>
      <c r="Z118" s="10" t="n">
        <f aca="false">(Y118/Q118)*100</f>
        <v>46.4415812674519</v>
      </c>
      <c r="AA118" s="9" t="s">
        <v>55</v>
      </c>
      <c r="AB118" s="9" t="s">
        <v>171</v>
      </c>
      <c r="AC118" s="9" t="s">
        <v>738</v>
      </c>
      <c r="AD118" s="9" t="n">
        <v>60182</v>
      </c>
      <c r="AE118" s="10" t="n">
        <f aca="false">(AD118/Q118)*100</f>
        <v>42.6514152882312</v>
      </c>
      <c r="AF118" s="9" t="s">
        <v>58</v>
      </c>
      <c r="AG118" s="9" t="s">
        <v>58</v>
      </c>
      <c r="AH118" s="9" t="s">
        <v>739</v>
      </c>
      <c r="AI118" s="9" t="n">
        <v>6381</v>
      </c>
      <c r="AJ118" s="10" t="n">
        <f aca="false">(AI118/Q118)*100</f>
        <v>4.52226049240975</v>
      </c>
      <c r="AK118" s="9" t="s">
        <v>71</v>
      </c>
      <c r="AL118" s="9" t="s">
        <v>72</v>
      </c>
      <c r="AM118" s="9" t="s">
        <v>740</v>
      </c>
      <c r="AN118" s="9" t="n">
        <v>4935</v>
      </c>
      <c r="AO118" s="10" t="n">
        <f aca="false">(AN118/Q118)*100</f>
        <v>3.49746991538036</v>
      </c>
      <c r="AP118" s="9" t="s">
        <v>63</v>
      </c>
      <c r="AQ118" s="9" t="s">
        <v>63</v>
      </c>
      <c r="AR118" s="9" t="s">
        <v>63</v>
      </c>
      <c r="AS118" s="9" t="n">
        <v>1376</v>
      </c>
      <c r="AT118" s="10" t="n">
        <f aca="false">(AS118/Q118)*100</f>
        <v>0.975181074683562</v>
      </c>
    </row>
    <row r="119" customFormat="false" ht="12.8" hidden="false" customHeight="false" outlineLevel="0" collapsed="false">
      <c r="A119" s="7" t="n">
        <v>2021</v>
      </c>
      <c r="B119" s="8" t="n">
        <v>109</v>
      </c>
      <c r="C119" s="9" t="s">
        <v>741</v>
      </c>
      <c r="D119" s="9" t="s">
        <v>735</v>
      </c>
      <c r="E119" s="9" t="s">
        <v>586</v>
      </c>
      <c r="F119" s="9" t="s">
        <v>736</v>
      </c>
      <c r="G119" s="9" t="s">
        <v>77</v>
      </c>
      <c r="H119" s="9" t="s">
        <v>65</v>
      </c>
      <c r="I119" s="9" t="s">
        <v>316</v>
      </c>
      <c r="J119" s="9" t="s">
        <v>51</v>
      </c>
      <c r="K119" s="9" t="s">
        <v>51</v>
      </c>
      <c r="L119" s="9" t="s">
        <v>51</v>
      </c>
      <c r="M119" s="9" t="s">
        <v>51</v>
      </c>
      <c r="N119" s="9" t="s">
        <v>51</v>
      </c>
      <c r="O119" s="9" t="s">
        <v>51</v>
      </c>
      <c r="P119" s="9" t="n">
        <v>189221</v>
      </c>
      <c r="Q119" s="9" t="n">
        <v>138257</v>
      </c>
      <c r="R119" s="10" t="n">
        <f aca="false">(Q119/P119)*100</f>
        <v>73.0664144043209</v>
      </c>
      <c r="S119" s="9" t="n">
        <f aca="false">Y119-AD119</f>
        <v>1945</v>
      </c>
      <c r="T119" s="10" t="n">
        <f aca="false">(S119/Q119)*100</f>
        <v>1.40680037900432</v>
      </c>
      <c r="U119" s="10" t="n">
        <f aca="false">Z119+AE119</f>
        <v>91.8919114402887</v>
      </c>
      <c r="V119" s="9" t="s">
        <v>55</v>
      </c>
      <c r="W119" s="9" t="s">
        <v>68</v>
      </c>
      <c r="X119" s="9" t="s">
        <v>742</v>
      </c>
      <c r="Y119" s="9" t="n">
        <v>64496</v>
      </c>
      <c r="Z119" s="10" t="n">
        <f aca="false">(Y119/Q119)*100</f>
        <v>46.6493559096465</v>
      </c>
      <c r="AA119" s="9" t="s">
        <v>52</v>
      </c>
      <c r="AB119" s="9" t="s">
        <v>53</v>
      </c>
      <c r="AC119" s="9" t="s">
        <v>743</v>
      </c>
      <c r="AD119" s="9" t="n">
        <v>62551</v>
      </c>
      <c r="AE119" s="10" t="n">
        <f aca="false">(AD119/Q119)*100</f>
        <v>45.2425555306422</v>
      </c>
      <c r="AF119" s="9" t="s">
        <v>58</v>
      </c>
      <c r="AG119" s="9" t="s">
        <v>58</v>
      </c>
      <c r="AH119" s="9" t="s">
        <v>744</v>
      </c>
      <c r="AI119" s="9" t="n">
        <v>7317</v>
      </c>
      <c r="AJ119" s="10" t="n">
        <f aca="false">(AI119/Q119)*100</f>
        <v>5.29231792965275</v>
      </c>
      <c r="AK119" s="9" t="s">
        <v>60</v>
      </c>
      <c r="AL119" s="9" t="s">
        <v>61</v>
      </c>
      <c r="AM119" s="9" t="s">
        <v>745</v>
      </c>
      <c r="AN119" s="9" t="n">
        <v>1173</v>
      </c>
      <c r="AO119" s="10" t="n">
        <f aca="false">(AN119/Q119)*100</f>
        <v>0.848419971502347</v>
      </c>
      <c r="AP119" s="9" t="s">
        <v>63</v>
      </c>
      <c r="AQ119" s="9" t="s">
        <v>63</v>
      </c>
      <c r="AR119" s="9" t="s">
        <v>63</v>
      </c>
      <c r="AS119" s="9" t="n">
        <v>1017</v>
      </c>
      <c r="AT119" s="10" t="n">
        <f aca="false">(AS119/Q119)*100</f>
        <v>0.735586624908685</v>
      </c>
    </row>
    <row r="120" customFormat="false" ht="12.8" hidden="false" customHeight="false" outlineLevel="0" collapsed="false">
      <c r="A120" s="7" t="n">
        <v>2021</v>
      </c>
      <c r="B120" s="8" t="n">
        <v>110</v>
      </c>
      <c r="C120" s="9" t="s">
        <v>746</v>
      </c>
      <c r="D120" s="9" t="s">
        <v>735</v>
      </c>
      <c r="E120" s="9" t="s">
        <v>586</v>
      </c>
      <c r="F120" s="9" t="s">
        <v>736</v>
      </c>
      <c r="G120" s="9" t="s">
        <v>77</v>
      </c>
      <c r="H120" s="9" t="s">
        <v>51</v>
      </c>
      <c r="I120" s="9" t="s">
        <v>51</v>
      </c>
      <c r="J120" s="9" t="s">
        <v>51</v>
      </c>
      <c r="K120" s="9" t="s">
        <v>51</v>
      </c>
      <c r="L120" s="9" t="s">
        <v>51</v>
      </c>
      <c r="M120" s="9" t="s">
        <v>51</v>
      </c>
      <c r="N120" s="9" t="s">
        <v>53</v>
      </c>
      <c r="O120" s="9" t="s">
        <v>51</v>
      </c>
      <c r="P120" s="9" t="n">
        <v>192118</v>
      </c>
      <c r="Q120" s="9" t="n">
        <v>135908</v>
      </c>
      <c r="R120" s="10" t="n">
        <f aca="false">(Q120/P120)*100</f>
        <v>70.7419398494675</v>
      </c>
      <c r="S120" s="9" t="n">
        <f aca="false">Y120-AD120</f>
        <v>4105</v>
      </c>
      <c r="T120" s="10" t="n">
        <f aca="false">(S120/Q120)*100</f>
        <v>3.02042558201136</v>
      </c>
      <c r="U120" s="10" t="n">
        <f aca="false">Z120+AE120</f>
        <v>87.9528798893369</v>
      </c>
      <c r="V120" s="9" t="s">
        <v>52</v>
      </c>
      <c r="W120" s="9" t="s">
        <v>53</v>
      </c>
      <c r="X120" s="9" t="s">
        <v>747</v>
      </c>
      <c r="Y120" s="9" t="n">
        <v>61820</v>
      </c>
      <c r="Z120" s="10" t="n">
        <f aca="false">(Y120/Q120)*100</f>
        <v>45.4866527356741</v>
      </c>
      <c r="AA120" s="9" t="s">
        <v>55</v>
      </c>
      <c r="AB120" s="9" t="s">
        <v>68</v>
      </c>
      <c r="AC120" s="9" t="s">
        <v>748</v>
      </c>
      <c r="AD120" s="9" t="n">
        <v>57715</v>
      </c>
      <c r="AE120" s="10" t="n">
        <f aca="false">(AD120/Q120)*100</f>
        <v>42.4662271536628</v>
      </c>
      <c r="AF120" s="9" t="s">
        <v>58</v>
      </c>
      <c r="AG120" s="9" t="s">
        <v>58</v>
      </c>
      <c r="AH120" s="9" t="s">
        <v>749</v>
      </c>
      <c r="AI120" s="9" t="n">
        <v>7252</v>
      </c>
      <c r="AJ120" s="10" t="n">
        <f aca="false">(AI120/Q120)*100</f>
        <v>5.3359625629102</v>
      </c>
      <c r="AK120" s="9" t="s">
        <v>71</v>
      </c>
      <c r="AL120" s="9" t="s">
        <v>72</v>
      </c>
      <c r="AM120" s="9" t="s">
        <v>750</v>
      </c>
      <c r="AN120" s="9" t="n">
        <v>3621</v>
      </c>
      <c r="AO120" s="10" t="n">
        <f aca="false">(AN120/Q120)*100</f>
        <v>2.66430232215911</v>
      </c>
      <c r="AP120" s="9" t="s">
        <v>60</v>
      </c>
      <c r="AQ120" s="9" t="s">
        <v>74</v>
      </c>
      <c r="AR120" s="9" t="s">
        <v>751</v>
      </c>
      <c r="AS120" s="9" t="n">
        <v>2527</v>
      </c>
      <c r="AT120" s="10" t="n">
        <f aca="false">(AS120/Q120)*100</f>
        <v>1.85934602819554</v>
      </c>
    </row>
    <row r="121" customFormat="false" ht="12.8" hidden="false" customHeight="false" outlineLevel="0" collapsed="false">
      <c r="A121" s="7" t="n">
        <v>2021</v>
      </c>
      <c r="B121" s="8" t="n">
        <v>111</v>
      </c>
      <c r="C121" s="9" t="s">
        <v>752</v>
      </c>
      <c r="D121" s="9" t="s">
        <v>753</v>
      </c>
      <c r="E121" s="9" t="s">
        <v>586</v>
      </c>
      <c r="F121" s="9" t="s">
        <v>754</v>
      </c>
      <c r="G121" s="9" t="s">
        <v>77</v>
      </c>
      <c r="H121" s="9" t="s">
        <v>51</v>
      </c>
      <c r="I121" s="9" t="s">
        <v>51</v>
      </c>
      <c r="J121" s="9" t="s">
        <v>51</v>
      </c>
      <c r="K121" s="9" t="s">
        <v>51</v>
      </c>
      <c r="L121" s="9" t="s">
        <v>68</v>
      </c>
      <c r="M121" s="9" t="s">
        <v>68</v>
      </c>
      <c r="N121" s="9" t="s">
        <v>51</v>
      </c>
      <c r="O121" s="9" t="s">
        <v>51</v>
      </c>
      <c r="P121" s="9" t="n">
        <v>296937</v>
      </c>
      <c r="Q121" s="9" t="n">
        <v>225083</v>
      </c>
      <c r="R121" s="10" t="n">
        <f aca="false">(Q121/P121)*100</f>
        <v>75.8016010130095</v>
      </c>
      <c r="S121" s="9" t="n">
        <f aca="false">Y121-AD121</f>
        <v>2456</v>
      </c>
      <c r="T121" s="10" t="n">
        <f aca="false">(S121/Q121)*100</f>
        <v>1.09115304132253</v>
      </c>
      <c r="U121" s="10" t="n">
        <f aca="false">Z121+AE121</f>
        <v>92.413020974485</v>
      </c>
      <c r="V121" s="9" t="s">
        <v>55</v>
      </c>
      <c r="W121" s="9" t="s">
        <v>68</v>
      </c>
      <c r="X121" s="9" t="s">
        <v>755</v>
      </c>
      <c r="Y121" s="9" t="n">
        <v>105231</v>
      </c>
      <c r="Z121" s="10" t="n">
        <f aca="false">(Y121/Q121)*100</f>
        <v>46.7520870079038</v>
      </c>
      <c r="AA121" s="9" t="s">
        <v>52</v>
      </c>
      <c r="AB121" s="9" t="s">
        <v>53</v>
      </c>
      <c r="AC121" s="9" t="s">
        <v>756</v>
      </c>
      <c r="AD121" s="9" t="n">
        <v>102775</v>
      </c>
      <c r="AE121" s="10" t="n">
        <f aca="false">(AD121/Q121)*100</f>
        <v>45.6609339665812</v>
      </c>
      <c r="AF121" s="9" t="s">
        <v>58</v>
      </c>
      <c r="AG121" s="9" t="s">
        <v>58</v>
      </c>
      <c r="AH121" s="9" t="s">
        <v>757</v>
      </c>
      <c r="AI121" s="9" t="n">
        <v>10954</v>
      </c>
      <c r="AJ121" s="10" t="n">
        <f aca="false">(AI121/Q121)*100</f>
        <v>4.86664919163153</v>
      </c>
      <c r="AK121" s="9" t="s">
        <v>63</v>
      </c>
      <c r="AL121" s="9" t="s">
        <v>63</v>
      </c>
      <c r="AM121" s="9" t="s">
        <v>63</v>
      </c>
      <c r="AN121" s="9" t="n">
        <v>2733</v>
      </c>
      <c r="AO121" s="10" t="n">
        <f aca="false">(AN121/Q121)*100</f>
        <v>1.21421875485932</v>
      </c>
      <c r="AP121" s="9" t="s">
        <v>60</v>
      </c>
      <c r="AQ121" s="9" t="s">
        <v>74</v>
      </c>
      <c r="AR121" s="9" t="s">
        <v>758</v>
      </c>
      <c r="AS121" s="9" t="n">
        <v>1864</v>
      </c>
      <c r="AT121" s="10" t="n">
        <f aca="false">(AS121/Q121)*100</f>
        <v>0.828138953186158</v>
      </c>
    </row>
    <row r="122" customFormat="false" ht="12.8" hidden="false" customHeight="false" outlineLevel="0" collapsed="false">
      <c r="A122" s="7" t="n">
        <v>2021</v>
      </c>
      <c r="B122" s="8" t="n">
        <v>112</v>
      </c>
      <c r="C122" s="9" t="s">
        <v>759</v>
      </c>
      <c r="D122" s="9" t="s">
        <v>693</v>
      </c>
      <c r="E122" s="9" t="s">
        <v>586</v>
      </c>
      <c r="F122" s="9" t="s">
        <v>694</v>
      </c>
      <c r="G122" s="9" t="s">
        <v>77</v>
      </c>
      <c r="H122" s="9" t="s">
        <v>65</v>
      </c>
      <c r="I122" s="9" t="s">
        <v>51</v>
      </c>
      <c r="J122" s="9" t="s">
        <v>51</v>
      </c>
      <c r="K122" s="9" t="s">
        <v>51</v>
      </c>
      <c r="L122" s="9" t="s">
        <v>51</v>
      </c>
      <c r="M122" s="9" t="s">
        <v>68</v>
      </c>
      <c r="N122" s="9" t="s">
        <v>51</v>
      </c>
      <c r="O122" s="9" t="s">
        <v>51</v>
      </c>
      <c r="P122" s="9" t="n">
        <v>280560</v>
      </c>
      <c r="Q122" s="9" t="n">
        <v>212627</v>
      </c>
      <c r="R122" s="10" t="n">
        <f aca="false">(Q122/P122)*100</f>
        <v>75.7866410037069</v>
      </c>
      <c r="S122" s="9" t="n">
        <f aca="false">Y122-AD122</f>
        <v>50902</v>
      </c>
      <c r="T122" s="10" t="n">
        <f aca="false">(S122/Q122)*100</f>
        <v>23.939574936391</v>
      </c>
      <c r="U122" s="10" t="n">
        <f aca="false">Z122+AE122</f>
        <v>86.3794344086123</v>
      </c>
      <c r="V122" s="9" t="s">
        <v>55</v>
      </c>
      <c r="W122" s="9" t="s">
        <v>68</v>
      </c>
      <c r="X122" s="9" t="s">
        <v>760</v>
      </c>
      <c r="Y122" s="9" t="n">
        <v>117284</v>
      </c>
      <c r="Z122" s="10" t="n">
        <f aca="false">(Y122/Q122)*100</f>
        <v>55.1595046725016</v>
      </c>
      <c r="AA122" s="9" t="s">
        <v>52</v>
      </c>
      <c r="AB122" s="9" t="s">
        <v>53</v>
      </c>
      <c r="AC122" s="9" t="s">
        <v>761</v>
      </c>
      <c r="AD122" s="9" t="n">
        <v>66382</v>
      </c>
      <c r="AE122" s="10" t="n">
        <f aca="false">(AD122/Q122)*100</f>
        <v>31.2199297361107</v>
      </c>
      <c r="AF122" s="9" t="s">
        <v>58</v>
      </c>
      <c r="AG122" s="9" t="s">
        <v>58</v>
      </c>
      <c r="AH122" s="9" t="s">
        <v>762</v>
      </c>
      <c r="AI122" s="9" t="n">
        <v>13256</v>
      </c>
      <c r="AJ122" s="10" t="n">
        <f aca="false">(AI122/Q122)*100</f>
        <v>6.234391681207</v>
      </c>
      <c r="AK122" s="9" t="s">
        <v>71</v>
      </c>
      <c r="AL122" s="9" t="s">
        <v>72</v>
      </c>
      <c r="AM122" s="9" t="s">
        <v>763</v>
      </c>
      <c r="AN122" s="9" t="n">
        <v>8379</v>
      </c>
      <c r="AO122" s="10" t="n">
        <f aca="false">(AN122/Q122)*100</f>
        <v>3.94070367356921</v>
      </c>
      <c r="AP122" s="9" t="s">
        <v>60</v>
      </c>
      <c r="AQ122" s="9" t="s">
        <v>61</v>
      </c>
      <c r="AR122" s="9" t="s">
        <v>764</v>
      </c>
      <c r="AS122" s="9" t="n">
        <v>2577</v>
      </c>
      <c r="AT122" s="10" t="n">
        <f aca="false">(AS122/Q122)*100</f>
        <v>1.21198154514714</v>
      </c>
    </row>
    <row r="123" customFormat="false" ht="12.8" hidden="false" customHeight="false" outlineLevel="0" collapsed="false">
      <c r="A123" s="7" t="n">
        <v>2021</v>
      </c>
      <c r="B123" s="8" t="n">
        <v>113</v>
      </c>
      <c r="C123" s="9" t="s">
        <v>765</v>
      </c>
      <c r="D123" s="9" t="s">
        <v>693</v>
      </c>
      <c r="E123" s="9" t="s">
        <v>586</v>
      </c>
      <c r="F123" s="9" t="s">
        <v>694</v>
      </c>
      <c r="G123" s="9" t="s">
        <v>88</v>
      </c>
      <c r="H123" s="9" t="s">
        <v>51</v>
      </c>
      <c r="I123" s="9" t="s">
        <v>51</v>
      </c>
      <c r="J123" s="9" t="s">
        <v>51</v>
      </c>
      <c r="K123" s="9" t="s">
        <v>51</v>
      </c>
      <c r="L123" s="9" t="s">
        <v>51</v>
      </c>
      <c r="M123" s="9" t="s">
        <v>68</v>
      </c>
      <c r="N123" s="9" t="s">
        <v>51</v>
      </c>
      <c r="O123" s="9" t="s">
        <v>51</v>
      </c>
      <c r="P123" s="9" t="n">
        <v>379139</v>
      </c>
      <c r="Q123" s="9" t="n">
        <v>238092</v>
      </c>
      <c r="R123" s="10" t="n">
        <f aca="false">(Q123/P123)*100</f>
        <v>62.798076694827</v>
      </c>
      <c r="S123" s="9" t="n">
        <f aca="false">Y123-AD123</f>
        <v>40102</v>
      </c>
      <c r="T123" s="10" t="n">
        <f aca="false">(S123/Q123)*100</f>
        <v>16.8430690657393</v>
      </c>
      <c r="U123" s="10" t="n">
        <f aca="false">Z123+AE123</f>
        <v>78.400786250693</v>
      </c>
      <c r="V123" s="9" t="s">
        <v>55</v>
      </c>
      <c r="W123" s="9" t="s">
        <v>68</v>
      </c>
      <c r="X123" s="9" t="s">
        <v>766</v>
      </c>
      <c r="Y123" s="9" t="n">
        <v>113384</v>
      </c>
      <c r="Z123" s="10" t="n">
        <f aca="false">(Y123/Q123)*100</f>
        <v>47.6219276582162</v>
      </c>
      <c r="AA123" s="9" t="s">
        <v>52</v>
      </c>
      <c r="AB123" s="9" t="s">
        <v>767</v>
      </c>
      <c r="AC123" s="9" t="s">
        <v>768</v>
      </c>
      <c r="AD123" s="9" t="n">
        <v>73282</v>
      </c>
      <c r="AE123" s="10" t="n">
        <f aca="false">(AD123/Q123)*100</f>
        <v>30.7788585924769</v>
      </c>
      <c r="AF123" s="9" t="s">
        <v>58</v>
      </c>
      <c r="AG123" s="9" t="s">
        <v>58</v>
      </c>
      <c r="AH123" s="9" t="s">
        <v>769</v>
      </c>
      <c r="AI123" s="9" t="n">
        <v>23110</v>
      </c>
      <c r="AJ123" s="10" t="n">
        <f aca="false">(AI123/Q123)*100</f>
        <v>9.70633200611528</v>
      </c>
      <c r="AK123" s="9" t="s">
        <v>71</v>
      </c>
      <c r="AL123" s="9" t="s">
        <v>72</v>
      </c>
      <c r="AM123" s="9" t="s">
        <v>770</v>
      </c>
      <c r="AN123" s="9" t="n">
        <v>19602</v>
      </c>
      <c r="AO123" s="10" t="n">
        <f aca="false">(AN123/Q123)*100</f>
        <v>8.23295196814677</v>
      </c>
      <c r="AP123" s="9" t="s">
        <v>60</v>
      </c>
      <c r="AQ123" s="9" t="s">
        <v>61</v>
      </c>
      <c r="AR123" s="9" t="s">
        <v>771</v>
      </c>
      <c r="AS123" s="9" t="n">
        <v>3427</v>
      </c>
      <c r="AT123" s="10" t="n">
        <f aca="false">(AS123/Q123)*100</f>
        <v>1.43935957529022</v>
      </c>
    </row>
    <row r="124" customFormat="false" ht="12.8" hidden="false" customHeight="false" outlineLevel="0" collapsed="false">
      <c r="A124" s="7" t="n">
        <v>2021</v>
      </c>
      <c r="B124" s="8" t="n">
        <v>114</v>
      </c>
      <c r="C124" s="9" t="s">
        <v>772</v>
      </c>
      <c r="D124" s="9" t="s">
        <v>693</v>
      </c>
      <c r="E124" s="9" t="s">
        <v>586</v>
      </c>
      <c r="F124" s="9" t="s">
        <v>694</v>
      </c>
      <c r="G124" s="9" t="s">
        <v>88</v>
      </c>
      <c r="H124" s="9" t="s">
        <v>51</v>
      </c>
      <c r="I124" s="9" t="s">
        <v>51</v>
      </c>
      <c r="J124" s="9" t="s">
        <v>51</v>
      </c>
      <c r="K124" s="9" t="s">
        <v>51</v>
      </c>
      <c r="L124" s="9" t="s">
        <v>51</v>
      </c>
      <c r="M124" s="9" t="s">
        <v>51</v>
      </c>
      <c r="N124" s="9" t="s">
        <v>51</v>
      </c>
      <c r="O124" s="9" t="s">
        <v>51</v>
      </c>
      <c r="P124" s="9" t="n">
        <v>276483</v>
      </c>
      <c r="Q124" s="9" t="n">
        <v>174412</v>
      </c>
      <c r="R124" s="10" t="n">
        <f aca="false">(Q124/P124)*100</f>
        <v>63.0823594940738</v>
      </c>
      <c r="S124" s="9" t="n">
        <f aca="false">Y124-AD124</f>
        <v>4709</v>
      </c>
      <c r="T124" s="10" t="n">
        <f aca="false">(S124/Q124)*100</f>
        <v>2.6999289039745</v>
      </c>
      <c r="U124" s="10" t="n">
        <f aca="false">Z124+AE124</f>
        <v>83.9168176501617</v>
      </c>
      <c r="V124" s="9" t="s">
        <v>52</v>
      </c>
      <c r="W124" s="9" t="s">
        <v>53</v>
      </c>
      <c r="X124" s="9" t="s">
        <v>773</v>
      </c>
      <c r="Y124" s="9" t="n">
        <v>75535</v>
      </c>
      <c r="Z124" s="10" t="n">
        <f aca="false">(Y124/Q124)*100</f>
        <v>43.3083732770681</v>
      </c>
      <c r="AA124" s="9" t="s">
        <v>55</v>
      </c>
      <c r="AB124" s="9" t="s">
        <v>68</v>
      </c>
      <c r="AC124" s="9" t="s">
        <v>165</v>
      </c>
      <c r="AD124" s="9" t="n">
        <v>70826</v>
      </c>
      <c r="AE124" s="10" t="n">
        <f aca="false">(AD124/Q124)*100</f>
        <v>40.6084443730936</v>
      </c>
      <c r="AF124" s="9" t="s">
        <v>58</v>
      </c>
      <c r="AG124" s="9" t="s">
        <v>58</v>
      </c>
      <c r="AH124" s="9" t="s">
        <v>774</v>
      </c>
      <c r="AI124" s="9" t="n">
        <v>12898</v>
      </c>
      <c r="AJ124" s="10" t="n">
        <f aca="false">(AI124/Q124)*100</f>
        <v>7.39513336238332</v>
      </c>
      <c r="AK124" s="9" t="s">
        <v>71</v>
      </c>
      <c r="AL124" s="9" t="s">
        <v>72</v>
      </c>
      <c r="AM124" s="9" t="s">
        <v>775</v>
      </c>
      <c r="AN124" s="9" t="n">
        <v>9934</v>
      </c>
      <c r="AO124" s="10" t="n">
        <f aca="false">(AN124/Q124)*100</f>
        <v>5.69570901084788</v>
      </c>
      <c r="AP124" s="9" t="s">
        <v>60</v>
      </c>
      <c r="AQ124" s="9" t="s">
        <v>74</v>
      </c>
      <c r="AR124" s="9" t="s">
        <v>776</v>
      </c>
      <c r="AS124" s="9" t="n">
        <v>1757</v>
      </c>
      <c r="AT124" s="10" t="n">
        <f aca="false">(AS124/Q124)*100</f>
        <v>1.00738481297158</v>
      </c>
    </row>
    <row r="125" customFormat="false" ht="12.8" hidden="false" customHeight="false" outlineLevel="0" collapsed="false">
      <c r="A125" s="7" t="n">
        <v>2021</v>
      </c>
      <c r="B125" s="8" t="n">
        <v>115</v>
      </c>
      <c r="C125" s="9" t="s">
        <v>777</v>
      </c>
      <c r="D125" s="9" t="s">
        <v>693</v>
      </c>
      <c r="E125" s="9" t="s">
        <v>586</v>
      </c>
      <c r="F125" s="9" t="s">
        <v>694</v>
      </c>
      <c r="G125" s="9" t="s">
        <v>77</v>
      </c>
      <c r="H125" s="9" t="s">
        <v>51</v>
      </c>
      <c r="I125" s="9" t="s">
        <v>51</v>
      </c>
      <c r="J125" s="9" t="s">
        <v>51</v>
      </c>
      <c r="K125" s="9" t="s">
        <v>51</v>
      </c>
      <c r="L125" s="9" t="s">
        <v>51</v>
      </c>
      <c r="M125" s="9" t="s">
        <v>68</v>
      </c>
      <c r="N125" s="9" t="s">
        <v>51</v>
      </c>
      <c r="O125" s="9" t="s">
        <v>51</v>
      </c>
      <c r="P125" s="9" t="n">
        <v>389786</v>
      </c>
      <c r="Q125" s="9" t="n">
        <v>261511</v>
      </c>
      <c r="R125" s="10" t="n">
        <f aca="false">(Q125/P125)*100</f>
        <v>67.0909165542118</v>
      </c>
      <c r="S125" s="9" t="n">
        <f aca="false">Y125-AD125</f>
        <v>32691</v>
      </c>
      <c r="T125" s="10" t="n">
        <f aca="false">(S125/Q125)*100</f>
        <v>12.5008125853215</v>
      </c>
      <c r="U125" s="10" t="n">
        <f aca="false">Z125+AE125</f>
        <v>84.5528486373422</v>
      </c>
      <c r="V125" s="9" t="s">
        <v>55</v>
      </c>
      <c r="W125" s="9" t="s">
        <v>68</v>
      </c>
      <c r="X125" s="9" t="s">
        <v>778</v>
      </c>
      <c r="Y125" s="9" t="n">
        <v>126903</v>
      </c>
      <c r="Z125" s="10" t="n">
        <f aca="false">(Y125/Q125)*100</f>
        <v>48.5268306113318</v>
      </c>
      <c r="AA125" s="9" t="s">
        <v>52</v>
      </c>
      <c r="AB125" s="9" t="s">
        <v>271</v>
      </c>
      <c r="AC125" s="9" t="s">
        <v>779</v>
      </c>
      <c r="AD125" s="9" t="n">
        <v>94212</v>
      </c>
      <c r="AE125" s="10" t="n">
        <f aca="false">(AD125/Q125)*100</f>
        <v>36.0260180260104</v>
      </c>
      <c r="AF125" s="9" t="s">
        <v>58</v>
      </c>
      <c r="AG125" s="9" t="s">
        <v>58</v>
      </c>
      <c r="AH125" s="9" t="s">
        <v>780</v>
      </c>
      <c r="AI125" s="9" t="n">
        <v>20524</v>
      </c>
      <c r="AJ125" s="10" t="n">
        <f aca="false">(AI125/Q125)*100</f>
        <v>7.84823582946798</v>
      </c>
      <c r="AK125" s="9" t="s">
        <v>71</v>
      </c>
      <c r="AL125" s="9" t="s">
        <v>72</v>
      </c>
      <c r="AM125" s="9" t="s">
        <v>781</v>
      </c>
      <c r="AN125" s="9" t="n">
        <v>10227</v>
      </c>
      <c r="AO125" s="10" t="n">
        <f aca="false">(AN125/Q125)*100</f>
        <v>3.9107341564982</v>
      </c>
      <c r="AP125" s="9" t="s">
        <v>60</v>
      </c>
      <c r="AQ125" s="9" t="s">
        <v>74</v>
      </c>
      <c r="AR125" s="9" t="s">
        <v>782</v>
      </c>
      <c r="AS125" s="9" t="n">
        <v>2618</v>
      </c>
      <c r="AT125" s="10" t="n">
        <f aca="false">(AS125/Q125)*100</f>
        <v>1.00110511603718</v>
      </c>
    </row>
    <row r="126" customFormat="false" ht="12.8" hidden="false" customHeight="false" outlineLevel="0" collapsed="false">
      <c r="A126" s="7" t="n">
        <v>2021</v>
      </c>
      <c r="B126" s="8" t="n">
        <v>116</v>
      </c>
      <c r="C126" s="9" t="s">
        <v>783</v>
      </c>
      <c r="D126" s="9" t="s">
        <v>753</v>
      </c>
      <c r="E126" s="9" t="s">
        <v>586</v>
      </c>
      <c r="F126" s="9" t="s">
        <v>754</v>
      </c>
      <c r="G126" s="9" t="s">
        <v>77</v>
      </c>
      <c r="H126" s="9" t="s">
        <v>51</v>
      </c>
      <c r="I126" s="9" t="s">
        <v>51</v>
      </c>
      <c r="J126" s="9" t="s">
        <v>51</v>
      </c>
      <c r="K126" s="9" t="s">
        <v>51</v>
      </c>
      <c r="L126" s="9" t="s">
        <v>51</v>
      </c>
      <c r="M126" s="9" t="s">
        <v>51</v>
      </c>
      <c r="N126" s="9" t="s">
        <v>51</v>
      </c>
      <c r="O126" s="9" t="s">
        <v>51</v>
      </c>
      <c r="P126" s="9" t="n">
        <v>317223</v>
      </c>
      <c r="Q126" s="9" t="n">
        <v>241653</v>
      </c>
      <c r="R126" s="10" t="n">
        <f aca="false">(Q126/P126)*100</f>
        <v>76.1776415959751</v>
      </c>
      <c r="S126" s="9" t="n">
        <f aca="false">Y126-AD126</f>
        <v>31932</v>
      </c>
      <c r="T126" s="10" t="n">
        <f aca="false">(S126/Q126)*100</f>
        <v>13.2139886531514</v>
      </c>
      <c r="U126" s="10" t="n">
        <f aca="false">Z126+AE126</f>
        <v>85.2478553959603</v>
      </c>
      <c r="V126" s="9" t="s">
        <v>55</v>
      </c>
      <c r="W126" s="9" t="s">
        <v>68</v>
      </c>
      <c r="X126" s="9" t="s">
        <v>784</v>
      </c>
      <c r="Y126" s="9" t="n">
        <v>118968</v>
      </c>
      <c r="Z126" s="10" t="n">
        <f aca="false">(Y126/Q126)*100</f>
        <v>49.2309220245559</v>
      </c>
      <c r="AA126" s="9" t="s">
        <v>52</v>
      </c>
      <c r="AB126" s="19" t="s">
        <v>664</v>
      </c>
      <c r="AC126" s="9" t="s">
        <v>785</v>
      </c>
      <c r="AD126" s="9" t="n">
        <v>87036</v>
      </c>
      <c r="AE126" s="10" t="n">
        <f aca="false">(AD126/Q126)*100</f>
        <v>36.0169333714045</v>
      </c>
      <c r="AF126" s="9" t="s">
        <v>58</v>
      </c>
      <c r="AG126" s="9" t="s">
        <v>58</v>
      </c>
      <c r="AH126" s="9" t="s">
        <v>786</v>
      </c>
      <c r="AI126" s="9" t="n">
        <v>14426</v>
      </c>
      <c r="AJ126" s="10" t="n">
        <f aca="false">(AI126/Q126)*100</f>
        <v>5.9697169081286</v>
      </c>
      <c r="AK126" s="9" t="s">
        <v>71</v>
      </c>
      <c r="AL126" s="9" t="s">
        <v>72</v>
      </c>
      <c r="AM126" s="9" t="s">
        <v>787</v>
      </c>
      <c r="AN126" s="9" t="n">
        <v>12658</v>
      </c>
      <c r="AO126" s="10" t="n">
        <f aca="false">(AN126/Q126)*100</f>
        <v>5.23808932643087</v>
      </c>
      <c r="AP126" s="9" t="s">
        <v>60</v>
      </c>
      <c r="AQ126" s="9" t="s">
        <v>74</v>
      </c>
      <c r="AR126" s="9" t="s">
        <v>788</v>
      </c>
      <c r="AS126" s="9" t="n">
        <v>4111</v>
      </c>
      <c r="AT126" s="10" t="n">
        <f aca="false">(AS126/Q126)*100</f>
        <v>1.7011996540494</v>
      </c>
    </row>
    <row r="127" customFormat="false" ht="12.8" hidden="false" customHeight="false" outlineLevel="0" collapsed="false">
      <c r="A127" s="7" t="n">
        <v>2021</v>
      </c>
      <c r="B127" s="8" t="n">
        <v>117</v>
      </c>
      <c r="C127" s="9" t="s">
        <v>789</v>
      </c>
      <c r="D127" s="9" t="s">
        <v>753</v>
      </c>
      <c r="E127" s="9" t="s">
        <v>586</v>
      </c>
      <c r="F127" s="9" t="s">
        <v>754</v>
      </c>
      <c r="G127" s="9" t="s">
        <v>88</v>
      </c>
      <c r="H127" s="9" t="s">
        <v>51</v>
      </c>
      <c r="I127" s="9" t="s">
        <v>51</v>
      </c>
      <c r="J127" s="9" t="s">
        <v>51</v>
      </c>
      <c r="K127" s="9" t="s">
        <v>51</v>
      </c>
      <c r="L127" s="9" t="s">
        <v>51</v>
      </c>
      <c r="M127" s="9" t="s">
        <v>68</v>
      </c>
      <c r="N127" s="9" t="s">
        <v>51</v>
      </c>
      <c r="O127" s="9" t="s">
        <v>51</v>
      </c>
      <c r="P127" s="9" t="n">
        <v>465345</v>
      </c>
      <c r="Q127" s="9" t="n">
        <v>309918</v>
      </c>
      <c r="R127" s="10" t="n">
        <f aca="false">(Q127/P127)*100</f>
        <v>66.5996196370435</v>
      </c>
      <c r="S127" s="9" t="n">
        <f aca="false">Y127-AD127</f>
        <v>9776</v>
      </c>
      <c r="T127" s="10" t="n">
        <f aca="false">(S127/Q127)*100</f>
        <v>3.15438277221717</v>
      </c>
      <c r="U127" s="10" t="n">
        <f aca="false">Z127+AE127</f>
        <v>84.3971631205674</v>
      </c>
      <c r="V127" s="9" t="s">
        <v>55</v>
      </c>
      <c r="W127" s="9" t="s">
        <v>68</v>
      </c>
      <c r="X127" s="9" t="s">
        <v>790</v>
      </c>
      <c r="Y127" s="9" t="n">
        <v>135669</v>
      </c>
      <c r="Z127" s="10" t="n">
        <f aca="false">(Y127/Q127)*100</f>
        <v>43.7757729463923</v>
      </c>
      <c r="AA127" s="9" t="s">
        <v>52</v>
      </c>
      <c r="AB127" s="9" t="s">
        <v>53</v>
      </c>
      <c r="AC127" s="9" t="s">
        <v>791</v>
      </c>
      <c r="AD127" s="9" t="n">
        <v>125893</v>
      </c>
      <c r="AE127" s="10" t="n">
        <f aca="false">(AD127/Q127)*100</f>
        <v>40.6213901741751</v>
      </c>
      <c r="AF127" s="9" t="s">
        <v>71</v>
      </c>
      <c r="AG127" s="9" t="s">
        <v>72</v>
      </c>
      <c r="AH127" s="9" t="s">
        <v>792</v>
      </c>
      <c r="AI127" s="9" t="n">
        <v>23527</v>
      </c>
      <c r="AJ127" s="10" t="n">
        <f aca="false">(AI127/Q127)*100</f>
        <v>7.59136287663188</v>
      </c>
      <c r="AK127" s="9" t="s">
        <v>58</v>
      </c>
      <c r="AL127" s="9" t="s">
        <v>58</v>
      </c>
      <c r="AM127" s="9" t="s">
        <v>793</v>
      </c>
      <c r="AN127" s="9" t="n">
        <v>17897</v>
      </c>
      <c r="AO127" s="10" t="n">
        <f aca="false">(AN127/Q127)*100</f>
        <v>5.77475332184642</v>
      </c>
      <c r="AP127" s="9" t="s">
        <v>63</v>
      </c>
      <c r="AQ127" s="9" t="s">
        <v>63</v>
      </c>
      <c r="AR127" s="9" t="s">
        <v>63</v>
      </c>
      <c r="AS127" s="9" t="n">
        <v>2892</v>
      </c>
      <c r="AT127" s="10" t="n">
        <f aca="false">(AS127/Q127)*100</f>
        <v>0.933150059047877</v>
      </c>
    </row>
    <row r="128" customFormat="false" ht="12.8" hidden="false" customHeight="false" outlineLevel="0" collapsed="false">
      <c r="A128" s="7" t="n">
        <v>2021</v>
      </c>
      <c r="B128" s="8" t="n">
        <v>118</v>
      </c>
      <c r="C128" s="9" t="s">
        <v>794</v>
      </c>
      <c r="D128" s="9" t="s">
        <v>753</v>
      </c>
      <c r="E128" s="9" t="s">
        <v>586</v>
      </c>
      <c r="F128" s="9" t="s">
        <v>754</v>
      </c>
      <c r="G128" s="9" t="s">
        <v>88</v>
      </c>
      <c r="H128" s="9" t="s">
        <v>51</v>
      </c>
      <c r="I128" s="9" t="s">
        <v>51</v>
      </c>
      <c r="J128" s="9" t="s">
        <v>51</v>
      </c>
      <c r="K128" s="9" t="s">
        <v>51</v>
      </c>
      <c r="L128" s="9" t="s">
        <v>51</v>
      </c>
      <c r="M128" s="9" t="s">
        <v>68</v>
      </c>
      <c r="N128" s="9" t="s">
        <v>51</v>
      </c>
      <c r="O128" s="9" t="s">
        <v>51</v>
      </c>
      <c r="P128" s="9" t="n">
        <v>338712</v>
      </c>
      <c r="Q128" s="9" t="n">
        <v>202799</v>
      </c>
      <c r="R128" s="10" t="n">
        <f aca="false">(Q128/P128)*100</f>
        <v>59.8735799144996</v>
      </c>
      <c r="S128" s="9" t="n">
        <f aca="false">Y128-AD128</f>
        <v>4001</v>
      </c>
      <c r="T128" s="10" t="n">
        <f aca="false">(S128/Q128)*100</f>
        <v>1.97288941266969</v>
      </c>
      <c r="U128" s="10" t="n">
        <f aca="false">Z128+AE128</f>
        <v>78.3568952509628</v>
      </c>
      <c r="V128" s="9" t="s">
        <v>55</v>
      </c>
      <c r="W128" s="9" t="s">
        <v>68</v>
      </c>
      <c r="X128" s="9" t="s">
        <v>795</v>
      </c>
      <c r="Y128" s="9" t="n">
        <v>81454</v>
      </c>
      <c r="Z128" s="10" t="n">
        <f aca="false">(Y128/Q128)*100</f>
        <v>40.1648923318162</v>
      </c>
      <c r="AA128" s="9" t="s">
        <v>52</v>
      </c>
      <c r="AB128" s="9" t="s">
        <v>53</v>
      </c>
      <c r="AC128" s="9" t="s">
        <v>796</v>
      </c>
      <c r="AD128" s="9" t="n">
        <v>77453</v>
      </c>
      <c r="AE128" s="10" t="n">
        <f aca="false">(AD128/Q128)*100</f>
        <v>38.1920029191465</v>
      </c>
      <c r="AF128" s="9" t="s">
        <v>71</v>
      </c>
      <c r="AG128" s="9" t="s">
        <v>72</v>
      </c>
      <c r="AH128" s="9" t="s">
        <v>797</v>
      </c>
      <c r="AI128" s="9" t="n">
        <v>26503</v>
      </c>
      <c r="AJ128" s="10" t="n">
        <f aca="false">(AI128/Q128)*100</f>
        <v>13.0686048747775</v>
      </c>
      <c r="AK128" s="9" t="s">
        <v>58</v>
      </c>
      <c r="AL128" s="9" t="s">
        <v>58</v>
      </c>
      <c r="AM128" s="9" t="s">
        <v>798</v>
      </c>
      <c r="AN128" s="9" t="n">
        <v>11433</v>
      </c>
      <c r="AO128" s="10" t="n">
        <f aca="false">(AN128/Q128)*100</f>
        <v>5.6376017633223</v>
      </c>
      <c r="AP128" s="9" t="s">
        <v>63</v>
      </c>
      <c r="AQ128" s="9" t="s">
        <v>63</v>
      </c>
      <c r="AR128" s="9" t="s">
        <v>63</v>
      </c>
      <c r="AS128" s="9" t="n">
        <v>1701</v>
      </c>
      <c r="AT128" s="10" t="n">
        <f aca="false">(AS128/Q128)*100</f>
        <v>0.838761532354696</v>
      </c>
    </row>
    <row r="129" customFormat="false" ht="12.8" hidden="false" customHeight="false" outlineLevel="0" collapsed="false">
      <c r="A129" s="7" t="n">
        <v>2021</v>
      </c>
      <c r="B129" s="8" t="n">
        <v>119</v>
      </c>
      <c r="C129" s="9" t="s">
        <v>799</v>
      </c>
      <c r="D129" s="9" t="s">
        <v>753</v>
      </c>
      <c r="E129" s="9" t="s">
        <v>586</v>
      </c>
      <c r="F129" s="9" t="s">
        <v>754</v>
      </c>
      <c r="G129" s="9" t="s">
        <v>77</v>
      </c>
      <c r="H129" s="9" t="s">
        <v>51</v>
      </c>
      <c r="I129" s="9" t="s">
        <v>51</v>
      </c>
      <c r="J129" s="9" t="s">
        <v>51</v>
      </c>
      <c r="K129" s="9" t="s">
        <v>68</v>
      </c>
      <c r="L129" s="9" t="s">
        <v>51</v>
      </c>
      <c r="M129" s="9" t="s">
        <v>68</v>
      </c>
      <c r="N129" s="9" t="s">
        <v>51</v>
      </c>
      <c r="O129" s="9" t="s">
        <v>51</v>
      </c>
      <c r="P129" s="9" t="n">
        <v>326828</v>
      </c>
      <c r="Q129" s="9" t="n">
        <v>230531</v>
      </c>
      <c r="R129" s="10" t="n">
        <f aca="false">(Q129/P129)*100</f>
        <v>70.5358781989303</v>
      </c>
      <c r="S129" s="9" t="n">
        <f aca="false">Y129-AD129</f>
        <v>41630</v>
      </c>
      <c r="T129" s="10" t="n">
        <f aca="false">(S129/Q129)*100</f>
        <v>18.0583088608473</v>
      </c>
      <c r="U129" s="10" t="n">
        <f aca="false">Z129+AE129</f>
        <v>89.7146153879522</v>
      </c>
      <c r="V129" s="9" t="s">
        <v>55</v>
      </c>
      <c r="W129" s="9" t="s">
        <v>68</v>
      </c>
      <c r="X129" s="9" t="s">
        <v>800</v>
      </c>
      <c r="Y129" s="9" t="n">
        <v>124225</v>
      </c>
      <c r="Z129" s="10" t="n">
        <f aca="false">(Y129/Q129)*100</f>
        <v>53.8864621243998</v>
      </c>
      <c r="AA129" s="9" t="s">
        <v>52</v>
      </c>
      <c r="AB129" s="9" t="s">
        <v>53</v>
      </c>
      <c r="AC129" s="9" t="s">
        <v>801</v>
      </c>
      <c r="AD129" s="9" t="n">
        <v>82595</v>
      </c>
      <c r="AE129" s="10" t="n">
        <f aca="false">(AD129/Q129)*100</f>
        <v>35.8281532635524</v>
      </c>
      <c r="AF129" s="9" t="s">
        <v>71</v>
      </c>
      <c r="AG129" s="9" t="s">
        <v>72</v>
      </c>
      <c r="AH129" s="9" t="s">
        <v>802</v>
      </c>
      <c r="AI129" s="9" t="n">
        <v>11606</v>
      </c>
      <c r="AJ129" s="10" t="n">
        <f aca="false">(AI129/Q129)*100</f>
        <v>5.03446391157805</v>
      </c>
      <c r="AK129" s="9" t="s">
        <v>58</v>
      </c>
      <c r="AL129" s="9" t="s">
        <v>58</v>
      </c>
      <c r="AM129" s="9" t="s">
        <v>803</v>
      </c>
      <c r="AN129" s="9" t="n">
        <v>8042</v>
      </c>
      <c r="AO129" s="10" t="n">
        <f aca="false">(AN129/Q129)*100</f>
        <v>3.48846792839141</v>
      </c>
      <c r="AP129" s="9" t="s">
        <v>63</v>
      </c>
      <c r="AQ129" s="9" t="s">
        <v>63</v>
      </c>
      <c r="AR129" s="9" t="s">
        <v>63</v>
      </c>
      <c r="AS129" s="9" t="n">
        <v>1635</v>
      </c>
      <c r="AT129" s="10" t="n">
        <f aca="false">(AS129/Q129)*100</f>
        <v>0.709232164003973</v>
      </c>
    </row>
    <row r="130" customFormat="false" ht="12.8" hidden="false" customHeight="false" outlineLevel="0" collapsed="false">
      <c r="A130" s="7" t="n">
        <v>2021</v>
      </c>
      <c r="B130" s="8" t="n">
        <v>120</v>
      </c>
      <c r="C130" s="9" t="s">
        <v>804</v>
      </c>
      <c r="D130" s="9" t="s">
        <v>753</v>
      </c>
      <c r="E130" s="9" t="s">
        <v>586</v>
      </c>
      <c r="F130" s="9" t="s">
        <v>754</v>
      </c>
      <c r="G130" s="9" t="s">
        <v>88</v>
      </c>
      <c r="H130" s="9" t="s">
        <v>51</v>
      </c>
      <c r="I130" s="9" t="s">
        <v>51</v>
      </c>
      <c r="J130" s="9" t="s">
        <v>72</v>
      </c>
      <c r="K130" s="9" t="s">
        <v>51</v>
      </c>
      <c r="L130" s="9" t="s">
        <v>51</v>
      </c>
      <c r="M130" s="9" t="s">
        <v>51</v>
      </c>
      <c r="N130" s="9" t="s">
        <v>51</v>
      </c>
      <c r="O130" s="9" t="s">
        <v>51</v>
      </c>
      <c r="P130" s="9" t="n">
        <v>252790</v>
      </c>
      <c r="Q130" s="9" t="n">
        <v>154765</v>
      </c>
      <c r="R130" s="10" t="n">
        <f aca="false">(Q130/P130)*100</f>
        <v>61.2227540646386</v>
      </c>
      <c r="S130" s="9" t="n">
        <f aca="false">Y130-AD130</f>
        <v>1728</v>
      </c>
      <c r="T130" s="10" t="n">
        <f aca="false">(S130/Q130)*100</f>
        <v>1.11653151552354</v>
      </c>
      <c r="U130" s="10" t="n">
        <f aca="false">Z130+AJ130</f>
        <v>61.7659031434756</v>
      </c>
      <c r="V130" s="9" t="s">
        <v>55</v>
      </c>
      <c r="W130" s="9" t="s">
        <v>171</v>
      </c>
      <c r="X130" s="9" t="s">
        <v>805</v>
      </c>
      <c r="Y130" s="9" t="n">
        <v>53209</v>
      </c>
      <c r="Z130" s="10" t="n">
        <f aca="false">(Y130/Q130)*100</f>
        <v>34.3805123897522</v>
      </c>
      <c r="AA130" s="9" t="s">
        <v>71</v>
      </c>
      <c r="AB130" s="24" t="s">
        <v>72</v>
      </c>
      <c r="AC130" s="9" t="s">
        <v>806</v>
      </c>
      <c r="AD130" s="9" t="n">
        <v>51481</v>
      </c>
      <c r="AE130" s="10" t="n">
        <f aca="false">(AD130/Q130)*100</f>
        <v>33.2639808742287</v>
      </c>
      <c r="AF130" s="9" t="s">
        <v>52</v>
      </c>
      <c r="AG130" s="9" t="s">
        <v>66</v>
      </c>
      <c r="AH130" s="9" t="s">
        <v>807</v>
      </c>
      <c r="AI130" s="9" t="n">
        <v>42383</v>
      </c>
      <c r="AJ130" s="10" t="n">
        <f aca="false">(AI130/Q130)*100</f>
        <v>27.3853907537234</v>
      </c>
      <c r="AK130" s="9" t="s">
        <v>58</v>
      </c>
      <c r="AL130" s="9" t="s">
        <v>58</v>
      </c>
      <c r="AM130" s="9" t="s">
        <v>808</v>
      </c>
      <c r="AN130" s="9" t="n">
        <v>4300</v>
      </c>
      <c r="AO130" s="10" t="n">
        <f aca="false">(AN130/Q130)*100</f>
        <v>2.77840597034213</v>
      </c>
      <c r="AP130" s="9" t="s">
        <v>63</v>
      </c>
      <c r="AQ130" s="9" t="s">
        <v>63</v>
      </c>
      <c r="AR130" s="9" t="s">
        <v>63</v>
      </c>
      <c r="AS130" s="9" t="n">
        <v>901</v>
      </c>
      <c r="AT130" s="10" t="n">
        <f aca="false">(AS130/Q130)*100</f>
        <v>0.582172971925177</v>
      </c>
    </row>
    <row r="131" customFormat="false" ht="12.8" hidden="false" customHeight="false" outlineLevel="0" collapsed="false">
      <c r="A131" s="7" t="n">
        <v>2021</v>
      </c>
      <c r="B131" s="8" t="n">
        <v>121</v>
      </c>
      <c r="C131" s="9" t="s">
        <v>809</v>
      </c>
      <c r="D131" s="9" t="s">
        <v>753</v>
      </c>
      <c r="E131" s="9" t="s">
        <v>586</v>
      </c>
      <c r="F131" s="9" t="s">
        <v>754</v>
      </c>
      <c r="G131" s="9" t="s">
        <v>88</v>
      </c>
      <c r="H131" s="9" t="s">
        <v>51</v>
      </c>
      <c r="I131" s="9" t="s">
        <v>51</v>
      </c>
      <c r="J131" s="9" t="s">
        <v>51</v>
      </c>
      <c r="K131" s="9" t="s">
        <v>51</v>
      </c>
      <c r="L131" s="9" t="s">
        <v>51</v>
      </c>
      <c r="M131" s="9" t="s">
        <v>51</v>
      </c>
      <c r="N131" s="9" t="s">
        <v>51</v>
      </c>
      <c r="O131" s="9" t="s">
        <v>51</v>
      </c>
      <c r="P131" s="9" t="n">
        <v>325289</v>
      </c>
      <c r="Q131" s="9" t="n">
        <v>202021</v>
      </c>
      <c r="R131" s="10" t="n">
        <f aca="false">(Q131/P131)*100</f>
        <v>62.1050819425188</v>
      </c>
      <c r="S131" s="9" t="n">
        <f aca="false">Y131-AD131</f>
        <v>10854</v>
      </c>
      <c r="T131" s="10" t="n">
        <f aca="false">(S131/Q131)*100</f>
        <v>5.37270877780033</v>
      </c>
      <c r="U131" s="10" t="n">
        <f aca="false">Z131+AE131</f>
        <v>75.0585335187926</v>
      </c>
      <c r="V131" s="9" t="s">
        <v>55</v>
      </c>
      <c r="W131" s="9" t="s">
        <v>68</v>
      </c>
      <c r="X131" s="9" t="s">
        <v>810</v>
      </c>
      <c r="Y131" s="9" t="n">
        <v>81244</v>
      </c>
      <c r="Z131" s="10" t="n">
        <f aca="false">(Y131/Q131)*100</f>
        <v>40.2156211482965</v>
      </c>
      <c r="AA131" s="9" t="s">
        <v>52</v>
      </c>
      <c r="AB131" s="9" t="s">
        <v>53</v>
      </c>
      <c r="AC131" s="9" t="s">
        <v>811</v>
      </c>
      <c r="AD131" s="9" t="n">
        <v>70390</v>
      </c>
      <c r="AE131" s="10" t="n">
        <f aca="false">(AD131/Q131)*100</f>
        <v>34.8429123704961</v>
      </c>
      <c r="AF131" s="9" t="s">
        <v>71</v>
      </c>
      <c r="AG131" s="9" t="s">
        <v>72</v>
      </c>
      <c r="AH131" s="9" t="s">
        <v>812</v>
      </c>
      <c r="AI131" s="9" t="n">
        <v>36855</v>
      </c>
      <c r="AJ131" s="10" t="n">
        <f aca="false">(AI131/Q131)*100</f>
        <v>18.2431529395459</v>
      </c>
      <c r="AK131" s="9" t="s">
        <v>58</v>
      </c>
      <c r="AL131" s="9" t="s">
        <v>58</v>
      </c>
      <c r="AM131" s="9" t="s">
        <v>813</v>
      </c>
      <c r="AN131" s="9" t="n">
        <v>8366</v>
      </c>
      <c r="AO131" s="10" t="n">
        <f aca="false">(AN131/Q131)*100</f>
        <v>4.14115364244311</v>
      </c>
      <c r="AP131" s="9" t="s">
        <v>63</v>
      </c>
      <c r="AQ131" s="9" t="s">
        <v>63</v>
      </c>
      <c r="AR131" s="9" t="s">
        <v>63</v>
      </c>
      <c r="AS131" s="9" t="n">
        <v>1432</v>
      </c>
      <c r="AT131" s="10" t="n">
        <f aca="false">(AS131/Q131)*100</f>
        <v>0.70883720009306</v>
      </c>
    </row>
    <row r="132" customFormat="false" ht="12.8" hidden="false" customHeight="false" outlineLevel="0" collapsed="false">
      <c r="A132" s="7" t="n">
        <v>2021</v>
      </c>
      <c r="B132" s="8" t="n">
        <v>122</v>
      </c>
      <c r="C132" s="9" t="s">
        <v>814</v>
      </c>
      <c r="D132" s="9" t="s">
        <v>753</v>
      </c>
      <c r="E132" s="9" t="s">
        <v>586</v>
      </c>
      <c r="F132" s="9" t="s">
        <v>754</v>
      </c>
      <c r="G132" s="9" t="s">
        <v>50</v>
      </c>
      <c r="H132" s="9" t="s">
        <v>51</v>
      </c>
      <c r="I132" s="9" t="s">
        <v>51</v>
      </c>
      <c r="J132" s="9" t="s">
        <v>51</v>
      </c>
      <c r="K132" s="9" t="s">
        <v>68</v>
      </c>
      <c r="L132" s="25" t="s">
        <v>815</v>
      </c>
      <c r="M132" s="9" t="s">
        <v>68</v>
      </c>
      <c r="N132" s="9" t="s">
        <v>51</v>
      </c>
      <c r="O132" s="9" t="s">
        <v>51</v>
      </c>
      <c r="P132" s="9" t="n">
        <v>326920</v>
      </c>
      <c r="Q132" s="9" t="n">
        <v>232435</v>
      </c>
      <c r="R132" s="10" t="n">
        <f aca="false">(Q132/P132)*100</f>
        <v>71.0984338676129</v>
      </c>
      <c r="S132" s="9" t="n">
        <f aca="false">Y132-AD132</f>
        <v>1095</v>
      </c>
      <c r="T132" s="10" t="n">
        <f aca="false">(S132/Q132)*100</f>
        <v>0.47109944715727</v>
      </c>
      <c r="U132" s="10" t="n">
        <f aca="false">Z132+AE132</f>
        <v>86.8969819519436</v>
      </c>
      <c r="V132" s="9" t="s">
        <v>55</v>
      </c>
      <c r="W132" s="9" t="s">
        <v>68</v>
      </c>
      <c r="X132" s="9" t="s">
        <v>816</v>
      </c>
      <c r="Y132" s="9" t="n">
        <v>101537</v>
      </c>
      <c r="Z132" s="10" t="n">
        <f aca="false">(Y132/Q132)*100</f>
        <v>43.6840406995504</v>
      </c>
      <c r="AA132" s="9" t="s">
        <v>52</v>
      </c>
      <c r="AB132" s="9" t="s">
        <v>53</v>
      </c>
      <c r="AC132" s="9" t="s">
        <v>817</v>
      </c>
      <c r="AD132" s="9" t="n">
        <v>100442</v>
      </c>
      <c r="AE132" s="10" t="n">
        <f aca="false">(AD132/Q132)*100</f>
        <v>43.2129412523931</v>
      </c>
      <c r="AF132" s="9" t="s">
        <v>71</v>
      </c>
      <c r="AG132" s="9" t="s">
        <v>72</v>
      </c>
      <c r="AH132" s="9" t="s">
        <v>267</v>
      </c>
      <c r="AI132" s="9" t="n">
        <v>13939</v>
      </c>
      <c r="AJ132" s="10" t="n">
        <f aca="false">(AI132/Q132)*100</f>
        <v>5.99694538258008</v>
      </c>
      <c r="AK132" s="9" t="s">
        <v>58</v>
      </c>
      <c r="AL132" s="9" t="s">
        <v>58</v>
      </c>
      <c r="AM132" s="9" t="s">
        <v>818</v>
      </c>
      <c r="AN132" s="9" t="n">
        <v>11280</v>
      </c>
      <c r="AO132" s="10" t="n">
        <f aca="false">(AN132/Q132)*100</f>
        <v>4.85296964742831</v>
      </c>
      <c r="AP132" s="9" t="s">
        <v>63</v>
      </c>
      <c r="AQ132" s="9" t="s">
        <v>63</v>
      </c>
      <c r="AR132" s="9" t="s">
        <v>63</v>
      </c>
      <c r="AS132" s="9" t="n">
        <v>2280</v>
      </c>
      <c r="AT132" s="10" t="n">
        <f aca="false">(AS132/Q132)*100</f>
        <v>0.980919396820617</v>
      </c>
    </row>
    <row r="133" customFormat="false" ht="12.8" hidden="false" customHeight="false" outlineLevel="0" collapsed="false">
      <c r="A133" s="7" t="n">
        <v>2021</v>
      </c>
      <c r="B133" s="8" t="n">
        <v>123</v>
      </c>
      <c r="C133" s="9" t="s">
        <v>819</v>
      </c>
      <c r="D133" s="9" t="s">
        <v>753</v>
      </c>
      <c r="E133" s="9" t="s">
        <v>586</v>
      </c>
      <c r="F133" s="9" t="s">
        <v>754</v>
      </c>
      <c r="G133" s="9" t="s">
        <v>77</v>
      </c>
      <c r="H133" s="9" t="s">
        <v>51</v>
      </c>
      <c r="I133" s="9" t="s">
        <v>51</v>
      </c>
      <c r="J133" s="9" t="s">
        <v>51</v>
      </c>
      <c r="K133" s="9" t="s">
        <v>68</v>
      </c>
      <c r="L133" s="9" t="s">
        <v>51</v>
      </c>
      <c r="M133" s="9" t="s">
        <v>68</v>
      </c>
      <c r="N133" s="9" t="s">
        <v>68</v>
      </c>
      <c r="O133" s="9" t="s">
        <v>51</v>
      </c>
      <c r="P133" s="9" t="n">
        <v>227093</v>
      </c>
      <c r="Q133" s="9" t="n">
        <v>177308</v>
      </c>
      <c r="R133" s="10" t="n">
        <f aca="false">(Q133/P133)*100</f>
        <v>78.0772634999758</v>
      </c>
      <c r="S133" s="9" t="n">
        <f aca="false">Y133-AD133</f>
        <v>1725</v>
      </c>
      <c r="T133" s="10" t="n">
        <f aca="false">(S133/Q133)*100</f>
        <v>0.972883344237147</v>
      </c>
      <c r="U133" s="10" t="n">
        <f aca="false">Z133+AE133</f>
        <v>89.9051368240576</v>
      </c>
      <c r="V133" s="9" t="s">
        <v>55</v>
      </c>
      <c r="W133" s="9" t="s">
        <v>68</v>
      </c>
      <c r="X133" s="9" t="s">
        <v>820</v>
      </c>
      <c r="Y133" s="9" t="n">
        <v>80567</v>
      </c>
      <c r="Z133" s="10" t="n">
        <f aca="false">(Y133/Q133)*100</f>
        <v>45.4390100841474</v>
      </c>
      <c r="AA133" s="9" t="s">
        <v>52</v>
      </c>
      <c r="AB133" s="9" t="s">
        <v>53</v>
      </c>
      <c r="AC133" s="9" t="s">
        <v>821</v>
      </c>
      <c r="AD133" s="9" t="n">
        <v>78842</v>
      </c>
      <c r="AE133" s="10" t="n">
        <f aca="false">(AD133/Q133)*100</f>
        <v>44.4661267399102</v>
      </c>
      <c r="AF133" s="9" t="s">
        <v>71</v>
      </c>
      <c r="AG133" s="9" t="s">
        <v>72</v>
      </c>
      <c r="AH133" s="9" t="s">
        <v>822</v>
      </c>
      <c r="AI133" s="9" t="n">
        <v>7589</v>
      </c>
      <c r="AJ133" s="10" t="n">
        <f aca="false">(AI133/Q133)*100</f>
        <v>4.28012272429896</v>
      </c>
      <c r="AK133" s="9" t="s">
        <v>58</v>
      </c>
      <c r="AL133" s="9" t="s">
        <v>58</v>
      </c>
      <c r="AM133" s="9" t="s">
        <v>823</v>
      </c>
      <c r="AN133" s="9" t="n">
        <v>6402</v>
      </c>
      <c r="AO133" s="10" t="n">
        <f aca="false">(AN133/Q133)*100</f>
        <v>3.61066618539491</v>
      </c>
      <c r="AP133" s="9" t="s">
        <v>63</v>
      </c>
      <c r="AQ133" s="9" t="s">
        <v>63</v>
      </c>
      <c r="AR133" s="9" t="s">
        <v>63</v>
      </c>
      <c r="AS133" s="9" t="n">
        <v>1546</v>
      </c>
      <c r="AT133" s="10" t="n">
        <f aca="false">(AS133/Q133)*100</f>
        <v>0.871929072574278</v>
      </c>
    </row>
    <row r="134" customFormat="false" ht="12.8" hidden="false" customHeight="false" outlineLevel="0" collapsed="false">
      <c r="A134" s="7" t="n">
        <v>2021</v>
      </c>
      <c r="B134" s="8" t="n">
        <v>124</v>
      </c>
      <c r="C134" s="9" t="s">
        <v>824</v>
      </c>
      <c r="D134" s="9" t="s">
        <v>753</v>
      </c>
      <c r="E134" s="9" t="s">
        <v>586</v>
      </c>
      <c r="F134" s="9" t="s">
        <v>754</v>
      </c>
      <c r="G134" s="9" t="s">
        <v>77</v>
      </c>
      <c r="H134" s="9" t="s">
        <v>65</v>
      </c>
      <c r="I134" s="9" t="s">
        <v>51</v>
      </c>
      <c r="J134" s="9" t="s">
        <v>51</v>
      </c>
      <c r="K134" s="9" t="s">
        <v>51</v>
      </c>
      <c r="L134" s="9" t="s">
        <v>51</v>
      </c>
      <c r="M134" s="9" t="s">
        <v>51</v>
      </c>
      <c r="N134" s="9" t="s">
        <v>51</v>
      </c>
      <c r="O134" s="9" t="s">
        <v>51</v>
      </c>
      <c r="P134" s="9" t="n">
        <v>205530</v>
      </c>
      <c r="Q134" s="9" t="n">
        <v>145172</v>
      </c>
      <c r="R134" s="10" t="n">
        <f aca="false">(Q134/P134)*100</f>
        <v>70.6329976159198</v>
      </c>
      <c r="S134" s="9" t="n">
        <f aca="false">Y134-AD134</f>
        <v>12223</v>
      </c>
      <c r="T134" s="10" t="n">
        <f aca="false">(S134/Q134)*100</f>
        <v>8.41966770451602</v>
      </c>
      <c r="U134" s="10" t="n">
        <f aca="false">Z134+AE134</f>
        <v>90.3211363072769</v>
      </c>
      <c r="V134" s="9" t="s">
        <v>55</v>
      </c>
      <c r="W134" s="9" t="s">
        <v>68</v>
      </c>
      <c r="X134" s="9" t="s">
        <v>825</v>
      </c>
      <c r="Y134" s="9" t="n">
        <v>71672</v>
      </c>
      <c r="Z134" s="10" t="n">
        <f aca="false">(Y134/Q134)*100</f>
        <v>49.3704020058965</v>
      </c>
      <c r="AA134" s="9" t="s">
        <v>52</v>
      </c>
      <c r="AB134" s="9" t="s">
        <v>392</v>
      </c>
      <c r="AC134" s="9" t="s">
        <v>826</v>
      </c>
      <c r="AD134" s="9" t="n">
        <v>59449</v>
      </c>
      <c r="AE134" s="10" t="n">
        <f aca="false">(AD134/Q134)*100</f>
        <v>40.9507343013804</v>
      </c>
      <c r="AF134" s="9" t="s">
        <v>58</v>
      </c>
      <c r="AG134" s="9" t="s">
        <v>58</v>
      </c>
      <c r="AH134" s="9" t="s">
        <v>827</v>
      </c>
      <c r="AI134" s="9" t="n">
        <v>7632</v>
      </c>
      <c r="AJ134" s="10" t="n">
        <f aca="false">(AI134/Q134)*100</f>
        <v>5.25721213457141</v>
      </c>
      <c r="AK134" s="9" t="s">
        <v>71</v>
      </c>
      <c r="AL134" s="9" t="s">
        <v>72</v>
      </c>
      <c r="AM134" s="9" t="s">
        <v>828</v>
      </c>
      <c r="AN134" s="9" t="n">
        <v>3314</v>
      </c>
      <c r="AO134" s="10" t="n">
        <f aca="false">(AN134/Q134)*100</f>
        <v>2.28280935717632</v>
      </c>
      <c r="AP134" s="9" t="s">
        <v>63</v>
      </c>
      <c r="AQ134" s="9" t="s">
        <v>63</v>
      </c>
      <c r="AR134" s="9" t="s">
        <v>63</v>
      </c>
      <c r="AS134" s="9" t="n">
        <v>1415</v>
      </c>
      <c r="AT134" s="10" t="n">
        <f aca="false">(AS134/Q134)*100</f>
        <v>0.974705866144987</v>
      </c>
    </row>
    <row r="135" customFormat="false" ht="12.8" hidden="false" customHeight="false" outlineLevel="0" collapsed="false">
      <c r="A135" s="7" t="n">
        <v>2021</v>
      </c>
      <c r="B135" s="8" t="n">
        <v>125</v>
      </c>
      <c r="C135" s="9" t="s">
        <v>829</v>
      </c>
      <c r="D135" s="9" t="s">
        <v>693</v>
      </c>
      <c r="E135" s="9" t="s">
        <v>586</v>
      </c>
      <c r="F135" s="9" t="s">
        <v>694</v>
      </c>
      <c r="G135" s="9" t="s">
        <v>77</v>
      </c>
      <c r="H135" s="9" t="s">
        <v>51</v>
      </c>
      <c r="I135" s="9" t="s">
        <v>51</v>
      </c>
      <c r="J135" s="9" t="s">
        <v>51</v>
      </c>
      <c r="K135" s="9" t="s">
        <v>51</v>
      </c>
      <c r="L135" s="9" t="s">
        <v>51</v>
      </c>
      <c r="M135" s="9" t="s">
        <v>68</v>
      </c>
      <c r="N135" s="9" t="s">
        <v>51</v>
      </c>
      <c r="O135" s="9" t="s">
        <v>51</v>
      </c>
      <c r="P135" s="9" t="n">
        <v>269760</v>
      </c>
      <c r="Q135" s="9" t="n">
        <v>194358</v>
      </c>
      <c r="R135" s="10" t="n">
        <f aca="false">(Q135/P135)*100</f>
        <v>72.048487544484</v>
      </c>
      <c r="S135" s="9" t="n">
        <f aca="false">Y135-AD135</f>
        <v>21895</v>
      </c>
      <c r="T135" s="10" t="n">
        <f aca="false">(S135/Q135)*100</f>
        <v>11.2652939421068</v>
      </c>
      <c r="U135" s="10" t="n">
        <f aca="false">Z135+AE135</f>
        <v>88.4404037909425</v>
      </c>
      <c r="V135" s="9" t="s">
        <v>55</v>
      </c>
      <c r="W135" s="9" t="s">
        <v>68</v>
      </c>
      <c r="X135" s="9" t="s">
        <v>830</v>
      </c>
      <c r="Y135" s="9" t="n">
        <v>96893</v>
      </c>
      <c r="Z135" s="10" t="n">
        <f aca="false">(Y135/Q135)*100</f>
        <v>49.8528488665247</v>
      </c>
      <c r="AA135" s="9" t="s">
        <v>52</v>
      </c>
      <c r="AB135" s="9" t="s">
        <v>66</v>
      </c>
      <c r="AC135" s="9" t="s">
        <v>831</v>
      </c>
      <c r="AD135" s="9" t="n">
        <v>74998</v>
      </c>
      <c r="AE135" s="10" t="n">
        <f aca="false">(AD135/Q135)*100</f>
        <v>38.5875549244178</v>
      </c>
      <c r="AF135" s="9" t="s">
        <v>58</v>
      </c>
      <c r="AG135" s="9" t="s">
        <v>58</v>
      </c>
      <c r="AH135" s="9" t="s">
        <v>832</v>
      </c>
      <c r="AI135" s="9" t="n">
        <v>8592</v>
      </c>
      <c r="AJ135" s="10" t="n">
        <f aca="false">(AI135/Q135)*100</f>
        <v>4.42070817769271</v>
      </c>
      <c r="AK135" s="9" t="s">
        <v>71</v>
      </c>
      <c r="AL135" s="9" t="s">
        <v>72</v>
      </c>
      <c r="AM135" s="9" t="s">
        <v>833</v>
      </c>
      <c r="AN135" s="9" t="n">
        <v>8163</v>
      </c>
      <c r="AO135" s="10" t="n">
        <f aca="false">(AN135/Q135)*100</f>
        <v>4.1999814774797</v>
      </c>
      <c r="AP135" s="9" t="s">
        <v>63</v>
      </c>
      <c r="AQ135" s="9" t="s">
        <v>63</v>
      </c>
      <c r="AR135" s="9" t="s">
        <v>63</v>
      </c>
      <c r="AS135" s="9" t="n">
        <v>1478</v>
      </c>
      <c r="AT135" s="10" t="n">
        <f aca="false">(AS135/Q135)*100</f>
        <v>0.760452361106824</v>
      </c>
    </row>
    <row r="136" customFormat="false" ht="12.8" hidden="false" customHeight="false" outlineLevel="0" collapsed="false">
      <c r="A136" s="7" t="n">
        <v>2021</v>
      </c>
      <c r="B136" s="8" t="n">
        <v>126</v>
      </c>
      <c r="C136" s="9" t="s">
        <v>834</v>
      </c>
      <c r="D136" s="9" t="s">
        <v>693</v>
      </c>
      <c r="E136" s="9" t="s">
        <v>586</v>
      </c>
      <c r="F136" s="9" t="s">
        <v>694</v>
      </c>
      <c r="G136" s="9" t="s">
        <v>50</v>
      </c>
      <c r="H136" s="9" t="s">
        <v>51</v>
      </c>
      <c r="I136" s="9" t="s">
        <v>51</v>
      </c>
      <c r="J136" s="9" t="s">
        <v>51</v>
      </c>
      <c r="K136" s="9" t="s">
        <v>51</v>
      </c>
      <c r="L136" s="9" t="s">
        <v>51</v>
      </c>
      <c r="M136" s="9" t="s">
        <v>51</v>
      </c>
      <c r="N136" s="9" t="s">
        <v>51</v>
      </c>
      <c r="O136" s="9" t="s">
        <v>51</v>
      </c>
      <c r="P136" s="9" t="n">
        <v>248501</v>
      </c>
      <c r="Q136" s="9" t="n">
        <v>181902</v>
      </c>
      <c r="R136" s="10" t="n">
        <f aca="false">(Q136/P136)*100</f>
        <v>73.199705433781</v>
      </c>
      <c r="S136" s="9" t="n">
        <f aca="false">Y136-AD136</f>
        <v>6438</v>
      </c>
      <c r="T136" s="10" t="n">
        <f aca="false">(S136/Q136)*100</f>
        <v>3.53926839726886</v>
      </c>
      <c r="U136" s="10" t="n">
        <f aca="false">Z136+AE136</f>
        <v>89.1622961814604</v>
      </c>
      <c r="V136" s="9" t="s">
        <v>55</v>
      </c>
      <c r="W136" s="9" t="s">
        <v>68</v>
      </c>
      <c r="X136" s="9" t="s">
        <v>835</v>
      </c>
      <c r="Y136" s="9" t="n">
        <v>84313</v>
      </c>
      <c r="Z136" s="10" t="n">
        <f aca="false">(Y136/Q136)*100</f>
        <v>46.3507822893646</v>
      </c>
      <c r="AA136" s="9" t="s">
        <v>52</v>
      </c>
      <c r="AB136" s="9" t="s">
        <v>53</v>
      </c>
      <c r="AC136" s="9" t="s">
        <v>836</v>
      </c>
      <c r="AD136" s="9" t="n">
        <v>77875</v>
      </c>
      <c r="AE136" s="10" t="n">
        <f aca="false">(AD136/Q136)*100</f>
        <v>42.8115138920957</v>
      </c>
      <c r="AF136" s="9" t="s">
        <v>60</v>
      </c>
      <c r="AG136" s="9" t="s">
        <v>74</v>
      </c>
      <c r="AH136" s="9" t="s">
        <v>837</v>
      </c>
      <c r="AI136" s="9" t="n">
        <v>6515</v>
      </c>
      <c r="AJ136" s="10" t="n">
        <f aca="false">(AI136/Q136)*100</f>
        <v>3.58159888291498</v>
      </c>
      <c r="AK136" s="9" t="s">
        <v>58</v>
      </c>
      <c r="AL136" s="9" t="s">
        <v>58</v>
      </c>
      <c r="AM136" s="9" t="s">
        <v>838</v>
      </c>
      <c r="AN136" s="9" t="n">
        <v>6245</v>
      </c>
      <c r="AO136" s="10" t="n">
        <f aca="false">(AN136/Q136)*100</f>
        <v>3.43316730987015</v>
      </c>
      <c r="AP136" s="9" t="s">
        <v>71</v>
      </c>
      <c r="AQ136" s="9" t="s">
        <v>72</v>
      </c>
      <c r="AR136" s="9" t="s">
        <v>839</v>
      </c>
      <c r="AS136" s="9" t="n">
        <v>2894</v>
      </c>
      <c r="AT136" s="10" t="n">
        <f aca="false">(AS136/Q136)*100</f>
        <v>1.59096656441381</v>
      </c>
    </row>
    <row r="137" customFormat="false" ht="12.8" hidden="false" customHeight="false" outlineLevel="0" collapsed="false">
      <c r="A137" s="7" t="n">
        <v>2021</v>
      </c>
      <c r="B137" s="8" t="n">
        <v>127</v>
      </c>
      <c r="C137" s="9" t="s">
        <v>236</v>
      </c>
      <c r="D137" s="9" t="s">
        <v>840</v>
      </c>
      <c r="E137" s="9" t="s">
        <v>586</v>
      </c>
      <c r="F137" s="9" t="s">
        <v>694</v>
      </c>
      <c r="G137" s="9" t="s">
        <v>77</v>
      </c>
      <c r="H137" s="9" t="s">
        <v>51</v>
      </c>
      <c r="I137" s="9" t="s">
        <v>51</v>
      </c>
      <c r="J137" s="9" t="s">
        <v>51</v>
      </c>
      <c r="K137" s="9" t="s">
        <v>51</v>
      </c>
      <c r="L137" s="9" t="s">
        <v>51</v>
      </c>
      <c r="M137" s="9" t="s">
        <v>51</v>
      </c>
      <c r="N137" s="9" t="s">
        <v>51</v>
      </c>
      <c r="O137" s="9" t="s">
        <v>51</v>
      </c>
      <c r="P137" s="9" t="n">
        <v>277298</v>
      </c>
      <c r="Q137" s="9" t="n">
        <v>205384</v>
      </c>
      <c r="R137" s="10" t="n">
        <f aca="false">(Q137/P137)*100</f>
        <v>74.0661670837871</v>
      </c>
      <c r="S137" s="9" t="n">
        <f aca="false">Y137-AD137</f>
        <v>30056</v>
      </c>
      <c r="T137" s="10" t="n">
        <f aca="false">(S137/Q137)*100</f>
        <v>14.6340513379815</v>
      </c>
      <c r="U137" s="10" t="n">
        <f aca="false">Z137+AE137</f>
        <v>91.0859658006466</v>
      </c>
      <c r="V137" s="9" t="s">
        <v>52</v>
      </c>
      <c r="W137" s="9" t="s">
        <v>53</v>
      </c>
      <c r="X137" s="9" t="s">
        <v>841</v>
      </c>
      <c r="Y137" s="9" t="n">
        <v>108566</v>
      </c>
      <c r="Z137" s="10" t="n">
        <f aca="false">(Y137/Q137)*100</f>
        <v>52.8600085693141</v>
      </c>
      <c r="AA137" s="9" t="s">
        <v>55</v>
      </c>
      <c r="AB137" s="9" t="s">
        <v>68</v>
      </c>
      <c r="AC137" s="9" t="s">
        <v>842</v>
      </c>
      <c r="AD137" s="9" t="n">
        <v>78510</v>
      </c>
      <c r="AE137" s="10" t="n">
        <f aca="false">(AD137/Q137)*100</f>
        <v>38.2259572313325</v>
      </c>
      <c r="AF137" s="9" t="s">
        <v>58</v>
      </c>
      <c r="AG137" s="9" t="s">
        <v>58</v>
      </c>
      <c r="AH137" s="9" t="s">
        <v>843</v>
      </c>
      <c r="AI137" s="9" t="n">
        <v>7656</v>
      </c>
      <c r="AJ137" s="10" t="n">
        <f aca="false">(AI137/Q137)*100</f>
        <v>3.72765161843182</v>
      </c>
      <c r="AK137" s="9" t="s">
        <v>71</v>
      </c>
      <c r="AL137" s="9" t="s">
        <v>72</v>
      </c>
      <c r="AM137" s="9" t="s">
        <v>844</v>
      </c>
      <c r="AN137" s="9" t="n">
        <v>3732</v>
      </c>
      <c r="AO137" s="10" t="n">
        <f aca="false">(AN137/Q137)*100</f>
        <v>1.81708409613212</v>
      </c>
      <c r="AP137" s="9" t="s">
        <v>60</v>
      </c>
      <c r="AQ137" s="9" t="s">
        <v>74</v>
      </c>
      <c r="AR137" s="9" t="s">
        <v>845</v>
      </c>
      <c r="AS137" s="9" t="n">
        <v>2255</v>
      </c>
      <c r="AT137" s="10" t="n">
        <f aca="false">(AS137/Q137)*100</f>
        <v>1.09794336462431</v>
      </c>
    </row>
    <row r="138" customFormat="false" ht="12.8" hidden="false" customHeight="false" outlineLevel="0" collapsed="false">
      <c r="A138" s="7" t="n">
        <v>2021</v>
      </c>
      <c r="B138" s="8" t="n">
        <v>128</v>
      </c>
      <c r="C138" s="9" t="s">
        <v>846</v>
      </c>
      <c r="D138" s="9" t="s">
        <v>840</v>
      </c>
      <c r="E138" s="9" t="s">
        <v>586</v>
      </c>
      <c r="F138" s="9" t="s">
        <v>694</v>
      </c>
      <c r="G138" s="9" t="s">
        <v>77</v>
      </c>
      <c r="H138" s="9" t="s">
        <v>51</v>
      </c>
      <c r="I138" s="9" t="s">
        <v>51</v>
      </c>
      <c r="J138" s="9" t="s">
        <v>51</v>
      </c>
      <c r="K138" s="9" t="s">
        <v>53</v>
      </c>
      <c r="L138" s="9" t="s">
        <v>51</v>
      </c>
      <c r="M138" s="9" t="s">
        <v>53</v>
      </c>
      <c r="N138" s="9" t="s">
        <v>51</v>
      </c>
      <c r="O138" s="9" t="s">
        <v>51</v>
      </c>
      <c r="P138" s="9" t="n">
        <v>241240</v>
      </c>
      <c r="Q138" s="9" t="n">
        <v>201756</v>
      </c>
      <c r="R138" s="10" t="n">
        <f aca="false">(Q138/P138)*100</f>
        <v>83.6328967003814</v>
      </c>
      <c r="S138" s="9" t="n">
        <f aca="false">Y138-AD138</f>
        <v>28742</v>
      </c>
      <c r="T138" s="10" t="n">
        <f aca="false">(S138/Q138)*100</f>
        <v>14.2459208152422</v>
      </c>
      <c r="U138" s="10" t="n">
        <f aca="false">Z138+AE138</f>
        <v>94.7669462122564</v>
      </c>
      <c r="V138" s="9" t="s">
        <v>52</v>
      </c>
      <c r="W138" s="9" t="s">
        <v>53</v>
      </c>
      <c r="X138" s="9" t="s">
        <v>847</v>
      </c>
      <c r="Y138" s="9" t="n">
        <v>109970</v>
      </c>
      <c r="Z138" s="10" t="n">
        <f aca="false">(Y138/Q138)*100</f>
        <v>54.5064335137493</v>
      </c>
      <c r="AA138" s="9" t="s">
        <v>55</v>
      </c>
      <c r="AB138" s="9" t="s">
        <v>68</v>
      </c>
      <c r="AC138" s="9" t="s">
        <v>848</v>
      </c>
      <c r="AD138" s="9" t="n">
        <v>81228</v>
      </c>
      <c r="AE138" s="10" t="n">
        <f aca="false">(AD138/Q138)*100</f>
        <v>40.2605126985071</v>
      </c>
      <c r="AF138" s="9" t="s">
        <v>58</v>
      </c>
      <c r="AG138" s="9" t="s">
        <v>58</v>
      </c>
      <c r="AH138" s="9" t="s">
        <v>849</v>
      </c>
      <c r="AI138" s="9" t="n">
        <v>4944</v>
      </c>
      <c r="AJ138" s="10" t="n">
        <f aca="false">(AI138/Q138)*100</f>
        <v>2.45048474394814</v>
      </c>
      <c r="AK138" s="9" t="s">
        <v>63</v>
      </c>
      <c r="AL138" s="9" t="s">
        <v>63</v>
      </c>
      <c r="AM138" s="9" t="s">
        <v>63</v>
      </c>
      <c r="AN138" s="9" t="n">
        <v>1457</v>
      </c>
      <c r="AO138" s="10" t="n">
        <f aca="false">(AN138/Q138)*100</f>
        <v>0.722159440115783</v>
      </c>
      <c r="AP138" s="9" t="s">
        <v>60</v>
      </c>
      <c r="AQ138" s="9" t="s">
        <v>61</v>
      </c>
      <c r="AR138" s="9" t="s">
        <v>850</v>
      </c>
      <c r="AS138" s="9" t="n">
        <v>1427</v>
      </c>
      <c r="AT138" s="10" t="n">
        <f aca="false">(AS138/Q138)*100</f>
        <v>0.707289993853962</v>
      </c>
    </row>
    <row r="139" customFormat="false" ht="12.8" hidden="false" customHeight="false" outlineLevel="0" collapsed="false">
      <c r="A139" s="7" t="n">
        <v>2021</v>
      </c>
      <c r="B139" s="8" t="n">
        <v>129</v>
      </c>
      <c r="C139" s="9" t="s">
        <v>851</v>
      </c>
      <c r="D139" s="9" t="s">
        <v>840</v>
      </c>
      <c r="E139" s="9" t="s">
        <v>586</v>
      </c>
      <c r="F139" s="9" t="s">
        <v>694</v>
      </c>
      <c r="G139" s="9" t="s">
        <v>50</v>
      </c>
      <c r="H139" s="9" t="s">
        <v>51</v>
      </c>
      <c r="I139" s="9" t="s">
        <v>316</v>
      </c>
      <c r="J139" s="9" t="s">
        <v>51</v>
      </c>
      <c r="K139" s="9" t="s">
        <v>53</v>
      </c>
      <c r="L139" s="9" t="s">
        <v>51</v>
      </c>
      <c r="M139" s="9" t="s">
        <v>53</v>
      </c>
      <c r="N139" s="9" t="s">
        <v>51</v>
      </c>
      <c r="O139" s="9" t="s">
        <v>51</v>
      </c>
      <c r="P139" s="9" t="n">
        <v>291955</v>
      </c>
      <c r="Q139" s="9" t="n">
        <v>229940</v>
      </c>
      <c r="R139" s="10" t="n">
        <f aca="false">(Q139/P139)*100</f>
        <v>78.7587128153311</v>
      </c>
      <c r="S139" s="9" t="n">
        <f aca="false">Y139-AD139</f>
        <v>135571</v>
      </c>
      <c r="T139" s="10" t="n">
        <f aca="false">(S139/Q139)*100</f>
        <v>58.9592937287988</v>
      </c>
      <c r="U139" s="10" t="n">
        <f aca="false">Z139+AE139</f>
        <v>85.2600678437853</v>
      </c>
      <c r="V139" s="9" t="s">
        <v>52</v>
      </c>
      <c r="W139" s="9" t="s">
        <v>53</v>
      </c>
      <c r="X139" s="9" t="s">
        <v>852</v>
      </c>
      <c r="Y139" s="9" t="n">
        <v>165809</v>
      </c>
      <c r="Z139" s="10" t="n">
        <f aca="false">(Y139/Q139)*100</f>
        <v>72.1096807862921</v>
      </c>
      <c r="AA139" s="9" t="s">
        <v>55</v>
      </c>
      <c r="AB139" s="9" t="s">
        <v>56</v>
      </c>
      <c r="AC139" s="9" t="s">
        <v>853</v>
      </c>
      <c r="AD139" s="9" t="n">
        <v>30238</v>
      </c>
      <c r="AE139" s="10" t="n">
        <f aca="false">(AD139/Q139)*100</f>
        <v>13.1503870574933</v>
      </c>
      <c r="AF139" s="9" t="s">
        <v>58</v>
      </c>
      <c r="AG139" s="9" t="s">
        <v>58</v>
      </c>
      <c r="AH139" s="9" t="s">
        <v>854</v>
      </c>
      <c r="AI139" s="9" t="n">
        <v>17168</v>
      </c>
      <c r="AJ139" s="10" t="n">
        <f aca="false">(AI139/Q139)*100</f>
        <v>7.46629555536227</v>
      </c>
      <c r="AK139" s="9" t="s">
        <v>71</v>
      </c>
      <c r="AL139" s="9" t="s">
        <v>72</v>
      </c>
      <c r="AM139" s="9" t="s">
        <v>855</v>
      </c>
      <c r="AN139" s="9" t="n">
        <v>3241</v>
      </c>
      <c r="AO139" s="10" t="n">
        <f aca="false">(AN139/Q139)*100</f>
        <v>1.40949812994694</v>
      </c>
      <c r="AP139" s="9" t="s">
        <v>60</v>
      </c>
      <c r="AQ139" s="9" t="s">
        <v>74</v>
      </c>
      <c r="AR139" s="9" t="s">
        <v>856</v>
      </c>
      <c r="AS139" s="9" t="n">
        <v>3017</v>
      </c>
      <c r="AT139" s="10" t="n">
        <f aca="false">(AS139/Q139)*100</f>
        <v>1.3120814125424</v>
      </c>
    </row>
    <row r="140" customFormat="false" ht="12.8" hidden="false" customHeight="false" outlineLevel="0" collapsed="false">
      <c r="A140" s="7" t="n">
        <v>2021</v>
      </c>
      <c r="B140" s="8" t="n">
        <v>130</v>
      </c>
      <c r="C140" s="9" t="s">
        <v>857</v>
      </c>
      <c r="D140" s="9" t="s">
        <v>840</v>
      </c>
      <c r="E140" s="9" t="s">
        <v>586</v>
      </c>
      <c r="F140" s="9" t="s">
        <v>694</v>
      </c>
      <c r="G140" s="9" t="s">
        <v>50</v>
      </c>
      <c r="H140" s="9" t="s">
        <v>65</v>
      </c>
      <c r="I140" s="9" t="s">
        <v>51</v>
      </c>
      <c r="J140" s="9" t="s">
        <v>51</v>
      </c>
      <c r="K140" s="9" t="s">
        <v>51</v>
      </c>
      <c r="L140" s="9" t="s">
        <v>51</v>
      </c>
      <c r="M140" s="9" t="s">
        <v>51</v>
      </c>
      <c r="N140" s="9" t="s">
        <v>51</v>
      </c>
      <c r="O140" s="9" t="s">
        <v>51</v>
      </c>
      <c r="P140" s="9" t="n">
        <v>244534</v>
      </c>
      <c r="Q140" s="9" t="n">
        <v>184805</v>
      </c>
      <c r="R140" s="10" t="n">
        <f aca="false">(Q140/P140)*100</f>
        <v>75.5743577580214</v>
      </c>
      <c r="S140" s="9" t="n">
        <f aca="false">Y140-AD140</f>
        <v>27618</v>
      </c>
      <c r="T140" s="10" t="n">
        <f aca="false">(S140/Q140)*100</f>
        <v>14.9444008549552</v>
      </c>
      <c r="U140" s="10" t="n">
        <f aca="false">Z140+AE140</f>
        <v>84.036687319066</v>
      </c>
      <c r="V140" s="9" t="s">
        <v>55</v>
      </c>
      <c r="W140" s="9" t="s">
        <v>68</v>
      </c>
      <c r="X140" s="9" t="s">
        <v>858</v>
      </c>
      <c r="Y140" s="9" t="n">
        <v>91461</v>
      </c>
      <c r="Z140" s="10" t="n">
        <f aca="false">(Y140/Q140)*100</f>
        <v>49.4905440870106</v>
      </c>
      <c r="AA140" s="9" t="s">
        <v>52</v>
      </c>
      <c r="AB140" s="9" t="s">
        <v>53</v>
      </c>
      <c r="AC140" s="9" t="s">
        <v>859</v>
      </c>
      <c r="AD140" s="9" t="n">
        <v>63843</v>
      </c>
      <c r="AE140" s="10" t="n">
        <f aca="false">(AD140/Q140)*100</f>
        <v>34.5461432320554</v>
      </c>
      <c r="AF140" s="9" t="s">
        <v>58</v>
      </c>
      <c r="AG140" s="9" t="s">
        <v>58</v>
      </c>
      <c r="AH140" s="9" t="s">
        <v>860</v>
      </c>
      <c r="AI140" s="9" t="n">
        <v>17509</v>
      </c>
      <c r="AJ140" s="10" t="n">
        <f aca="false">(AI140/Q140)*100</f>
        <v>9.47431075999026</v>
      </c>
      <c r="AK140" s="9" t="s">
        <v>60</v>
      </c>
      <c r="AL140" s="9" t="s">
        <v>61</v>
      </c>
      <c r="AM140" s="9" t="s">
        <v>861</v>
      </c>
      <c r="AN140" s="9" t="n">
        <v>3704</v>
      </c>
      <c r="AO140" s="10" t="n">
        <f aca="false">(AN140/Q140)*100</f>
        <v>2.00427477611537</v>
      </c>
      <c r="AP140" s="9" t="s">
        <v>71</v>
      </c>
      <c r="AQ140" s="9" t="s">
        <v>72</v>
      </c>
      <c r="AR140" s="9" t="s">
        <v>862</v>
      </c>
      <c r="AS140" s="9" t="n">
        <v>3181</v>
      </c>
      <c r="AT140" s="10" t="n">
        <f aca="false">(AS140/Q140)*100</f>
        <v>1.7212737750602</v>
      </c>
    </row>
    <row r="141" customFormat="false" ht="12.8" hidden="false" customHeight="false" outlineLevel="0" collapsed="false">
      <c r="A141" s="7" t="n">
        <v>2021</v>
      </c>
      <c r="B141" s="8" t="n">
        <v>131</v>
      </c>
      <c r="C141" s="9" t="s">
        <v>863</v>
      </c>
      <c r="D141" s="9" t="s">
        <v>840</v>
      </c>
      <c r="E141" s="9" t="s">
        <v>586</v>
      </c>
      <c r="F141" s="9" t="s">
        <v>694</v>
      </c>
      <c r="G141" s="9" t="s">
        <v>50</v>
      </c>
      <c r="H141" s="9" t="s">
        <v>51</v>
      </c>
      <c r="I141" s="9" t="s">
        <v>526</v>
      </c>
      <c r="J141" s="9" t="s">
        <v>51</v>
      </c>
      <c r="K141" s="9" t="s">
        <v>68</v>
      </c>
      <c r="L141" s="9" t="s">
        <v>864</v>
      </c>
      <c r="M141" s="9" t="s">
        <v>51</v>
      </c>
      <c r="N141" s="9" t="s">
        <v>864</v>
      </c>
      <c r="O141" s="9" t="s">
        <v>51</v>
      </c>
      <c r="P141" s="9" t="n">
        <v>283531</v>
      </c>
      <c r="Q141" s="9" t="n">
        <v>225244</v>
      </c>
      <c r="R141" s="10" t="n">
        <f aca="false">(Q141/P141)*100</f>
        <v>79.4424595546871</v>
      </c>
      <c r="S141" s="9" t="n">
        <f aca="false">Y141-AD141</f>
        <v>11932</v>
      </c>
      <c r="T141" s="10" t="n">
        <f aca="false">(S141/Q141)*100</f>
        <v>5.29736641153593</v>
      </c>
      <c r="U141" s="10" t="n">
        <f aca="false">Z141+AE141</f>
        <v>90.3873133135622</v>
      </c>
      <c r="V141" s="9" t="s">
        <v>55</v>
      </c>
      <c r="W141" s="9" t="s">
        <v>68</v>
      </c>
      <c r="X141" s="9" t="s">
        <v>865</v>
      </c>
      <c r="Y141" s="9" t="n">
        <v>107762</v>
      </c>
      <c r="Z141" s="10" t="n">
        <f aca="false">(Y141/Q141)*100</f>
        <v>47.8423398625491</v>
      </c>
      <c r="AA141" s="9" t="s">
        <v>52</v>
      </c>
      <c r="AB141" s="9" t="s">
        <v>53</v>
      </c>
      <c r="AC141" s="9" t="s">
        <v>866</v>
      </c>
      <c r="AD141" s="9" t="n">
        <v>95830</v>
      </c>
      <c r="AE141" s="10" t="n">
        <f aca="false">(AD141/Q141)*100</f>
        <v>42.5449734510131</v>
      </c>
      <c r="AF141" s="9" t="s">
        <v>58</v>
      </c>
      <c r="AG141" s="9" t="s">
        <v>58</v>
      </c>
      <c r="AH141" s="9" t="s">
        <v>867</v>
      </c>
      <c r="AI141" s="9" t="n">
        <v>14762</v>
      </c>
      <c r="AJ141" s="10" t="n">
        <f aca="false">(AI141/Q141)*100</f>
        <v>6.55378167675943</v>
      </c>
      <c r="AK141" s="9" t="s">
        <v>60</v>
      </c>
      <c r="AL141" s="9" t="s">
        <v>74</v>
      </c>
      <c r="AM141" s="9" t="s">
        <v>868</v>
      </c>
      <c r="AN141" s="9" t="n">
        <v>1721</v>
      </c>
      <c r="AO141" s="10" t="n">
        <f aca="false">(AN141/Q141)*100</f>
        <v>0.764060307932731</v>
      </c>
      <c r="AP141" s="9" t="s">
        <v>63</v>
      </c>
      <c r="AQ141" s="9" t="s">
        <v>63</v>
      </c>
      <c r="AR141" s="9" t="s">
        <v>63</v>
      </c>
      <c r="AS141" s="9" t="n">
        <v>1444</v>
      </c>
      <c r="AT141" s="10" t="n">
        <f aca="false">(AS141/Q141)*100</f>
        <v>0.641082559357852</v>
      </c>
    </row>
    <row r="142" customFormat="false" ht="12.8" hidden="false" customHeight="false" outlineLevel="0" collapsed="false">
      <c r="A142" s="7" t="n">
        <v>2021</v>
      </c>
      <c r="B142" s="8" t="n">
        <v>132</v>
      </c>
      <c r="C142" s="9" t="s">
        <v>840</v>
      </c>
      <c r="D142" s="9" t="s">
        <v>840</v>
      </c>
      <c r="E142" s="9" t="s">
        <v>586</v>
      </c>
      <c r="F142" s="9" t="s">
        <v>694</v>
      </c>
      <c r="G142" s="9" t="s">
        <v>88</v>
      </c>
      <c r="H142" s="9" t="s">
        <v>51</v>
      </c>
      <c r="I142" s="9" t="s">
        <v>51</v>
      </c>
      <c r="J142" s="9" t="s">
        <v>51</v>
      </c>
      <c r="K142" s="9" t="s">
        <v>51</v>
      </c>
      <c r="L142" s="9" t="s">
        <v>51</v>
      </c>
      <c r="M142" s="9" t="s">
        <v>51</v>
      </c>
      <c r="N142" s="9" t="s">
        <v>51</v>
      </c>
      <c r="O142" s="9" t="s">
        <v>51</v>
      </c>
      <c r="P142" s="9" t="n">
        <v>276820</v>
      </c>
      <c r="Q142" s="9" t="n">
        <v>195118</v>
      </c>
      <c r="R142" s="10" t="n">
        <f aca="false">(Q142/P142)*100</f>
        <v>70.4855140524529</v>
      </c>
      <c r="S142" s="9" t="n">
        <f aca="false">Y142-AD142</f>
        <v>17747</v>
      </c>
      <c r="T142" s="10" t="n">
        <f aca="false">(S142/Q142)*100</f>
        <v>9.09552168431411</v>
      </c>
      <c r="U142" s="10" t="n">
        <f aca="false">Z142+AE142</f>
        <v>83.7662337662338</v>
      </c>
      <c r="V142" s="9" t="s">
        <v>55</v>
      </c>
      <c r="W142" s="9" t="s">
        <v>68</v>
      </c>
      <c r="X142" s="9" t="s">
        <v>869</v>
      </c>
      <c r="Y142" s="9" t="n">
        <v>90595</v>
      </c>
      <c r="Z142" s="10" t="n">
        <f aca="false">(Y142/Q142)*100</f>
        <v>46.4308777252739</v>
      </c>
      <c r="AA142" s="9" t="s">
        <v>52</v>
      </c>
      <c r="AB142" s="9" t="s">
        <v>422</v>
      </c>
      <c r="AC142" s="9" t="s">
        <v>870</v>
      </c>
      <c r="AD142" s="9" t="n">
        <v>72848</v>
      </c>
      <c r="AE142" s="10" t="n">
        <f aca="false">(AD142/Q142)*100</f>
        <v>37.3353560409598</v>
      </c>
      <c r="AF142" s="9" t="s">
        <v>58</v>
      </c>
      <c r="AG142" s="9" t="s">
        <v>58</v>
      </c>
      <c r="AH142" s="9" t="s">
        <v>871</v>
      </c>
      <c r="AI142" s="9" t="n">
        <v>14860</v>
      </c>
      <c r="AJ142" s="10" t="n">
        <f aca="false">(AI142/Q142)*100</f>
        <v>7.6159042220605</v>
      </c>
      <c r="AK142" s="9" t="s">
        <v>71</v>
      </c>
      <c r="AL142" s="9" t="s">
        <v>72</v>
      </c>
      <c r="AM142" s="9" t="s">
        <v>552</v>
      </c>
      <c r="AN142" s="9" t="n">
        <v>9063</v>
      </c>
      <c r="AO142" s="10" t="n">
        <f aca="false">(AN142/Q142)*100</f>
        <v>4.64488155885157</v>
      </c>
      <c r="AP142" s="9" t="s">
        <v>60</v>
      </c>
      <c r="AQ142" s="9" t="s">
        <v>74</v>
      </c>
      <c r="AR142" s="9" t="s">
        <v>872</v>
      </c>
      <c r="AS142" s="9" t="n">
        <v>2427</v>
      </c>
      <c r="AT142" s="10" t="n">
        <f aca="false">(AS142/Q142)*100</f>
        <v>1.24386268821944</v>
      </c>
    </row>
    <row r="143" customFormat="false" ht="12.8" hidden="false" customHeight="false" outlineLevel="0" collapsed="false">
      <c r="A143" s="7" t="n">
        <v>2021</v>
      </c>
      <c r="B143" s="8" t="n">
        <v>133</v>
      </c>
      <c r="C143" s="9" t="s">
        <v>873</v>
      </c>
      <c r="D143" s="9" t="s">
        <v>840</v>
      </c>
      <c r="E143" s="9" t="s">
        <v>586</v>
      </c>
      <c r="F143" s="9" t="s">
        <v>694</v>
      </c>
      <c r="G143" s="9" t="s">
        <v>50</v>
      </c>
      <c r="H143" s="9" t="s">
        <v>51</v>
      </c>
      <c r="I143" s="9" t="s">
        <v>51</v>
      </c>
      <c r="J143" s="9" t="s">
        <v>51</v>
      </c>
      <c r="K143" s="9" t="s">
        <v>51</v>
      </c>
      <c r="L143" s="9" t="s">
        <v>51</v>
      </c>
      <c r="M143" s="9" t="s">
        <v>51</v>
      </c>
      <c r="N143" s="9" t="s">
        <v>51</v>
      </c>
      <c r="O143" s="9" t="s">
        <v>51</v>
      </c>
      <c r="P143" s="9" t="n">
        <v>263561</v>
      </c>
      <c r="Q143" s="9" t="n">
        <v>213080</v>
      </c>
      <c r="R143" s="10" t="n">
        <f aca="false">(Q143/P143)*100</f>
        <v>80.8465592405553</v>
      </c>
      <c r="S143" s="9" t="n">
        <f aca="false">Y143-AD143</f>
        <v>17553</v>
      </c>
      <c r="T143" s="10" t="n">
        <f aca="false">(S143/Q143)*100</f>
        <v>8.2377510794068</v>
      </c>
      <c r="U143" s="10" t="n">
        <f aca="false">Z143+AE143</f>
        <v>91.7068706589075</v>
      </c>
      <c r="V143" s="9" t="s">
        <v>52</v>
      </c>
      <c r="W143" s="9" t="s">
        <v>53</v>
      </c>
      <c r="X143" s="9" t="s">
        <v>874</v>
      </c>
      <c r="Y143" s="9" t="n">
        <v>106481</v>
      </c>
      <c r="Z143" s="10" t="n">
        <f aca="false">(Y143/Q143)*100</f>
        <v>49.9723108691571</v>
      </c>
      <c r="AA143" s="9" t="s">
        <v>55</v>
      </c>
      <c r="AB143" s="9" t="s">
        <v>68</v>
      </c>
      <c r="AC143" s="9" t="s">
        <v>875</v>
      </c>
      <c r="AD143" s="9" t="n">
        <v>88928</v>
      </c>
      <c r="AE143" s="10" t="n">
        <f aca="false">(AD143/Q143)*100</f>
        <v>41.7345597897503</v>
      </c>
      <c r="AF143" s="9" t="s">
        <v>58</v>
      </c>
      <c r="AG143" s="9" t="s">
        <v>58</v>
      </c>
      <c r="AH143" s="9" t="s">
        <v>876</v>
      </c>
      <c r="AI143" s="9" t="n">
        <v>8495</v>
      </c>
      <c r="AJ143" s="10" t="n">
        <f aca="false">(AI143/Q143)*100</f>
        <v>3.98676553407171</v>
      </c>
      <c r="AK143" s="9" t="s">
        <v>60</v>
      </c>
      <c r="AL143" s="9" t="s">
        <v>74</v>
      </c>
      <c r="AM143" s="9" t="s">
        <v>877</v>
      </c>
      <c r="AN143" s="9" t="n">
        <v>2041</v>
      </c>
      <c r="AO143" s="10" t="n">
        <f aca="false">(AN143/Q143)*100</f>
        <v>0.957856204242538</v>
      </c>
      <c r="AP143" s="9" t="s">
        <v>197</v>
      </c>
      <c r="AQ143" s="9" t="s">
        <v>197</v>
      </c>
      <c r="AR143" s="9" t="s">
        <v>878</v>
      </c>
      <c r="AS143" s="9" t="n">
        <v>1293</v>
      </c>
      <c r="AT143" s="10" t="n">
        <f aca="false">(AS143/Q143)*100</f>
        <v>0.606814342031162</v>
      </c>
    </row>
    <row r="144" customFormat="false" ht="12.8" hidden="false" customHeight="false" outlineLevel="0" collapsed="false">
      <c r="A144" s="7" t="n">
        <v>2021</v>
      </c>
      <c r="B144" s="8" t="n">
        <v>134</v>
      </c>
      <c r="C144" s="9" t="s">
        <v>879</v>
      </c>
      <c r="D144" s="9" t="s">
        <v>880</v>
      </c>
      <c r="E144" s="9" t="s">
        <v>586</v>
      </c>
      <c r="F144" s="9" t="s">
        <v>645</v>
      </c>
      <c r="G144" s="9" t="s">
        <v>50</v>
      </c>
      <c r="H144" s="9" t="s">
        <v>51</v>
      </c>
      <c r="I144" s="9" t="s">
        <v>51</v>
      </c>
      <c r="J144" s="9" t="s">
        <v>51</v>
      </c>
      <c r="K144" s="9" t="s">
        <v>51</v>
      </c>
      <c r="L144" s="9" t="s">
        <v>51</v>
      </c>
      <c r="M144" s="9" t="s">
        <v>51</v>
      </c>
      <c r="N144" s="9" t="s">
        <v>51</v>
      </c>
      <c r="O144" s="9" t="s">
        <v>51</v>
      </c>
      <c r="P144" s="9" t="n">
        <v>213969</v>
      </c>
      <c r="Q144" s="9" t="n">
        <v>177114</v>
      </c>
      <c r="R144" s="10" t="n">
        <f aca="false">(Q144/P144)*100</f>
        <v>82.7755422514477</v>
      </c>
      <c r="S144" s="9" t="n">
        <f aca="false">Y144-AD144</f>
        <v>24816</v>
      </c>
      <c r="T144" s="10" t="n">
        <f aca="false">(S144/Q144)*100</f>
        <v>14.0113147464345</v>
      </c>
      <c r="U144" s="10" t="n">
        <f aca="false">Z144+AE144</f>
        <v>91.4224736610319</v>
      </c>
      <c r="V144" s="9" t="s">
        <v>52</v>
      </c>
      <c r="W144" s="9" t="s">
        <v>53</v>
      </c>
      <c r="X144" s="9" t="s">
        <v>881</v>
      </c>
      <c r="Y144" s="9" t="n">
        <v>93369</v>
      </c>
      <c r="Z144" s="10" t="n">
        <f aca="false">(Y144/Q144)*100</f>
        <v>52.7168942037332</v>
      </c>
      <c r="AA144" s="9" t="s">
        <v>55</v>
      </c>
      <c r="AB144" s="9" t="s">
        <v>171</v>
      </c>
      <c r="AC144" s="9" t="s">
        <v>882</v>
      </c>
      <c r="AD144" s="9" t="n">
        <v>68553</v>
      </c>
      <c r="AE144" s="10" t="n">
        <f aca="false">(AD144/Q144)*100</f>
        <v>38.7055794572987</v>
      </c>
      <c r="AF144" s="9" t="s">
        <v>58</v>
      </c>
      <c r="AG144" s="9" t="s">
        <v>58</v>
      </c>
      <c r="AH144" s="9" t="s">
        <v>883</v>
      </c>
      <c r="AI144" s="9" t="n">
        <v>7188</v>
      </c>
      <c r="AJ144" s="10" t="n">
        <f aca="false">(AI144/Q144)*100</f>
        <v>4.05840306243436</v>
      </c>
      <c r="AK144" s="9" t="s">
        <v>60</v>
      </c>
      <c r="AL144" s="9" t="s">
        <v>74</v>
      </c>
      <c r="AM144" s="9" t="s">
        <v>884</v>
      </c>
      <c r="AN144" s="9" t="n">
        <v>1599</v>
      </c>
      <c r="AO144" s="10" t="n">
        <f aca="false">(AN144/Q144)*100</f>
        <v>0.902808360716827</v>
      </c>
      <c r="AP144" s="9" t="s">
        <v>71</v>
      </c>
      <c r="AQ144" s="9" t="s">
        <v>72</v>
      </c>
      <c r="AR144" s="9" t="s">
        <v>885</v>
      </c>
      <c r="AS144" s="9" t="n">
        <v>1382</v>
      </c>
      <c r="AT144" s="10" t="n">
        <f aca="false">(AS144/Q144)*100</f>
        <v>0.780288401820297</v>
      </c>
    </row>
    <row r="145" customFormat="false" ht="12.8" hidden="false" customHeight="false" outlineLevel="0" collapsed="false">
      <c r="A145" s="7" t="n">
        <v>2021</v>
      </c>
      <c r="B145" s="8" t="n">
        <v>135</v>
      </c>
      <c r="C145" s="9" t="s">
        <v>880</v>
      </c>
      <c r="D145" s="9" t="s">
        <v>880</v>
      </c>
      <c r="E145" s="9" t="s">
        <v>586</v>
      </c>
      <c r="F145" s="9" t="s">
        <v>645</v>
      </c>
      <c r="G145" s="9" t="s">
        <v>77</v>
      </c>
      <c r="H145" s="9" t="s">
        <v>51</v>
      </c>
      <c r="I145" s="9" t="s">
        <v>51</v>
      </c>
      <c r="J145" s="9" t="s">
        <v>51</v>
      </c>
      <c r="K145" s="9" t="s">
        <v>53</v>
      </c>
      <c r="L145" s="9" t="s">
        <v>51</v>
      </c>
      <c r="M145" s="9" t="s">
        <v>51</v>
      </c>
      <c r="N145" s="9" t="s">
        <v>51</v>
      </c>
      <c r="O145" s="9" t="s">
        <v>51</v>
      </c>
      <c r="P145" s="9" t="n">
        <v>245356</v>
      </c>
      <c r="Q145" s="9" t="n">
        <v>207310</v>
      </c>
      <c r="R145" s="10" t="n">
        <f aca="false">(Q145/P145)*100</f>
        <v>84.493552226153</v>
      </c>
      <c r="S145" s="9" t="n">
        <f aca="false">Y145-AD145</f>
        <v>12448</v>
      </c>
      <c r="T145" s="10" t="n">
        <f aca="false">(S145/Q145)*100</f>
        <v>6.00453427234576</v>
      </c>
      <c r="U145" s="10" t="n">
        <f aca="false">Z145+AE145</f>
        <v>92.1643914910038</v>
      </c>
      <c r="V145" s="9" t="s">
        <v>52</v>
      </c>
      <c r="W145" s="9" t="s">
        <v>53</v>
      </c>
      <c r="X145" s="9" t="s">
        <v>886</v>
      </c>
      <c r="Y145" s="9" t="n">
        <v>101757</v>
      </c>
      <c r="Z145" s="10" t="n">
        <f aca="false">(Y145/Q145)*100</f>
        <v>49.0844628816748</v>
      </c>
      <c r="AA145" s="9" t="s">
        <v>55</v>
      </c>
      <c r="AB145" s="9" t="s">
        <v>68</v>
      </c>
      <c r="AC145" s="9" t="s">
        <v>887</v>
      </c>
      <c r="AD145" s="9" t="n">
        <v>89309</v>
      </c>
      <c r="AE145" s="10" t="n">
        <f aca="false">(AD145/Q145)*100</f>
        <v>43.079928609329</v>
      </c>
      <c r="AF145" s="9" t="s">
        <v>58</v>
      </c>
      <c r="AG145" s="9" t="s">
        <v>58</v>
      </c>
      <c r="AH145" s="9" t="s">
        <v>888</v>
      </c>
      <c r="AI145" s="9" t="n">
        <v>7316</v>
      </c>
      <c r="AJ145" s="10" t="n">
        <f aca="false">(AI145/Q145)*100</f>
        <v>3.52901451931889</v>
      </c>
      <c r="AK145" s="9" t="s">
        <v>71</v>
      </c>
      <c r="AL145" s="9" t="s">
        <v>72</v>
      </c>
      <c r="AM145" s="9" t="s">
        <v>889</v>
      </c>
      <c r="AN145" s="9" t="n">
        <v>4154</v>
      </c>
      <c r="AO145" s="10" t="n">
        <f aca="false">(AN145/Q145)*100</f>
        <v>2.00376248130819</v>
      </c>
      <c r="AP145" s="9" t="s">
        <v>63</v>
      </c>
      <c r="AQ145" s="9" t="s">
        <v>63</v>
      </c>
      <c r="AR145" s="9" t="s">
        <v>63</v>
      </c>
      <c r="AS145" s="9" t="n">
        <v>961</v>
      </c>
      <c r="AT145" s="10" t="n">
        <f aca="false">(AS145/Q145)*100</f>
        <v>0.463556991944431</v>
      </c>
    </row>
    <row r="146" customFormat="false" ht="12.8" hidden="false" customHeight="false" outlineLevel="0" collapsed="false">
      <c r="A146" s="7" t="n">
        <v>2021</v>
      </c>
      <c r="B146" s="8" t="n">
        <v>136</v>
      </c>
      <c r="C146" s="9" t="s">
        <v>890</v>
      </c>
      <c r="D146" s="9" t="s">
        <v>880</v>
      </c>
      <c r="E146" s="9" t="s">
        <v>586</v>
      </c>
      <c r="F146" s="9" t="s">
        <v>645</v>
      </c>
      <c r="G146" s="9" t="s">
        <v>50</v>
      </c>
      <c r="H146" s="9" t="s">
        <v>65</v>
      </c>
      <c r="I146" s="9" t="s">
        <v>51</v>
      </c>
      <c r="J146" s="9" t="s">
        <v>51</v>
      </c>
      <c r="K146" s="9" t="s">
        <v>51</v>
      </c>
      <c r="L146" s="9" t="s">
        <v>51</v>
      </c>
      <c r="M146" s="9" t="s">
        <v>51</v>
      </c>
      <c r="N146" s="9" t="s">
        <v>51</v>
      </c>
      <c r="O146" s="9" t="s">
        <v>51</v>
      </c>
      <c r="P146" s="9" t="n">
        <v>213056</v>
      </c>
      <c r="Q146" s="9" t="n">
        <v>180902</v>
      </c>
      <c r="R146" s="10" t="n">
        <f aca="false">(Q146/P146)*100</f>
        <v>84.9081931510964</v>
      </c>
      <c r="S146" s="9" t="n">
        <f aca="false">Y146-AD146</f>
        <v>31625</v>
      </c>
      <c r="T146" s="10" t="n">
        <f aca="false">(S146/Q146)*100</f>
        <v>17.4818409967828</v>
      </c>
      <c r="U146" s="10" t="n">
        <f aca="false">Z146+AE146</f>
        <v>89.249980652508</v>
      </c>
      <c r="V146" s="9" t="s">
        <v>52</v>
      </c>
      <c r="W146" s="9" t="s">
        <v>53</v>
      </c>
      <c r="X146" s="9" t="s">
        <v>891</v>
      </c>
      <c r="Y146" s="9" t="n">
        <v>96540</v>
      </c>
      <c r="Z146" s="10" t="n">
        <f aca="false">(Y146/Q146)*100</f>
        <v>53.3659108246454</v>
      </c>
      <c r="AA146" s="9" t="s">
        <v>55</v>
      </c>
      <c r="AB146" s="9" t="s">
        <v>68</v>
      </c>
      <c r="AC146" s="9" t="s">
        <v>892</v>
      </c>
      <c r="AD146" s="9" t="n">
        <v>64915</v>
      </c>
      <c r="AE146" s="10" t="n">
        <f aca="false">(AD146/Q146)*100</f>
        <v>35.8840698278626</v>
      </c>
      <c r="AF146" s="9" t="s">
        <v>58</v>
      </c>
      <c r="AG146" s="9" t="s">
        <v>58</v>
      </c>
      <c r="AH146" s="9" t="s">
        <v>893</v>
      </c>
      <c r="AI146" s="9" t="n">
        <v>9706</v>
      </c>
      <c r="AJ146" s="10" t="n">
        <f aca="false">(AI146/Q146)*100</f>
        <v>5.36533592773988</v>
      </c>
      <c r="AK146" s="9" t="s">
        <v>60</v>
      </c>
      <c r="AL146" s="9" t="s">
        <v>61</v>
      </c>
      <c r="AM146" s="9" t="s">
        <v>894</v>
      </c>
      <c r="AN146" s="9" t="n">
        <v>1946</v>
      </c>
      <c r="AO146" s="10" t="n">
        <f aca="false">(AN146/Q146)*100</f>
        <v>1.07572055588108</v>
      </c>
      <c r="AP146" s="9" t="s">
        <v>71</v>
      </c>
      <c r="AQ146" s="9" t="s">
        <v>72</v>
      </c>
      <c r="AR146" s="9" t="s">
        <v>895</v>
      </c>
      <c r="AS146" s="9" t="n">
        <v>1848</v>
      </c>
      <c r="AT146" s="10" t="n">
        <f aca="false">(AS146/Q146)*100</f>
        <v>1.02154757824679</v>
      </c>
    </row>
    <row r="147" customFormat="false" ht="12.8" hidden="false" customHeight="false" outlineLevel="0" collapsed="false">
      <c r="A147" s="7" t="n">
        <v>2021</v>
      </c>
      <c r="B147" s="8" t="n">
        <v>137</v>
      </c>
      <c r="C147" s="9" t="s">
        <v>896</v>
      </c>
      <c r="D147" s="9" t="s">
        <v>880</v>
      </c>
      <c r="E147" s="9" t="s">
        <v>586</v>
      </c>
      <c r="F147" s="9" t="s">
        <v>645</v>
      </c>
      <c r="G147" s="9" t="s">
        <v>77</v>
      </c>
      <c r="H147" s="9" t="s">
        <v>51</v>
      </c>
      <c r="I147" s="9" t="s">
        <v>51</v>
      </c>
      <c r="J147" s="9" t="s">
        <v>51</v>
      </c>
      <c r="K147" s="9" t="s">
        <v>51</v>
      </c>
      <c r="L147" s="9" t="s">
        <v>68</v>
      </c>
      <c r="M147" s="9" t="s">
        <v>51</v>
      </c>
      <c r="N147" s="9" t="s">
        <v>51</v>
      </c>
      <c r="O147" s="9" t="s">
        <v>51</v>
      </c>
      <c r="P147" s="9" t="n">
        <v>227279</v>
      </c>
      <c r="Q147" s="9" t="n">
        <v>197456</v>
      </c>
      <c r="R147" s="10" t="n">
        <f aca="false">(Q147/P147)*100</f>
        <v>86.8782421605164</v>
      </c>
      <c r="S147" s="9" t="n">
        <f aca="false">Y147-AD147</f>
        <v>23540</v>
      </c>
      <c r="T147" s="10" t="n">
        <f aca="false">(S147/Q147)*100</f>
        <v>11.9216433028118</v>
      </c>
      <c r="U147" s="10" t="n">
        <f aca="false">Z147+AE147</f>
        <v>90.2064257353537</v>
      </c>
      <c r="V147" s="9" t="s">
        <v>52</v>
      </c>
      <c r="W147" s="9" t="s">
        <v>53</v>
      </c>
      <c r="X147" s="9" t="s">
        <v>897</v>
      </c>
      <c r="Y147" s="9" t="n">
        <v>100829</v>
      </c>
      <c r="Z147" s="10" t="n">
        <f aca="false">(Y147/Q147)*100</f>
        <v>51.0640345190827</v>
      </c>
      <c r="AA147" s="9" t="s">
        <v>55</v>
      </c>
      <c r="AB147" s="9" t="s">
        <v>68</v>
      </c>
      <c r="AC147" s="9" t="s">
        <v>898</v>
      </c>
      <c r="AD147" s="9" t="n">
        <v>77289</v>
      </c>
      <c r="AE147" s="10" t="n">
        <f aca="false">(AD147/Q147)*100</f>
        <v>39.142391216271</v>
      </c>
      <c r="AF147" s="9" t="s">
        <v>58</v>
      </c>
      <c r="AG147" s="9" t="s">
        <v>58</v>
      </c>
      <c r="AH147" s="9" t="s">
        <v>899</v>
      </c>
      <c r="AI147" s="9" t="n">
        <v>11511</v>
      </c>
      <c r="AJ147" s="10" t="n">
        <f aca="false">(AI147/Q147)*100</f>
        <v>5.82965318855846</v>
      </c>
      <c r="AK147" s="9" t="s">
        <v>63</v>
      </c>
      <c r="AL147" s="9" t="s">
        <v>63</v>
      </c>
      <c r="AM147" s="9" t="s">
        <v>63</v>
      </c>
      <c r="AN147" s="9" t="n">
        <v>1191</v>
      </c>
      <c r="AO147" s="10" t="n">
        <f aca="false">(AN147/Q147)*100</f>
        <v>0.60317235232153</v>
      </c>
      <c r="AP147" s="9" t="s">
        <v>197</v>
      </c>
      <c r="AQ147" s="9" t="s">
        <v>197</v>
      </c>
      <c r="AR147" s="9" t="s">
        <v>900</v>
      </c>
      <c r="AS147" s="9" t="n">
        <v>828</v>
      </c>
      <c r="AT147" s="10" t="n">
        <f aca="false">(AS147/Q147)*100</f>
        <v>0.419333927558545</v>
      </c>
    </row>
    <row r="148" customFormat="false" ht="12.8" hidden="false" customHeight="true" outlineLevel="0" collapsed="false">
      <c r="A148" s="7" t="n">
        <v>2021</v>
      </c>
      <c r="B148" s="8" t="n">
        <v>138</v>
      </c>
      <c r="C148" s="9" t="s">
        <v>901</v>
      </c>
      <c r="D148" s="9" t="s">
        <v>902</v>
      </c>
      <c r="E148" s="9" t="s">
        <v>903</v>
      </c>
      <c r="F148" s="9" t="s">
        <v>904</v>
      </c>
      <c r="G148" s="9" t="s">
        <v>77</v>
      </c>
      <c r="H148" s="9" t="s">
        <v>51</v>
      </c>
      <c r="I148" s="9" t="s">
        <v>51</v>
      </c>
      <c r="J148" s="9" t="s">
        <v>51</v>
      </c>
      <c r="K148" s="9" t="s">
        <v>51</v>
      </c>
      <c r="L148" s="9" t="s">
        <v>51</v>
      </c>
      <c r="M148" s="9" t="s">
        <v>51</v>
      </c>
      <c r="N148" s="9" t="s">
        <v>51</v>
      </c>
      <c r="O148" s="9" t="s">
        <v>51</v>
      </c>
      <c r="P148" s="9" t="n">
        <v>289713</v>
      </c>
      <c r="Q148" s="9" t="n">
        <v>221748</v>
      </c>
      <c r="R148" s="10" t="n">
        <f aca="false">(Q148/P148)*100</f>
        <v>76.5405763635046</v>
      </c>
      <c r="S148" s="9" t="n">
        <f aca="false">Y148-AD148</f>
        <v>12243</v>
      </c>
      <c r="T148" s="10" t="n">
        <f aca="false">(S148/Q148)*100</f>
        <v>5.52113209589264</v>
      </c>
      <c r="U148" s="10" t="n">
        <f aca="false">Z148+AE148</f>
        <v>82.9369374244638</v>
      </c>
      <c r="V148" s="9" t="s">
        <v>52</v>
      </c>
      <c r="W148" s="26" t="s">
        <v>905</v>
      </c>
      <c r="X148" s="9" t="s">
        <v>906</v>
      </c>
      <c r="Y148" s="9" t="n">
        <v>98077</v>
      </c>
      <c r="Z148" s="10" t="n">
        <f aca="false">(Y148/Q148)*100</f>
        <v>44.2290347601782</v>
      </c>
      <c r="AA148" s="9" t="s">
        <v>55</v>
      </c>
      <c r="AB148" s="9" t="s">
        <v>68</v>
      </c>
      <c r="AC148" s="9" t="s">
        <v>907</v>
      </c>
      <c r="AD148" s="9" t="n">
        <v>85834</v>
      </c>
      <c r="AE148" s="10" t="n">
        <f aca="false">(AD148/Q148)*100</f>
        <v>38.7079026642856</v>
      </c>
      <c r="AF148" s="9" t="s">
        <v>58</v>
      </c>
      <c r="AG148" s="9" t="s">
        <v>58</v>
      </c>
      <c r="AH148" s="9" t="s">
        <v>908</v>
      </c>
      <c r="AI148" s="9" t="n">
        <v>19450</v>
      </c>
      <c r="AJ148" s="10" t="n">
        <f aca="false">(AI148/Q148)*100</f>
        <v>8.77121777873983</v>
      </c>
      <c r="AK148" s="9" t="s">
        <v>60</v>
      </c>
      <c r="AL148" s="9" t="s">
        <v>61</v>
      </c>
      <c r="AM148" s="9" t="s">
        <v>909</v>
      </c>
      <c r="AN148" s="9" t="n">
        <v>10719</v>
      </c>
      <c r="AO148" s="10" t="n">
        <f aca="false">(AN148/Q148)*100</f>
        <v>4.83386546891066</v>
      </c>
      <c r="AP148" s="9" t="s">
        <v>197</v>
      </c>
      <c r="AQ148" s="9" t="s">
        <v>197</v>
      </c>
      <c r="AR148" s="9" t="s">
        <v>910</v>
      </c>
      <c r="AS148" s="9" t="n">
        <v>1259</v>
      </c>
      <c r="AT148" s="10" t="n">
        <f aca="false">(AS148/Q148)*100</f>
        <v>0.56776160326136</v>
      </c>
    </row>
    <row r="149" customFormat="false" ht="12.8" hidden="false" customHeight="true" outlineLevel="0" collapsed="false">
      <c r="A149" s="7" t="n">
        <v>2021</v>
      </c>
      <c r="B149" s="8" t="n">
        <v>139</v>
      </c>
      <c r="C149" s="9" t="s">
        <v>911</v>
      </c>
      <c r="D149" s="9" t="s">
        <v>902</v>
      </c>
      <c r="E149" s="9" t="s">
        <v>903</v>
      </c>
      <c r="F149" s="9" t="s">
        <v>904</v>
      </c>
      <c r="G149" s="9" t="s">
        <v>50</v>
      </c>
      <c r="H149" s="9" t="s">
        <v>51</v>
      </c>
      <c r="I149" s="9" t="s">
        <v>526</v>
      </c>
      <c r="J149" s="9" t="s">
        <v>51</v>
      </c>
      <c r="K149" s="9" t="s">
        <v>51</v>
      </c>
      <c r="L149" s="9" t="s">
        <v>68</v>
      </c>
      <c r="M149" s="9" t="s">
        <v>51</v>
      </c>
      <c r="N149" s="9" t="s">
        <v>68</v>
      </c>
      <c r="O149" s="9" t="s">
        <v>126</v>
      </c>
      <c r="P149" s="9" t="n">
        <v>311716</v>
      </c>
      <c r="Q149" s="9" t="n">
        <v>240240</v>
      </c>
      <c r="R149" s="10" t="n">
        <f aca="false">(Q149/P149)*100</f>
        <v>77.0701536013551</v>
      </c>
      <c r="S149" s="9" t="n">
        <f aca="false">Y149-AD149</f>
        <v>19915</v>
      </c>
      <c r="T149" s="10" t="n">
        <f aca="false">(S149/Q149)*100</f>
        <v>8.28962703962704</v>
      </c>
      <c r="U149" s="10" t="n">
        <f aca="false">Z149+AE149</f>
        <v>86.5355477855478</v>
      </c>
      <c r="V149" s="9" t="s">
        <v>52</v>
      </c>
      <c r="W149" s="9" t="s">
        <v>53</v>
      </c>
      <c r="X149" s="9" t="s">
        <v>912</v>
      </c>
      <c r="Y149" s="9" t="n">
        <v>113904</v>
      </c>
      <c r="Z149" s="10" t="n">
        <f aca="false">(Y149/Q149)*100</f>
        <v>47.4125874125874</v>
      </c>
      <c r="AA149" s="9" t="s">
        <v>55</v>
      </c>
      <c r="AB149" s="9" t="s">
        <v>68</v>
      </c>
      <c r="AC149" s="9" t="s">
        <v>913</v>
      </c>
      <c r="AD149" s="9" t="n">
        <v>93989</v>
      </c>
      <c r="AE149" s="10" t="n">
        <f aca="false">(AD149/Q149)*100</f>
        <v>39.1229603729604</v>
      </c>
      <c r="AF149" s="9" t="s">
        <v>58</v>
      </c>
      <c r="AG149" s="9" t="s">
        <v>58</v>
      </c>
      <c r="AH149" s="9" t="s">
        <v>914</v>
      </c>
      <c r="AI149" s="9" t="n">
        <v>17911</v>
      </c>
      <c r="AJ149" s="10" t="n">
        <f aca="false">(AI149/Q149)*100</f>
        <v>7.45546120546121</v>
      </c>
      <c r="AK149" s="9" t="s">
        <v>197</v>
      </c>
      <c r="AL149" s="9" t="s">
        <v>197</v>
      </c>
      <c r="AM149" s="9" t="s">
        <v>915</v>
      </c>
      <c r="AN149" s="9" t="n">
        <v>4082</v>
      </c>
      <c r="AO149" s="10" t="n">
        <f aca="false">(AN149/Q149)*100</f>
        <v>1.6991341991342</v>
      </c>
      <c r="AP149" s="9" t="s">
        <v>60</v>
      </c>
      <c r="AQ149" s="9" t="s">
        <v>74</v>
      </c>
      <c r="AR149" s="9" t="s">
        <v>916</v>
      </c>
      <c r="AS149" s="9" t="n">
        <v>3487</v>
      </c>
      <c r="AT149" s="10" t="n">
        <f aca="false">(AS149/Q149)*100</f>
        <v>1.4514652014652</v>
      </c>
    </row>
    <row r="150" customFormat="false" ht="12.8" hidden="false" customHeight="true" outlineLevel="0" collapsed="false">
      <c r="A150" s="7" t="n">
        <v>2021</v>
      </c>
      <c r="B150" s="8" t="n">
        <v>140</v>
      </c>
      <c r="C150" s="9" t="s">
        <v>917</v>
      </c>
      <c r="D150" s="9" t="s">
        <v>902</v>
      </c>
      <c r="E150" s="9" t="s">
        <v>903</v>
      </c>
      <c r="F150" s="9" t="s">
        <v>904</v>
      </c>
      <c r="G150" s="9" t="s">
        <v>88</v>
      </c>
      <c r="H150" s="9" t="s">
        <v>51</v>
      </c>
      <c r="I150" s="9" t="s">
        <v>51</v>
      </c>
      <c r="J150" s="9" t="s">
        <v>51</v>
      </c>
      <c r="K150" s="9" t="s">
        <v>51</v>
      </c>
      <c r="L150" s="9" t="s">
        <v>51</v>
      </c>
      <c r="M150" s="9" t="s">
        <v>51</v>
      </c>
      <c r="N150" s="9" t="s">
        <v>51</v>
      </c>
      <c r="O150" s="9" t="s">
        <v>51</v>
      </c>
      <c r="P150" s="9" t="n">
        <v>269194</v>
      </c>
      <c r="Q150" s="9" t="n">
        <v>183099</v>
      </c>
      <c r="R150" s="10" t="n">
        <f aca="false">(Q150/P150)*100</f>
        <v>68.0174892456741</v>
      </c>
      <c r="S150" s="9" t="n">
        <f aca="false">Y150-AD150</f>
        <v>85109</v>
      </c>
      <c r="T150" s="10" t="n">
        <f aca="false">(S150/Q150)*100</f>
        <v>46.482504000568</v>
      </c>
      <c r="U150" s="10" t="n">
        <f aca="false">Z150+AE150</f>
        <v>82.5547927623854</v>
      </c>
      <c r="V150" s="9" t="s">
        <v>52</v>
      </c>
      <c r="W150" s="9" t="s">
        <v>53</v>
      </c>
      <c r="X150" s="9" t="s">
        <v>918</v>
      </c>
      <c r="Y150" s="9" t="n">
        <v>118133</v>
      </c>
      <c r="Z150" s="10" t="n">
        <f aca="false">(Y150/Q150)*100</f>
        <v>64.5186483814767</v>
      </c>
      <c r="AA150" s="9" t="s">
        <v>55</v>
      </c>
      <c r="AB150" s="9" t="s">
        <v>68</v>
      </c>
      <c r="AC150" s="9" t="s">
        <v>919</v>
      </c>
      <c r="AD150" s="9" t="n">
        <v>33024</v>
      </c>
      <c r="AE150" s="10" t="n">
        <f aca="false">(AD150/Q150)*100</f>
        <v>18.0361443809087</v>
      </c>
      <c r="AF150" s="9" t="s">
        <v>58</v>
      </c>
      <c r="AG150" s="9" t="s">
        <v>58</v>
      </c>
      <c r="AH150" s="9" t="s">
        <v>920</v>
      </c>
      <c r="AI150" s="9" t="n">
        <v>15725</v>
      </c>
      <c r="AJ150" s="10" t="n">
        <f aca="false">(AI150/Q150)*100</f>
        <v>8.58825007236522</v>
      </c>
      <c r="AK150" s="9" t="s">
        <v>71</v>
      </c>
      <c r="AL150" s="9" t="s">
        <v>72</v>
      </c>
      <c r="AM150" s="9" t="s">
        <v>921</v>
      </c>
      <c r="AN150" s="9" t="n">
        <v>10546</v>
      </c>
      <c r="AO150" s="10" t="n">
        <f aca="false">(AN150/Q150)*100</f>
        <v>5.75972561291979</v>
      </c>
      <c r="AP150" s="9" t="s">
        <v>60</v>
      </c>
      <c r="AQ150" s="27" t="s">
        <v>352</v>
      </c>
      <c r="AR150" s="9" t="s">
        <v>922</v>
      </c>
      <c r="AS150" s="9" t="n">
        <v>2545</v>
      </c>
      <c r="AT150" s="10" t="n">
        <f aca="false">(AS150/Q150)*100</f>
        <v>1.38995843778502</v>
      </c>
    </row>
    <row r="151" customFormat="false" ht="12.8" hidden="false" customHeight="true" outlineLevel="0" collapsed="false">
      <c r="A151" s="7" t="n">
        <v>2021</v>
      </c>
      <c r="B151" s="8" t="n">
        <v>141</v>
      </c>
      <c r="C151" s="9" t="s">
        <v>923</v>
      </c>
      <c r="D151" s="9" t="s">
        <v>902</v>
      </c>
      <c r="E151" s="9" t="s">
        <v>903</v>
      </c>
      <c r="F151" s="9" t="s">
        <v>904</v>
      </c>
      <c r="G151" s="9" t="s">
        <v>88</v>
      </c>
      <c r="H151" s="9" t="s">
        <v>51</v>
      </c>
      <c r="I151" s="9" t="s">
        <v>526</v>
      </c>
      <c r="J151" s="9" t="s">
        <v>51</v>
      </c>
      <c r="K151" s="9" t="s">
        <v>51</v>
      </c>
      <c r="L151" s="9" t="s">
        <v>51</v>
      </c>
      <c r="M151" s="9" t="s">
        <v>51</v>
      </c>
      <c r="N151" s="9" t="s">
        <v>53</v>
      </c>
      <c r="O151" s="9" t="s">
        <v>51</v>
      </c>
      <c r="P151" s="9" t="n">
        <v>255051</v>
      </c>
      <c r="Q151" s="9" t="n">
        <v>172856</v>
      </c>
      <c r="R151" s="10" t="n">
        <f aca="false">(Q151/P151)*100</f>
        <v>67.7731120442578</v>
      </c>
      <c r="S151" s="9" t="n">
        <f aca="false">Y151-AD151</f>
        <v>53797</v>
      </c>
      <c r="T151" s="10" t="n">
        <f aca="false">(S151/Q151)*100</f>
        <v>31.1224371731383</v>
      </c>
      <c r="U151" s="10" t="n">
        <f aca="false">Z151+AE151</f>
        <v>77.9880362845374</v>
      </c>
      <c r="V151" s="9" t="s">
        <v>52</v>
      </c>
      <c r="W151" s="9" t="s">
        <v>53</v>
      </c>
      <c r="X151" s="9" t="s">
        <v>924</v>
      </c>
      <c r="Y151" s="9" t="n">
        <v>94302</v>
      </c>
      <c r="Z151" s="10" t="n">
        <f aca="false">(Y151/Q151)*100</f>
        <v>54.5552367288379</v>
      </c>
      <c r="AA151" s="9" t="s">
        <v>55</v>
      </c>
      <c r="AB151" s="9" t="s">
        <v>68</v>
      </c>
      <c r="AC151" s="9" t="s">
        <v>925</v>
      </c>
      <c r="AD151" s="9" t="n">
        <v>40505</v>
      </c>
      <c r="AE151" s="10" t="n">
        <f aca="false">(AD151/Q151)*100</f>
        <v>23.4327995556995</v>
      </c>
      <c r="AF151" s="9" t="s">
        <v>58</v>
      </c>
      <c r="AG151" s="9" t="s">
        <v>58</v>
      </c>
      <c r="AH151" s="9" t="s">
        <v>926</v>
      </c>
      <c r="AI151" s="9" t="n">
        <v>14312</v>
      </c>
      <c r="AJ151" s="10" t="n">
        <f aca="false">(AI151/Q151)*100</f>
        <v>8.27972416346554</v>
      </c>
      <c r="AK151" s="9" t="s">
        <v>71</v>
      </c>
      <c r="AL151" s="9" t="s">
        <v>72</v>
      </c>
      <c r="AM151" s="9" t="s">
        <v>927</v>
      </c>
      <c r="AN151" s="9" t="n">
        <v>11396</v>
      </c>
      <c r="AO151" s="10" t="n">
        <f aca="false">(AN151/Q151)*100</f>
        <v>6.59277086129495</v>
      </c>
      <c r="AP151" s="9" t="s">
        <v>60</v>
      </c>
      <c r="AQ151" s="9" t="s">
        <v>74</v>
      </c>
      <c r="AR151" s="9" t="s">
        <v>928</v>
      </c>
      <c r="AS151" s="9" t="n">
        <v>9089</v>
      </c>
      <c r="AT151" s="10" t="n">
        <f aca="false">(AS151/Q151)*100</f>
        <v>5.25813393807562</v>
      </c>
    </row>
    <row r="152" customFormat="false" ht="12.8" hidden="false" customHeight="true" outlineLevel="0" collapsed="false">
      <c r="A152" s="7" t="n">
        <v>2021</v>
      </c>
      <c r="B152" s="8" t="n">
        <v>142</v>
      </c>
      <c r="C152" s="9" t="s">
        <v>929</v>
      </c>
      <c r="D152" s="9" t="s">
        <v>902</v>
      </c>
      <c r="E152" s="9" t="s">
        <v>903</v>
      </c>
      <c r="F152" s="9" t="s">
        <v>904</v>
      </c>
      <c r="G152" s="9" t="s">
        <v>77</v>
      </c>
      <c r="H152" s="9" t="s">
        <v>51</v>
      </c>
      <c r="I152" s="9" t="s">
        <v>526</v>
      </c>
      <c r="J152" s="9" t="s">
        <v>51</v>
      </c>
      <c r="K152" s="9" t="s">
        <v>51</v>
      </c>
      <c r="L152" s="9" t="s">
        <v>51</v>
      </c>
      <c r="M152" s="9" t="s">
        <v>51</v>
      </c>
      <c r="N152" s="9" t="s">
        <v>51</v>
      </c>
      <c r="O152" s="9" t="s">
        <v>51</v>
      </c>
      <c r="P152" s="9" t="n">
        <v>293196</v>
      </c>
      <c r="Q152" s="9" t="n">
        <v>197013</v>
      </c>
      <c r="R152" s="10" t="n">
        <f aca="false">(Q152/P152)*100</f>
        <v>67.19498219621</v>
      </c>
      <c r="S152" s="9" t="n">
        <f aca="false">Y152-AD152</f>
        <v>49697</v>
      </c>
      <c r="T152" s="10" t="n">
        <f aca="false">(S152/Q152)*100</f>
        <v>25.225238943623</v>
      </c>
      <c r="U152" s="10" t="n">
        <f aca="false">Z152+AE152</f>
        <v>81.7971402902347</v>
      </c>
      <c r="V152" s="9" t="s">
        <v>52</v>
      </c>
      <c r="W152" s="9" t="s">
        <v>53</v>
      </c>
      <c r="X152" s="9" t="s">
        <v>930</v>
      </c>
      <c r="Y152" s="9" t="n">
        <v>105424</v>
      </c>
      <c r="Z152" s="10" t="n">
        <f aca="false">(Y152/Q152)*100</f>
        <v>53.5111896169288</v>
      </c>
      <c r="AA152" s="9" t="s">
        <v>55</v>
      </c>
      <c r="AB152" s="9" t="s">
        <v>68</v>
      </c>
      <c r="AC152" s="9" t="s">
        <v>931</v>
      </c>
      <c r="AD152" s="9" t="n">
        <v>55727</v>
      </c>
      <c r="AE152" s="10" t="n">
        <f aca="false">(AD152/Q152)*100</f>
        <v>28.2859506733058</v>
      </c>
      <c r="AF152" s="9" t="s">
        <v>58</v>
      </c>
      <c r="AG152" s="9" t="s">
        <v>58</v>
      </c>
      <c r="AH152" s="9" t="s">
        <v>932</v>
      </c>
      <c r="AI152" s="9" t="n">
        <v>15719</v>
      </c>
      <c r="AJ152" s="10" t="n">
        <f aca="false">(AI152/Q152)*100</f>
        <v>7.97866130661429</v>
      </c>
      <c r="AK152" s="9" t="s">
        <v>71</v>
      </c>
      <c r="AL152" s="9" t="s">
        <v>72</v>
      </c>
      <c r="AM152" s="9" t="s">
        <v>933</v>
      </c>
      <c r="AN152" s="9" t="n">
        <v>14678</v>
      </c>
      <c r="AO152" s="10" t="n">
        <f aca="false">(AN152/Q152)*100</f>
        <v>7.45026977915163</v>
      </c>
      <c r="AP152" s="9" t="s">
        <v>60</v>
      </c>
      <c r="AQ152" s="9" t="s">
        <v>61</v>
      </c>
      <c r="AR152" s="9" t="s">
        <v>934</v>
      </c>
      <c r="AS152" s="9" t="n">
        <v>2293</v>
      </c>
      <c r="AT152" s="10" t="n">
        <f aca="false">(AS152/Q152)*100</f>
        <v>1.16388258642831</v>
      </c>
    </row>
    <row r="153" customFormat="false" ht="12.8" hidden="false" customHeight="true" outlineLevel="0" collapsed="false">
      <c r="A153" s="7" t="n">
        <v>2021</v>
      </c>
      <c r="B153" s="8" t="n">
        <v>143</v>
      </c>
      <c r="C153" s="9" t="s">
        <v>935</v>
      </c>
      <c r="D153" s="9" t="s">
        <v>902</v>
      </c>
      <c r="E153" s="9" t="s">
        <v>903</v>
      </c>
      <c r="F153" s="9" t="s">
        <v>904</v>
      </c>
      <c r="G153" s="9" t="s">
        <v>50</v>
      </c>
      <c r="H153" s="9" t="s">
        <v>51</v>
      </c>
      <c r="I153" s="9" t="s">
        <v>51</v>
      </c>
      <c r="J153" s="9" t="s">
        <v>51</v>
      </c>
      <c r="K153" s="9" t="s">
        <v>53</v>
      </c>
      <c r="L153" s="9" t="s">
        <v>51</v>
      </c>
      <c r="M153" s="9" t="s">
        <v>53</v>
      </c>
      <c r="N153" s="9" t="s">
        <v>51</v>
      </c>
      <c r="O153" s="9" t="s">
        <v>51</v>
      </c>
      <c r="P153" s="9" t="n">
        <v>218131</v>
      </c>
      <c r="Q153" s="9" t="n">
        <v>174574</v>
      </c>
      <c r="R153" s="10" t="n">
        <f aca="false">(Q153/P153)*100</f>
        <v>80.031724055728</v>
      </c>
      <c r="S153" s="9" t="n">
        <f aca="false">Y153-AD153</f>
        <v>16949</v>
      </c>
      <c r="T153" s="10" t="n">
        <f aca="false">(S153/Q153)*100</f>
        <v>9.70877679379518</v>
      </c>
      <c r="U153" s="10" t="n">
        <f aca="false">Z153+AE153</f>
        <v>87.572605313506</v>
      </c>
      <c r="V153" s="9" t="s">
        <v>52</v>
      </c>
      <c r="W153" s="9" t="s">
        <v>53</v>
      </c>
      <c r="X153" s="9" t="s">
        <v>936</v>
      </c>
      <c r="Y153" s="9" t="n">
        <v>84914</v>
      </c>
      <c r="Z153" s="10" t="n">
        <f aca="false">(Y153/Q153)*100</f>
        <v>48.6406910536506</v>
      </c>
      <c r="AA153" s="9" t="s">
        <v>55</v>
      </c>
      <c r="AB153" s="9" t="s">
        <v>68</v>
      </c>
      <c r="AC153" s="9" t="s">
        <v>937</v>
      </c>
      <c r="AD153" s="9" t="n">
        <v>67965</v>
      </c>
      <c r="AE153" s="10" t="n">
        <f aca="false">(AD153/Q153)*100</f>
        <v>38.9319142598554</v>
      </c>
      <c r="AF153" s="9" t="s">
        <v>58</v>
      </c>
      <c r="AG153" s="9" t="s">
        <v>58</v>
      </c>
      <c r="AH153" s="9" t="s">
        <v>938</v>
      </c>
      <c r="AI153" s="9" t="n">
        <v>16248</v>
      </c>
      <c r="AJ153" s="10" t="n">
        <f aca="false">(AI153/Q153)*100</f>
        <v>9.30722788044039</v>
      </c>
      <c r="AK153" s="9" t="s">
        <v>60</v>
      </c>
      <c r="AL153" s="9" t="s">
        <v>74</v>
      </c>
      <c r="AM153" s="9" t="s">
        <v>939</v>
      </c>
      <c r="AN153" s="9" t="n">
        <v>2941</v>
      </c>
      <c r="AO153" s="10" t="n">
        <f aca="false">(AN153/Q153)*100</f>
        <v>1.68467240253417</v>
      </c>
      <c r="AP153" s="9" t="s">
        <v>63</v>
      </c>
      <c r="AQ153" s="9" t="s">
        <v>63</v>
      </c>
      <c r="AR153" s="9" t="s">
        <v>63</v>
      </c>
      <c r="AS153" s="9" t="n">
        <v>1200</v>
      </c>
      <c r="AT153" s="10" t="n">
        <f aca="false">(AS153/Q153)*100</f>
        <v>0.68738758348895</v>
      </c>
    </row>
    <row r="154" customFormat="false" ht="12.8" hidden="false" customHeight="true" outlineLevel="0" collapsed="false">
      <c r="A154" s="7" t="n">
        <v>2021</v>
      </c>
      <c r="B154" s="8" t="n">
        <v>144</v>
      </c>
      <c r="C154" s="9" t="s">
        <v>940</v>
      </c>
      <c r="D154" s="9" t="s">
        <v>902</v>
      </c>
      <c r="E154" s="9" t="s">
        <v>903</v>
      </c>
      <c r="F154" s="9" t="s">
        <v>904</v>
      </c>
      <c r="G154" s="9" t="s">
        <v>50</v>
      </c>
      <c r="H154" s="9" t="s">
        <v>51</v>
      </c>
      <c r="I154" s="9" t="s">
        <v>51</v>
      </c>
      <c r="J154" s="9" t="s">
        <v>51</v>
      </c>
      <c r="K154" s="9" t="s">
        <v>51</v>
      </c>
      <c r="L154" s="9" t="s">
        <v>51</v>
      </c>
      <c r="M154" s="9" t="s">
        <v>51</v>
      </c>
      <c r="N154" s="9" t="s">
        <v>51</v>
      </c>
      <c r="O154" s="9" t="s">
        <v>51</v>
      </c>
      <c r="P154" s="9" t="n">
        <v>244202</v>
      </c>
      <c r="Q154" s="9" t="n">
        <v>176719</v>
      </c>
      <c r="R154" s="10" t="n">
        <f aca="false">(Q154/P154)*100</f>
        <v>72.3659101891058</v>
      </c>
      <c r="S154" s="9" t="n">
        <f aca="false">Y154-AD154</f>
        <v>59618</v>
      </c>
      <c r="T154" s="10" t="n">
        <f aca="false">(S154/Q154)*100</f>
        <v>33.7360442284078</v>
      </c>
      <c r="U154" s="10" t="n">
        <f aca="false">Z154+AE154</f>
        <v>97.9238225657683</v>
      </c>
      <c r="V154" s="9" t="s">
        <v>52</v>
      </c>
      <c r="W154" s="9" t="s">
        <v>53</v>
      </c>
      <c r="X154" s="9" t="s">
        <v>941</v>
      </c>
      <c r="Y154" s="9" t="n">
        <v>116334</v>
      </c>
      <c r="Z154" s="10" t="n">
        <f aca="false">(Y154/Q154)*100</f>
        <v>65.829933397088</v>
      </c>
      <c r="AA154" s="9" t="s">
        <v>55</v>
      </c>
      <c r="AB154" s="9" t="s">
        <v>68</v>
      </c>
      <c r="AC154" s="9" t="s">
        <v>942</v>
      </c>
      <c r="AD154" s="9" t="n">
        <v>56716</v>
      </c>
      <c r="AE154" s="10" t="n">
        <f aca="false">(AD154/Q154)*100</f>
        <v>32.0938891686802</v>
      </c>
      <c r="AF154" s="9" t="s">
        <v>58</v>
      </c>
      <c r="AG154" s="9" t="s">
        <v>58</v>
      </c>
      <c r="AH154" s="9" t="s">
        <v>943</v>
      </c>
      <c r="AI154" s="9" t="n">
        <v>14443</v>
      </c>
      <c r="AJ154" s="10" t="n">
        <f aca="false">(AI154/Q154)*100</f>
        <v>8.17286200125623</v>
      </c>
      <c r="AK154" s="9" t="s">
        <v>71</v>
      </c>
      <c r="AL154" s="9" t="s">
        <v>72</v>
      </c>
      <c r="AM154" s="9" t="s">
        <v>944</v>
      </c>
      <c r="AN154" s="9" t="n">
        <v>1996</v>
      </c>
      <c r="AO154" s="10" t="n">
        <f aca="false">(AN154/Q154)*100</f>
        <v>1.12947673990912</v>
      </c>
      <c r="AP154" s="9" t="s">
        <v>60</v>
      </c>
      <c r="AQ154" s="9" t="s">
        <v>74</v>
      </c>
      <c r="AR154" s="9" t="s">
        <v>945</v>
      </c>
      <c r="AS154" s="9" t="n">
        <v>1631</v>
      </c>
      <c r="AT154" s="10" t="n">
        <f aca="false">(AS154/Q154)*100</f>
        <v>0.922934149695279</v>
      </c>
    </row>
    <row r="155" customFormat="false" ht="12.8" hidden="false" customHeight="true" outlineLevel="0" collapsed="false">
      <c r="A155" s="7" t="n">
        <v>2021</v>
      </c>
      <c r="B155" s="8" t="n">
        <v>145</v>
      </c>
      <c r="C155" s="9" t="s">
        <v>946</v>
      </c>
      <c r="D155" s="9" t="s">
        <v>902</v>
      </c>
      <c r="E155" s="9" t="s">
        <v>903</v>
      </c>
      <c r="F155" s="9" t="s">
        <v>904</v>
      </c>
      <c r="G155" s="9" t="s">
        <v>50</v>
      </c>
      <c r="H155" s="9" t="s">
        <v>51</v>
      </c>
      <c r="I155" s="9" t="s">
        <v>51</v>
      </c>
      <c r="J155" s="9" t="s">
        <v>51</v>
      </c>
      <c r="K155" s="9" t="s">
        <v>51</v>
      </c>
      <c r="L155" s="9" t="s">
        <v>51</v>
      </c>
      <c r="M155" s="9" t="s">
        <v>51</v>
      </c>
      <c r="N155" s="9" t="s">
        <v>68</v>
      </c>
      <c r="O155" s="9" t="s">
        <v>51</v>
      </c>
      <c r="P155" s="9" t="n">
        <v>232654</v>
      </c>
      <c r="Q155" s="9" t="n">
        <v>179706</v>
      </c>
      <c r="R155" s="10" t="n">
        <f aca="false">(Q155/P155)*100</f>
        <v>77.2417409543786</v>
      </c>
      <c r="S155" s="9" t="n">
        <f aca="false">Y155-AD155</f>
        <v>26836</v>
      </c>
      <c r="T155" s="10" t="n">
        <f aca="false">(S155/Q155)*100</f>
        <v>14.9332799127464</v>
      </c>
      <c r="U155" s="10" t="n">
        <f aca="false">Z155+AE155</f>
        <v>85.9247882652777</v>
      </c>
      <c r="V155" s="9" t="s">
        <v>52</v>
      </c>
      <c r="W155" s="9" t="s">
        <v>53</v>
      </c>
      <c r="X155" s="9" t="s">
        <v>947</v>
      </c>
      <c r="Y155" s="9" t="n">
        <v>90624</v>
      </c>
      <c r="Z155" s="10" t="n">
        <f aca="false">(Y155/Q155)*100</f>
        <v>50.4290340890121</v>
      </c>
      <c r="AA155" s="9" t="s">
        <v>55</v>
      </c>
      <c r="AB155" s="9" t="s">
        <v>68</v>
      </c>
      <c r="AC155" s="9" t="s">
        <v>948</v>
      </c>
      <c r="AD155" s="9" t="n">
        <v>63788</v>
      </c>
      <c r="AE155" s="10" t="n">
        <f aca="false">(AD155/Q155)*100</f>
        <v>35.4957541762657</v>
      </c>
      <c r="AF155" s="9" t="s">
        <v>58</v>
      </c>
      <c r="AG155" s="9" t="s">
        <v>58</v>
      </c>
      <c r="AH155" s="9" t="s">
        <v>949</v>
      </c>
      <c r="AI155" s="9" t="n">
        <v>14311</v>
      </c>
      <c r="AJ155" s="10" t="n">
        <f aca="false">(AI155/Q155)*100</f>
        <v>7.96356270797859</v>
      </c>
      <c r="AK155" s="9" t="s">
        <v>60</v>
      </c>
      <c r="AL155" s="9" t="s">
        <v>61</v>
      </c>
      <c r="AM155" s="9" t="s">
        <v>950</v>
      </c>
      <c r="AN155" s="9" t="n">
        <v>3182</v>
      </c>
      <c r="AO155" s="10" t="n">
        <f aca="false">(AN155/Q155)*100</f>
        <v>1.77066987190188</v>
      </c>
      <c r="AP155" s="9" t="s">
        <v>71</v>
      </c>
      <c r="AQ155" s="9" t="s">
        <v>72</v>
      </c>
      <c r="AR155" s="9" t="s">
        <v>951</v>
      </c>
      <c r="AS155" s="9" t="n">
        <v>2499</v>
      </c>
      <c r="AT155" s="10" t="n">
        <f aca="false">(AS155/Q155)*100</f>
        <v>1.39060465426864</v>
      </c>
    </row>
    <row r="156" customFormat="false" ht="12.8" hidden="false" customHeight="true" outlineLevel="0" collapsed="false">
      <c r="A156" s="7" t="n">
        <v>2021</v>
      </c>
      <c r="B156" s="8" t="n">
        <v>146</v>
      </c>
      <c r="C156" s="9" t="s">
        <v>952</v>
      </c>
      <c r="D156" s="9" t="s">
        <v>902</v>
      </c>
      <c r="E156" s="9" t="s">
        <v>903</v>
      </c>
      <c r="F156" s="9" t="s">
        <v>904</v>
      </c>
      <c r="G156" s="9" t="s">
        <v>77</v>
      </c>
      <c r="H156" s="9" t="s">
        <v>65</v>
      </c>
      <c r="I156" s="9" t="s">
        <v>526</v>
      </c>
      <c r="J156" s="9" t="s">
        <v>51</v>
      </c>
      <c r="K156" s="9" t="s">
        <v>51</v>
      </c>
      <c r="L156" s="9" t="s">
        <v>51</v>
      </c>
      <c r="M156" s="9" t="s">
        <v>51</v>
      </c>
      <c r="N156" s="9" t="s">
        <v>51</v>
      </c>
      <c r="O156" s="9" t="s">
        <v>51</v>
      </c>
      <c r="P156" s="9" t="n">
        <v>226152</v>
      </c>
      <c r="Q156" s="9" t="n">
        <v>175876</v>
      </c>
      <c r="R156" s="10" t="n">
        <f aca="false">(Q156/P156)*100</f>
        <v>77.7689341681701</v>
      </c>
      <c r="S156" s="9" t="n">
        <f aca="false">Y156-AD156</f>
        <v>22071</v>
      </c>
      <c r="T156" s="10" t="n">
        <f aca="false">(S156/Q156)*100</f>
        <v>12.5491823784939</v>
      </c>
      <c r="U156" s="10" t="n">
        <f aca="false">Z156+AE156</f>
        <v>87.2779685687644</v>
      </c>
      <c r="V156" s="9" t="s">
        <v>52</v>
      </c>
      <c r="W156" s="9" t="s">
        <v>53</v>
      </c>
      <c r="X156" s="9" t="s">
        <v>953</v>
      </c>
      <c r="Y156" s="9" t="n">
        <v>87786</v>
      </c>
      <c r="Z156" s="10" t="n">
        <f aca="false">(Y156/Q156)*100</f>
        <v>49.9135754736291</v>
      </c>
      <c r="AA156" s="9" t="s">
        <v>55</v>
      </c>
      <c r="AB156" s="9" t="s">
        <v>68</v>
      </c>
      <c r="AC156" s="9" t="s">
        <v>954</v>
      </c>
      <c r="AD156" s="9" t="n">
        <v>65715</v>
      </c>
      <c r="AE156" s="10" t="n">
        <f aca="false">(AD156/Q156)*100</f>
        <v>37.3643930951352</v>
      </c>
      <c r="AF156" s="9" t="s">
        <v>58</v>
      </c>
      <c r="AG156" s="9" t="s">
        <v>58</v>
      </c>
      <c r="AH156" s="9" t="s">
        <v>955</v>
      </c>
      <c r="AI156" s="9" t="n">
        <v>13158</v>
      </c>
      <c r="AJ156" s="10" t="n">
        <f aca="false">(AI156/Q156)*100</f>
        <v>7.48140735518206</v>
      </c>
      <c r="AK156" s="9" t="s">
        <v>71</v>
      </c>
      <c r="AL156" s="9" t="s">
        <v>72</v>
      </c>
      <c r="AM156" s="9" t="s">
        <v>956</v>
      </c>
      <c r="AN156" s="9" t="n">
        <v>2528</v>
      </c>
      <c r="AO156" s="10" t="n">
        <f aca="false">(AN156/Q156)*100</f>
        <v>1.43737633332575</v>
      </c>
      <c r="AP156" s="9" t="s">
        <v>60</v>
      </c>
      <c r="AQ156" s="9" t="s">
        <v>74</v>
      </c>
      <c r="AR156" s="9" t="s">
        <v>957</v>
      </c>
      <c r="AS156" s="9" t="n">
        <v>2435</v>
      </c>
      <c r="AT156" s="10" t="n">
        <f aca="false">(AS156/Q156)*100</f>
        <v>1.38449816916464</v>
      </c>
    </row>
    <row r="157" customFormat="false" ht="12.8" hidden="false" customHeight="true" outlineLevel="0" collapsed="false">
      <c r="A157" s="7" t="n">
        <v>2021</v>
      </c>
      <c r="B157" s="8" t="n">
        <v>147</v>
      </c>
      <c r="C157" s="9" t="s">
        <v>958</v>
      </c>
      <c r="D157" s="9" t="s">
        <v>958</v>
      </c>
      <c r="E157" s="9" t="s">
        <v>903</v>
      </c>
      <c r="F157" s="9" t="s">
        <v>904</v>
      </c>
      <c r="G157" s="9" t="s">
        <v>77</v>
      </c>
      <c r="H157" s="9" t="s">
        <v>65</v>
      </c>
      <c r="I157" s="9" t="s">
        <v>51</v>
      </c>
      <c r="J157" s="9" t="s">
        <v>51</v>
      </c>
      <c r="K157" s="9" t="s">
        <v>51</v>
      </c>
      <c r="L157" s="9" t="s">
        <v>51</v>
      </c>
      <c r="M157" s="9" t="s">
        <v>51</v>
      </c>
      <c r="N157" s="9" t="s">
        <v>51</v>
      </c>
      <c r="O157" s="9" t="s">
        <v>51</v>
      </c>
      <c r="P157" s="9" t="n">
        <v>302758</v>
      </c>
      <c r="Q157" s="9" t="n">
        <v>240026</v>
      </c>
      <c r="R157" s="10" t="n">
        <f aca="false">(Q157/P157)*100</f>
        <v>79.2798208470131</v>
      </c>
      <c r="S157" s="9" t="n">
        <f aca="false">Y157-AD157</f>
        <v>31034</v>
      </c>
      <c r="T157" s="10" t="n">
        <f aca="false">(S157/Q157)*100</f>
        <v>12.9294326447968</v>
      </c>
      <c r="U157" s="10" t="n">
        <f aca="false">Z157+AE157</f>
        <v>88.8012132019031</v>
      </c>
      <c r="V157" s="9" t="s">
        <v>52</v>
      </c>
      <c r="W157" s="9" t="s">
        <v>53</v>
      </c>
      <c r="X157" s="9" t="s">
        <v>959</v>
      </c>
      <c r="Y157" s="9" t="n">
        <v>122090</v>
      </c>
      <c r="Z157" s="10" t="n">
        <f aca="false">(Y157/Q157)*100</f>
        <v>50.86532292335</v>
      </c>
      <c r="AA157" s="9" t="s">
        <v>55</v>
      </c>
      <c r="AB157" s="9" t="s">
        <v>68</v>
      </c>
      <c r="AC157" s="9" t="s">
        <v>960</v>
      </c>
      <c r="AD157" s="9" t="n">
        <v>91056</v>
      </c>
      <c r="AE157" s="10" t="n">
        <f aca="false">(AD157/Q157)*100</f>
        <v>37.9358902785532</v>
      </c>
      <c r="AF157" s="9" t="s">
        <v>58</v>
      </c>
      <c r="AG157" s="9" t="s">
        <v>58</v>
      </c>
      <c r="AH157" s="9" t="s">
        <v>961</v>
      </c>
      <c r="AI157" s="9" t="n">
        <v>18673</v>
      </c>
      <c r="AJ157" s="10" t="n">
        <f aca="false">(AI157/Q157)*100</f>
        <v>7.77957387949639</v>
      </c>
      <c r="AK157" s="9" t="s">
        <v>60</v>
      </c>
      <c r="AL157" s="9" t="s">
        <v>61</v>
      </c>
      <c r="AM157" s="9" t="s">
        <v>962</v>
      </c>
      <c r="AN157" s="9" t="n">
        <v>2932</v>
      </c>
      <c r="AO157" s="10" t="n">
        <f aca="false">(AN157/Q157)*100</f>
        <v>1.22153433378051</v>
      </c>
      <c r="AP157" s="9" t="s">
        <v>63</v>
      </c>
      <c r="AQ157" s="9" t="s">
        <v>63</v>
      </c>
      <c r="AR157" s="9" t="s">
        <v>63</v>
      </c>
      <c r="AS157" s="9" t="n">
        <v>1884</v>
      </c>
      <c r="AT157" s="10" t="n">
        <f aca="false">(AS157/Q157)*100</f>
        <v>0.784914967545183</v>
      </c>
    </row>
    <row r="158" customFormat="false" ht="12.8" hidden="false" customHeight="true" outlineLevel="0" collapsed="false">
      <c r="A158" s="7" t="n">
        <v>2021</v>
      </c>
      <c r="B158" s="8" t="n">
        <v>148</v>
      </c>
      <c r="C158" s="9" t="s">
        <v>963</v>
      </c>
      <c r="D158" s="9" t="s">
        <v>958</v>
      </c>
      <c r="E158" s="9" t="s">
        <v>903</v>
      </c>
      <c r="F158" s="9" t="s">
        <v>904</v>
      </c>
      <c r="G158" s="9" t="s">
        <v>50</v>
      </c>
      <c r="H158" s="9" t="s">
        <v>51</v>
      </c>
      <c r="I158" s="9" t="s">
        <v>51</v>
      </c>
      <c r="J158" s="9" t="s">
        <v>51</v>
      </c>
      <c r="K158" s="9" t="s">
        <v>51</v>
      </c>
      <c r="L158" s="9" t="s">
        <v>51</v>
      </c>
      <c r="M158" s="9" t="s">
        <v>51</v>
      </c>
      <c r="N158" s="9" t="s">
        <v>51</v>
      </c>
      <c r="O158" s="9" t="s">
        <v>51</v>
      </c>
      <c r="P158" s="9" t="n">
        <v>273526</v>
      </c>
      <c r="Q158" s="9" t="n">
        <v>219879</v>
      </c>
      <c r="R158" s="10" t="n">
        <f aca="false">(Q158/P158)*100</f>
        <v>80.386873642725</v>
      </c>
      <c r="S158" s="9" t="n">
        <f aca="false">Y158-AD158</f>
        <v>6329</v>
      </c>
      <c r="T158" s="10" t="n">
        <f aca="false">(S158/Q158)*100</f>
        <v>2.87840130253458</v>
      </c>
      <c r="U158" s="10" t="n">
        <f aca="false">Z158+AE158</f>
        <v>91.6481337462877</v>
      </c>
      <c r="V158" s="9" t="s">
        <v>52</v>
      </c>
      <c r="W158" s="9" t="s">
        <v>53</v>
      </c>
      <c r="X158" s="9" t="s">
        <v>964</v>
      </c>
      <c r="Y158" s="9" t="n">
        <v>103922</v>
      </c>
      <c r="Z158" s="10" t="n">
        <f aca="false">(Y158/Q158)*100</f>
        <v>47.2632675244112</v>
      </c>
      <c r="AA158" s="9" t="s">
        <v>55</v>
      </c>
      <c r="AB158" s="9" t="s">
        <v>68</v>
      </c>
      <c r="AC158" s="9" t="s">
        <v>965</v>
      </c>
      <c r="AD158" s="9" t="n">
        <v>97593</v>
      </c>
      <c r="AE158" s="10" t="n">
        <f aca="false">(AD158/Q158)*100</f>
        <v>44.3848662218766</v>
      </c>
      <c r="AF158" s="9" t="s">
        <v>58</v>
      </c>
      <c r="AG158" s="9" t="s">
        <v>58</v>
      </c>
      <c r="AH158" s="9" t="s">
        <v>524</v>
      </c>
      <c r="AI158" s="9" t="n">
        <v>9354</v>
      </c>
      <c r="AJ158" s="10" t="n">
        <f aca="false">(AI158/Q158)*100</f>
        <v>4.25415796870097</v>
      </c>
      <c r="AK158" s="9" t="s">
        <v>60</v>
      </c>
      <c r="AL158" s="9" t="s">
        <v>74</v>
      </c>
      <c r="AM158" s="9" t="s">
        <v>966</v>
      </c>
      <c r="AN158" s="9" t="n">
        <v>2118</v>
      </c>
      <c r="AO158" s="10" t="n">
        <f aca="false">(AN158/Q158)*100</f>
        <v>0.963257064112535</v>
      </c>
      <c r="AP158" s="9" t="s">
        <v>197</v>
      </c>
      <c r="AQ158" s="9" t="s">
        <v>197</v>
      </c>
      <c r="AR158" s="9" t="s">
        <v>967</v>
      </c>
      <c r="AS158" s="9" t="n">
        <v>977</v>
      </c>
      <c r="AT158" s="10" t="n">
        <f aca="false">(AS158/Q158)*100</f>
        <v>0.444335293502335</v>
      </c>
    </row>
    <row r="159" customFormat="false" ht="12.8" hidden="false" customHeight="true" outlineLevel="0" collapsed="false">
      <c r="A159" s="7" t="n">
        <v>2021</v>
      </c>
      <c r="B159" s="8" t="n">
        <v>149</v>
      </c>
      <c r="C159" s="9" t="s">
        <v>968</v>
      </c>
      <c r="D159" s="9" t="s">
        <v>968</v>
      </c>
      <c r="E159" s="9" t="s">
        <v>903</v>
      </c>
      <c r="F159" s="9" t="s">
        <v>904</v>
      </c>
      <c r="G159" s="9" t="s">
        <v>77</v>
      </c>
      <c r="H159" s="9" t="s">
        <v>51</v>
      </c>
      <c r="I159" s="9" t="s">
        <v>51</v>
      </c>
      <c r="J159" s="9" t="s">
        <v>51</v>
      </c>
      <c r="K159" s="9" t="s">
        <v>51</v>
      </c>
      <c r="L159" s="9" t="s">
        <v>51</v>
      </c>
      <c r="M159" s="9" t="s">
        <v>51</v>
      </c>
      <c r="N159" s="9" t="s">
        <v>51</v>
      </c>
      <c r="O159" s="9" t="s">
        <v>51</v>
      </c>
      <c r="P159" s="9" t="n">
        <v>264971</v>
      </c>
      <c r="Q159" s="9" t="n">
        <v>225225</v>
      </c>
      <c r="R159" s="10" t="n">
        <f aca="false">(Q159/P159)*100</f>
        <v>84.9998679100732</v>
      </c>
      <c r="S159" s="9" t="n">
        <f aca="false">Y159-AD159</f>
        <v>3234</v>
      </c>
      <c r="T159" s="10" t="n">
        <f aca="false">(S159/Q159)*100</f>
        <v>1.43589743589744</v>
      </c>
      <c r="U159" s="10" t="n">
        <f aca="false">Z159+AE159</f>
        <v>90.8939948939949</v>
      </c>
      <c r="V159" s="9" t="s">
        <v>52</v>
      </c>
      <c r="W159" s="9" t="s">
        <v>271</v>
      </c>
      <c r="X159" s="9" t="s">
        <v>969</v>
      </c>
      <c r="Y159" s="9" t="n">
        <v>103975</v>
      </c>
      <c r="Z159" s="10" t="n">
        <f aca="false">(Y159/Q159)*100</f>
        <v>46.1649461649462</v>
      </c>
      <c r="AA159" s="9" t="s">
        <v>55</v>
      </c>
      <c r="AB159" s="9" t="s">
        <v>68</v>
      </c>
      <c r="AC159" s="9" t="s">
        <v>970</v>
      </c>
      <c r="AD159" s="9" t="n">
        <v>100741</v>
      </c>
      <c r="AE159" s="10" t="n">
        <f aca="false">(AD159/Q159)*100</f>
        <v>44.7290487290487</v>
      </c>
      <c r="AF159" s="9" t="s">
        <v>58</v>
      </c>
      <c r="AG159" s="9" t="s">
        <v>58</v>
      </c>
      <c r="AH159" s="9" t="s">
        <v>971</v>
      </c>
      <c r="AI159" s="9" t="n">
        <v>12346</v>
      </c>
      <c r="AJ159" s="10" t="n">
        <f aca="false">(AI159/Q159)*100</f>
        <v>5.48162948162948</v>
      </c>
      <c r="AK159" s="9" t="s">
        <v>60</v>
      </c>
      <c r="AL159" s="9" t="s">
        <v>74</v>
      </c>
      <c r="AM159" s="9" t="s">
        <v>972</v>
      </c>
      <c r="AN159" s="9" t="n">
        <v>2044</v>
      </c>
      <c r="AO159" s="10" t="n">
        <f aca="false">(AN159/Q159)*100</f>
        <v>0.907536907536908</v>
      </c>
      <c r="AP159" s="9" t="s">
        <v>63</v>
      </c>
      <c r="AQ159" s="9" t="s">
        <v>63</v>
      </c>
      <c r="AR159" s="9" t="s">
        <v>63</v>
      </c>
      <c r="AS159" s="9" t="n">
        <v>1389</v>
      </c>
      <c r="AT159" s="10" t="n">
        <f aca="false">(AS159/Q159)*100</f>
        <v>0.616716616716617</v>
      </c>
    </row>
    <row r="160" customFormat="false" ht="12.8" hidden="false" customHeight="true" outlineLevel="0" collapsed="false">
      <c r="A160" s="7" t="n">
        <v>2021</v>
      </c>
      <c r="B160" s="8" t="n">
        <v>150</v>
      </c>
      <c r="C160" s="9" t="s">
        <v>973</v>
      </c>
      <c r="D160" s="9" t="s">
        <v>968</v>
      </c>
      <c r="E160" s="9" t="s">
        <v>903</v>
      </c>
      <c r="F160" s="9" t="s">
        <v>904</v>
      </c>
      <c r="G160" s="9" t="s">
        <v>77</v>
      </c>
      <c r="H160" s="9" t="s">
        <v>51</v>
      </c>
      <c r="I160" s="9" t="s">
        <v>51</v>
      </c>
      <c r="J160" s="9" t="s">
        <v>51</v>
      </c>
      <c r="K160" s="9" t="s">
        <v>51</v>
      </c>
      <c r="L160" s="9" t="s">
        <v>51</v>
      </c>
      <c r="M160" s="9" t="s">
        <v>51</v>
      </c>
      <c r="N160" s="9" t="s">
        <v>51</v>
      </c>
      <c r="O160" s="9" t="s">
        <v>51</v>
      </c>
      <c r="P160" s="9" t="n">
        <v>266741</v>
      </c>
      <c r="Q160" s="9" t="n">
        <v>216368</v>
      </c>
      <c r="R160" s="10" t="n">
        <f aca="false">(Q160/P160)*100</f>
        <v>81.1153890852925</v>
      </c>
      <c r="S160" s="9" t="n">
        <f aca="false">Y160-AD160</f>
        <v>5452</v>
      </c>
      <c r="T160" s="10" t="n">
        <f aca="false">(S160/Q160)*100</f>
        <v>2.51978111365821</v>
      </c>
      <c r="U160" s="10" t="n">
        <f aca="false">Z160+AE160</f>
        <v>89.4799600680322</v>
      </c>
      <c r="V160" s="9" t="s">
        <v>52</v>
      </c>
      <c r="W160" s="9" t="s">
        <v>53</v>
      </c>
      <c r="X160" s="9" t="s">
        <v>974</v>
      </c>
      <c r="Y160" s="9" t="n">
        <v>99529</v>
      </c>
      <c r="Z160" s="10" t="n">
        <f aca="false">(Y160/Q160)*100</f>
        <v>45.9998705908452</v>
      </c>
      <c r="AA160" s="9" t="s">
        <v>55</v>
      </c>
      <c r="AB160" s="9" t="s">
        <v>56</v>
      </c>
      <c r="AC160" s="9" t="s">
        <v>975</v>
      </c>
      <c r="AD160" s="9" t="n">
        <v>94077</v>
      </c>
      <c r="AE160" s="10" t="n">
        <f aca="false">(AD160/Q160)*100</f>
        <v>43.480089477187</v>
      </c>
      <c r="AF160" s="9" t="s">
        <v>58</v>
      </c>
      <c r="AG160" s="9" t="s">
        <v>58</v>
      </c>
      <c r="AH160" s="9" t="s">
        <v>976</v>
      </c>
      <c r="AI160" s="9" t="n">
        <v>9956</v>
      </c>
      <c r="AJ160" s="10" t="n">
        <f aca="false">(AI160/Q160)*100</f>
        <v>4.60141980329809</v>
      </c>
      <c r="AK160" s="9" t="s">
        <v>71</v>
      </c>
      <c r="AL160" s="15" t="s">
        <v>179</v>
      </c>
      <c r="AM160" s="9" t="s">
        <v>977</v>
      </c>
      <c r="AN160" s="9" t="n">
        <v>4700</v>
      </c>
      <c r="AO160" s="10" t="n">
        <f aca="false">(AN160/Q160)*100</f>
        <v>2.17222509798122</v>
      </c>
      <c r="AP160" s="9" t="s">
        <v>63</v>
      </c>
      <c r="AQ160" s="9" t="s">
        <v>63</v>
      </c>
      <c r="AR160" s="9" t="s">
        <v>63</v>
      </c>
      <c r="AS160" s="9" t="n">
        <v>1864</v>
      </c>
      <c r="AT160" s="10" t="n">
        <f aca="false">(AS160/Q160)*100</f>
        <v>0.861495230348295</v>
      </c>
    </row>
    <row r="161" customFormat="false" ht="12.8" hidden="false" customHeight="true" outlineLevel="0" collapsed="false">
      <c r="A161" s="7" t="n">
        <v>2021</v>
      </c>
      <c r="B161" s="8" t="n">
        <v>160</v>
      </c>
      <c r="C161" s="9" t="s">
        <v>978</v>
      </c>
      <c r="D161" s="9" t="s">
        <v>979</v>
      </c>
      <c r="E161" s="9" t="s">
        <v>903</v>
      </c>
      <c r="F161" s="9" t="s">
        <v>980</v>
      </c>
      <c r="G161" s="9" t="s">
        <v>77</v>
      </c>
      <c r="H161" s="9" t="s">
        <v>65</v>
      </c>
      <c r="I161" s="9" t="s">
        <v>526</v>
      </c>
      <c r="J161" s="9" t="s">
        <v>51</v>
      </c>
      <c r="K161" s="9" t="s">
        <v>51</v>
      </c>
      <c r="L161" s="9" t="s">
        <v>51</v>
      </c>
      <c r="M161" s="9" t="s">
        <v>51</v>
      </c>
      <c r="N161" s="9" t="s">
        <v>51</v>
      </c>
      <c r="O161" s="9" t="s">
        <v>51</v>
      </c>
      <c r="P161" s="9" t="n">
        <v>252621</v>
      </c>
      <c r="Q161" s="9" t="n">
        <v>191325</v>
      </c>
      <c r="R161" s="10" t="n">
        <f aca="false">(Q161/P161)*100</f>
        <v>75.7359839443277</v>
      </c>
      <c r="S161" s="9" t="n">
        <f aca="false">Y161-AD161</f>
        <v>12148</v>
      </c>
      <c r="T161" s="10" t="n">
        <f aca="false">(S161/Q161)*100</f>
        <v>6.34940546191036</v>
      </c>
      <c r="U161" s="10" t="n">
        <f aca="false">Z161+AE161</f>
        <v>91.9722984450542</v>
      </c>
      <c r="V161" s="9" t="s">
        <v>52</v>
      </c>
      <c r="W161" s="9" t="s">
        <v>53</v>
      </c>
      <c r="X161" s="9" t="s">
        <v>981</v>
      </c>
      <c r="Y161" s="9" t="n">
        <v>94057</v>
      </c>
      <c r="Z161" s="10" t="n">
        <f aca="false">(Y161/Q161)*100</f>
        <v>49.1608519534823</v>
      </c>
      <c r="AA161" s="9" t="s">
        <v>55</v>
      </c>
      <c r="AB161" s="9" t="s">
        <v>68</v>
      </c>
      <c r="AC161" s="9" t="s">
        <v>982</v>
      </c>
      <c r="AD161" s="9" t="n">
        <v>81909</v>
      </c>
      <c r="AE161" s="10" t="n">
        <f aca="false">(AD161/Q161)*100</f>
        <v>42.8114464915719</v>
      </c>
      <c r="AF161" s="9" t="s">
        <v>58</v>
      </c>
      <c r="AG161" s="9" t="s">
        <v>58</v>
      </c>
      <c r="AH161" s="9" t="s">
        <v>983</v>
      </c>
      <c r="AI161" s="9" t="n">
        <v>11013</v>
      </c>
      <c r="AJ161" s="10" t="n">
        <f aca="false">(AI161/Q161)*100</f>
        <v>5.7561740493924</v>
      </c>
      <c r="AK161" s="9" t="s">
        <v>60</v>
      </c>
      <c r="AL161" s="9" t="s">
        <v>74</v>
      </c>
      <c r="AM161" s="9" t="s">
        <v>984</v>
      </c>
      <c r="AN161" s="9" t="n">
        <v>1308</v>
      </c>
      <c r="AO161" s="10" t="n">
        <f aca="false">(AN161/Q161)*100</f>
        <v>0.683653469227754</v>
      </c>
      <c r="AP161" s="9" t="s">
        <v>71</v>
      </c>
      <c r="AQ161" s="9" t="s">
        <v>72</v>
      </c>
      <c r="AR161" s="9" t="s">
        <v>985</v>
      </c>
      <c r="AS161" s="9" t="n">
        <v>1000</v>
      </c>
      <c r="AT161" s="10" t="n">
        <f aca="false">(AS161/Q161)*100</f>
        <v>0.522670848033451</v>
      </c>
    </row>
    <row r="162" customFormat="false" ht="12.8" hidden="false" customHeight="true" outlineLevel="0" collapsed="false">
      <c r="A162" s="7" t="n">
        <v>2021</v>
      </c>
      <c r="B162" s="8" t="n">
        <v>161</v>
      </c>
      <c r="C162" s="9" t="s">
        <v>979</v>
      </c>
      <c r="D162" s="9" t="s">
        <v>979</v>
      </c>
      <c r="E162" s="9" t="s">
        <v>903</v>
      </c>
      <c r="F162" s="9" t="s">
        <v>980</v>
      </c>
      <c r="G162" s="9" t="s">
        <v>77</v>
      </c>
      <c r="H162" s="9" t="s">
        <v>51</v>
      </c>
      <c r="I162" s="9" t="s">
        <v>51</v>
      </c>
      <c r="J162" s="9" t="s">
        <v>51</v>
      </c>
      <c r="K162" s="9" t="s">
        <v>51</v>
      </c>
      <c r="L162" s="9" t="s">
        <v>53</v>
      </c>
      <c r="M162" s="9" t="s">
        <v>51</v>
      </c>
      <c r="N162" s="9" t="s">
        <v>53</v>
      </c>
      <c r="O162" s="9" t="s">
        <v>51</v>
      </c>
      <c r="P162" s="9" t="n">
        <v>246064</v>
      </c>
      <c r="Q162" s="9" t="n">
        <v>174640</v>
      </c>
      <c r="R162" s="10" t="n">
        <f aca="false">(Q162/P162)*100</f>
        <v>70.9734052929319</v>
      </c>
      <c r="S162" s="9" t="n">
        <f aca="false">Y162-AD162</f>
        <v>2742</v>
      </c>
      <c r="T162" s="10" t="n">
        <f aca="false">(S162/Q162)*100</f>
        <v>1.57008703618873</v>
      </c>
      <c r="U162" s="10" t="n">
        <f aca="false">Z162+AE162</f>
        <v>82.7656894182318</v>
      </c>
      <c r="V162" s="9" t="s">
        <v>52</v>
      </c>
      <c r="W162" s="9" t="s">
        <v>66</v>
      </c>
      <c r="X162" s="9" t="s">
        <v>986</v>
      </c>
      <c r="Y162" s="9" t="n">
        <v>73642</v>
      </c>
      <c r="Z162" s="10" t="n">
        <f aca="false">(Y162/Q162)*100</f>
        <v>42.1678882272103</v>
      </c>
      <c r="AA162" s="9" t="s">
        <v>55</v>
      </c>
      <c r="AB162" s="9" t="s">
        <v>56</v>
      </c>
      <c r="AC162" s="9" t="s">
        <v>987</v>
      </c>
      <c r="AD162" s="9" t="n">
        <v>70900</v>
      </c>
      <c r="AE162" s="10" t="n">
        <f aca="false">(AD162/Q162)*100</f>
        <v>40.5978011910215</v>
      </c>
      <c r="AF162" s="9" t="s">
        <v>58</v>
      </c>
      <c r="AG162" s="9" t="s">
        <v>58</v>
      </c>
      <c r="AH162" s="9" t="s">
        <v>988</v>
      </c>
      <c r="AI162" s="9" t="n">
        <v>13186</v>
      </c>
      <c r="AJ162" s="10" t="n">
        <f aca="false">(AI162/Q162)*100</f>
        <v>7.55038937242327</v>
      </c>
      <c r="AK162" s="9" t="s">
        <v>60</v>
      </c>
      <c r="AL162" s="9" t="s">
        <v>74</v>
      </c>
      <c r="AM162" s="9" t="s">
        <v>989</v>
      </c>
      <c r="AN162" s="9" t="n">
        <v>7282</v>
      </c>
      <c r="AO162" s="10" t="n">
        <f aca="false">(AN162/Q162)*100</f>
        <v>4.16972056802565</v>
      </c>
      <c r="AP162" s="9" t="s">
        <v>71</v>
      </c>
      <c r="AQ162" s="9" t="s">
        <v>72</v>
      </c>
      <c r="AR162" s="9" t="s">
        <v>990</v>
      </c>
      <c r="AS162" s="9" t="n">
        <v>5933</v>
      </c>
      <c r="AT162" s="10" t="n">
        <f aca="false">(AS162/Q162)*100</f>
        <v>3.39727439303711</v>
      </c>
    </row>
    <row r="163" customFormat="false" ht="12.8" hidden="false" customHeight="true" outlineLevel="0" collapsed="false">
      <c r="A163" s="7" t="n">
        <v>2021</v>
      </c>
      <c r="B163" s="8" t="n">
        <v>162</v>
      </c>
      <c r="C163" s="9" t="s">
        <v>991</v>
      </c>
      <c r="D163" s="9" t="s">
        <v>979</v>
      </c>
      <c r="E163" s="9" t="s">
        <v>903</v>
      </c>
      <c r="F163" s="9" t="s">
        <v>980</v>
      </c>
      <c r="G163" s="9" t="s">
        <v>50</v>
      </c>
      <c r="H163" s="9" t="s">
        <v>51</v>
      </c>
      <c r="I163" s="9" t="s">
        <v>51</v>
      </c>
      <c r="J163" s="9" t="s">
        <v>51</v>
      </c>
      <c r="K163" s="9" t="s">
        <v>51</v>
      </c>
      <c r="L163" s="9" t="s">
        <v>51</v>
      </c>
      <c r="M163" s="9" t="s">
        <v>51</v>
      </c>
      <c r="N163" s="9" t="s">
        <v>51</v>
      </c>
      <c r="O163" s="9" t="s">
        <v>51</v>
      </c>
      <c r="P163" s="9" t="n">
        <v>275903</v>
      </c>
      <c r="Q163" s="9" t="n">
        <v>207838</v>
      </c>
      <c r="R163" s="10" t="n">
        <f aca="false">(Q163/P163)*100</f>
        <v>75.3300978967246</v>
      </c>
      <c r="S163" s="9" t="n">
        <f aca="false">Y163-AD163</f>
        <v>3299</v>
      </c>
      <c r="T163" s="10" t="n">
        <f aca="false">(S163/Q163)*100</f>
        <v>1.58729395009575</v>
      </c>
      <c r="U163" s="10" t="n">
        <f aca="false">Z163+AE163</f>
        <v>90.8905012557858</v>
      </c>
      <c r="V163" s="9" t="s">
        <v>52</v>
      </c>
      <c r="W163" s="9" t="s">
        <v>53</v>
      </c>
      <c r="X163" s="9" t="s">
        <v>992</v>
      </c>
      <c r="Y163" s="9" t="n">
        <v>96102</v>
      </c>
      <c r="Z163" s="10" t="n">
        <f aca="false">(Y163/Q163)*100</f>
        <v>46.2388976029408</v>
      </c>
      <c r="AA163" s="9" t="s">
        <v>55</v>
      </c>
      <c r="AB163" s="9" t="s">
        <v>68</v>
      </c>
      <c r="AC163" s="9" t="s">
        <v>993</v>
      </c>
      <c r="AD163" s="9" t="n">
        <v>92803</v>
      </c>
      <c r="AE163" s="10" t="n">
        <f aca="false">(AD163/Q163)*100</f>
        <v>44.651603652845</v>
      </c>
      <c r="AF163" s="9" t="s">
        <v>58</v>
      </c>
      <c r="AG163" s="9" t="s">
        <v>58</v>
      </c>
      <c r="AH163" s="9" t="s">
        <v>994</v>
      </c>
      <c r="AI163" s="9" t="n">
        <v>14823</v>
      </c>
      <c r="AJ163" s="10" t="n">
        <f aca="false">(AI163/Q163)*100</f>
        <v>7.13199703615316</v>
      </c>
      <c r="AK163" s="9" t="s">
        <v>60</v>
      </c>
      <c r="AL163" s="9" t="s">
        <v>74</v>
      </c>
      <c r="AM163" s="9" t="s">
        <v>995</v>
      </c>
      <c r="AN163" s="9" t="n">
        <v>1220</v>
      </c>
      <c r="AO163" s="10" t="n">
        <f aca="false">(AN163/Q163)*100</f>
        <v>0.586995640835651</v>
      </c>
      <c r="AP163" s="9" t="s">
        <v>71</v>
      </c>
      <c r="AQ163" s="9" t="s">
        <v>72</v>
      </c>
      <c r="AR163" s="9" t="s">
        <v>996</v>
      </c>
      <c r="AS163" s="9" t="n">
        <v>950</v>
      </c>
      <c r="AT163" s="10" t="n">
        <f aca="false">(AS163/Q163)*100</f>
        <v>0.457086769503171</v>
      </c>
    </row>
    <row r="164" customFormat="false" ht="12.8" hidden="false" customHeight="true" outlineLevel="0" collapsed="false">
      <c r="A164" s="7" t="n">
        <v>2021</v>
      </c>
      <c r="B164" s="8" t="n">
        <v>163</v>
      </c>
      <c r="C164" s="9" t="s">
        <v>997</v>
      </c>
      <c r="D164" s="9" t="s">
        <v>997</v>
      </c>
      <c r="E164" s="9" t="s">
        <v>903</v>
      </c>
      <c r="F164" s="9" t="s">
        <v>980</v>
      </c>
      <c r="G164" s="9" t="s">
        <v>88</v>
      </c>
      <c r="H164" s="9" t="s">
        <v>51</v>
      </c>
      <c r="I164" s="9" t="s">
        <v>51</v>
      </c>
      <c r="J164" s="9" t="s">
        <v>51</v>
      </c>
      <c r="K164" s="9" t="s">
        <v>51</v>
      </c>
      <c r="L164" s="9" t="s">
        <v>51</v>
      </c>
      <c r="M164" s="9" t="s">
        <v>51</v>
      </c>
      <c r="N164" s="9" t="s">
        <v>422</v>
      </c>
      <c r="O164" s="9" t="s">
        <v>51</v>
      </c>
      <c r="P164" s="9" t="n">
        <v>197960</v>
      </c>
      <c r="Q164" s="9" t="n">
        <v>143560</v>
      </c>
      <c r="R164" s="10" t="n">
        <f aca="false">(Q164/P164)*100</f>
        <v>72.5197009496868</v>
      </c>
      <c r="S164" s="9" t="n">
        <f aca="false">Y164-AD164</f>
        <v>7238</v>
      </c>
      <c r="T164" s="10" t="n">
        <f aca="false">(S164/Q164)*100</f>
        <v>5.04179437169128</v>
      </c>
      <c r="U164" s="10" t="n">
        <f aca="false">Z164+AE164</f>
        <v>87.2972972972973</v>
      </c>
      <c r="V164" s="9" t="s">
        <v>52</v>
      </c>
      <c r="W164" s="9" t="s">
        <v>257</v>
      </c>
      <c r="X164" s="9" t="s">
        <v>998</v>
      </c>
      <c r="Y164" s="9" t="n">
        <v>66281</v>
      </c>
      <c r="Z164" s="10" t="n">
        <f aca="false">(Y164/Q164)*100</f>
        <v>46.1695458344943</v>
      </c>
      <c r="AA164" s="9" t="s">
        <v>55</v>
      </c>
      <c r="AB164" s="9" t="s">
        <v>68</v>
      </c>
      <c r="AC164" s="9" t="s">
        <v>999</v>
      </c>
      <c r="AD164" s="9" t="n">
        <v>59043</v>
      </c>
      <c r="AE164" s="10" t="n">
        <f aca="false">(AD164/Q164)*100</f>
        <v>41.127751462803</v>
      </c>
      <c r="AF164" s="9" t="s">
        <v>58</v>
      </c>
      <c r="AG164" s="9" t="s">
        <v>58</v>
      </c>
      <c r="AH164" s="9" t="s">
        <v>1000</v>
      </c>
      <c r="AI164" s="9" t="n">
        <v>9976</v>
      </c>
      <c r="AJ164" s="10" t="n">
        <f aca="false">(AI164/Q164)*100</f>
        <v>6.94901086653664</v>
      </c>
      <c r="AK164" s="9" t="s">
        <v>60</v>
      </c>
      <c r="AL164" s="9" t="s">
        <v>74</v>
      </c>
      <c r="AM164" s="9" t="s">
        <v>1001</v>
      </c>
      <c r="AN164" s="9" t="n">
        <v>3503</v>
      </c>
      <c r="AO164" s="10" t="n">
        <f aca="false">(AN164/Q164)*100</f>
        <v>2.44009473390917</v>
      </c>
      <c r="AP164" s="9" t="s">
        <v>71</v>
      </c>
      <c r="AQ164" s="9" t="s">
        <v>72</v>
      </c>
      <c r="AR164" s="9" t="s">
        <v>1002</v>
      </c>
      <c r="AS164" s="9" t="n">
        <v>2540</v>
      </c>
      <c r="AT164" s="10" t="n">
        <f aca="false">(AS164/Q164)*100</f>
        <v>1.76929506826414</v>
      </c>
    </row>
    <row r="165" customFormat="false" ht="12.8" hidden="false" customHeight="true" outlineLevel="0" collapsed="false">
      <c r="A165" s="7" t="n">
        <v>2021</v>
      </c>
      <c r="B165" s="8" t="n">
        <v>164</v>
      </c>
      <c r="C165" s="9" t="s">
        <v>1003</v>
      </c>
      <c r="D165" s="9" t="s">
        <v>997</v>
      </c>
      <c r="E165" s="9" t="s">
        <v>903</v>
      </c>
      <c r="F165" s="9" t="s">
        <v>980</v>
      </c>
      <c r="G165" s="9" t="s">
        <v>50</v>
      </c>
      <c r="H165" s="9" t="s">
        <v>65</v>
      </c>
      <c r="I165" s="9" t="s">
        <v>51</v>
      </c>
      <c r="J165" s="9" t="s">
        <v>51</v>
      </c>
      <c r="K165" s="9" t="s">
        <v>51</v>
      </c>
      <c r="L165" s="9" t="s">
        <v>51</v>
      </c>
      <c r="M165" s="9" t="s">
        <v>51</v>
      </c>
      <c r="N165" s="9" t="s">
        <v>51</v>
      </c>
      <c r="O165" s="9" t="s">
        <v>51</v>
      </c>
      <c r="P165" s="9" t="n">
        <v>178764</v>
      </c>
      <c r="Q165" s="9" t="n">
        <v>142995</v>
      </c>
      <c r="R165" s="10" t="n">
        <f aca="false">(Q165/P165)*100</f>
        <v>79.9909377727059</v>
      </c>
      <c r="S165" s="9" t="n">
        <f aca="false">Y165-AD165</f>
        <v>16985</v>
      </c>
      <c r="T165" s="10" t="n">
        <f aca="false">(S165/Q165)*100</f>
        <v>11.8780376936257</v>
      </c>
      <c r="U165" s="10" t="n">
        <f aca="false">Z165+AE165</f>
        <v>83.2133990698976</v>
      </c>
      <c r="V165" s="9" t="s">
        <v>52</v>
      </c>
      <c r="W165" s="9" t="s">
        <v>422</v>
      </c>
      <c r="X165" s="9" t="s">
        <v>1004</v>
      </c>
      <c r="Y165" s="9" t="n">
        <v>67988</v>
      </c>
      <c r="Z165" s="10" t="n">
        <f aca="false">(Y165/Q165)*100</f>
        <v>47.5457183817616</v>
      </c>
      <c r="AA165" s="9" t="s">
        <v>55</v>
      </c>
      <c r="AB165" s="9" t="s">
        <v>56</v>
      </c>
      <c r="AC165" s="9" t="s">
        <v>1005</v>
      </c>
      <c r="AD165" s="9" t="n">
        <v>51003</v>
      </c>
      <c r="AE165" s="10" t="n">
        <f aca="false">(AD165/Q165)*100</f>
        <v>35.667680688136</v>
      </c>
      <c r="AF165" s="9" t="s">
        <v>58</v>
      </c>
      <c r="AG165" s="9" t="s">
        <v>58</v>
      </c>
      <c r="AH165" s="9" t="s">
        <v>1006</v>
      </c>
      <c r="AI165" s="9" t="n">
        <v>15173</v>
      </c>
      <c r="AJ165" s="10" t="n">
        <f aca="false">(AI165/Q165)*100</f>
        <v>10.6108605195986</v>
      </c>
      <c r="AK165" s="9" t="s">
        <v>71</v>
      </c>
      <c r="AL165" s="9" t="s">
        <v>72</v>
      </c>
      <c r="AM165" s="9" t="s">
        <v>1007</v>
      </c>
      <c r="AN165" s="9" t="n">
        <v>2906</v>
      </c>
      <c r="AO165" s="10" t="n">
        <f aca="false">(AN165/Q165)*100</f>
        <v>2.03223888947166</v>
      </c>
      <c r="AP165" s="9" t="s">
        <v>60</v>
      </c>
      <c r="AQ165" s="9" t="s">
        <v>74</v>
      </c>
      <c r="AR165" s="9" t="s">
        <v>1008</v>
      </c>
      <c r="AS165" s="9" t="n">
        <v>2503</v>
      </c>
      <c r="AT165" s="10" t="n">
        <f aca="false">(AS165/Q165)*100</f>
        <v>1.75041085352635</v>
      </c>
    </row>
    <row r="166" customFormat="false" ht="12.8" hidden="false" customHeight="true" outlineLevel="0" collapsed="false">
      <c r="A166" s="7" t="n">
        <v>2021</v>
      </c>
      <c r="B166" s="8" t="n">
        <v>165</v>
      </c>
      <c r="C166" s="9" t="s">
        <v>1009</v>
      </c>
      <c r="D166" s="9" t="s">
        <v>997</v>
      </c>
      <c r="E166" s="9" t="s">
        <v>903</v>
      </c>
      <c r="F166" s="9" t="s">
        <v>980</v>
      </c>
      <c r="G166" s="9" t="s">
        <v>77</v>
      </c>
      <c r="H166" s="9" t="s">
        <v>51</v>
      </c>
      <c r="I166" s="9" t="s">
        <v>526</v>
      </c>
      <c r="J166" s="9" t="s">
        <v>51</v>
      </c>
      <c r="K166" s="9" t="s">
        <v>51</v>
      </c>
      <c r="L166" s="9" t="s">
        <v>53</v>
      </c>
      <c r="M166" s="9" t="s">
        <v>68</v>
      </c>
      <c r="N166" s="9" t="s">
        <v>51</v>
      </c>
      <c r="O166" s="9" t="s">
        <v>51</v>
      </c>
      <c r="P166" s="9" t="n">
        <v>192770</v>
      </c>
      <c r="Q166" s="9" t="n">
        <v>158060</v>
      </c>
      <c r="R166" s="10" t="n">
        <f aca="false">(Q166/P166)*100</f>
        <v>81.994086216735</v>
      </c>
      <c r="S166" s="9" t="n">
        <f aca="false">Y166-AD166</f>
        <v>12329</v>
      </c>
      <c r="T166" s="10" t="n">
        <f aca="false">(S166/Q166)*100</f>
        <v>7.80020245476401</v>
      </c>
      <c r="U166" s="10" t="n">
        <f aca="false">Z166+AE166</f>
        <v>91.8062760976844</v>
      </c>
      <c r="V166" s="9" t="s">
        <v>55</v>
      </c>
      <c r="W166" s="9" t="s">
        <v>68</v>
      </c>
      <c r="X166" s="9" t="s">
        <v>1010</v>
      </c>
      <c r="Y166" s="9" t="n">
        <v>78719</v>
      </c>
      <c r="Z166" s="10" t="n">
        <f aca="false">(Y166/Q166)*100</f>
        <v>49.8032392762242</v>
      </c>
      <c r="AA166" s="9" t="s">
        <v>52</v>
      </c>
      <c r="AB166" s="9" t="s">
        <v>53</v>
      </c>
      <c r="AC166" s="9" t="s">
        <v>1011</v>
      </c>
      <c r="AD166" s="9" t="n">
        <v>66390</v>
      </c>
      <c r="AE166" s="10" t="n">
        <f aca="false">(AD166/Q166)*100</f>
        <v>42.0030368214602</v>
      </c>
      <c r="AF166" s="9" t="s">
        <v>58</v>
      </c>
      <c r="AG166" s="9" t="s">
        <v>58</v>
      </c>
      <c r="AH166" s="9" t="s">
        <v>962</v>
      </c>
      <c r="AI166" s="9" t="n">
        <v>9106</v>
      </c>
      <c r="AJ166" s="10" t="n">
        <f aca="false">(AI166/Q166)*100</f>
        <v>5.76110337846387</v>
      </c>
      <c r="AK166" s="9" t="s">
        <v>60</v>
      </c>
      <c r="AL166" s="9" t="s">
        <v>74</v>
      </c>
      <c r="AM166" s="9" t="s">
        <v>1012</v>
      </c>
      <c r="AN166" s="9" t="n">
        <v>1284</v>
      </c>
      <c r="AO166" s="10" t="n">
        <f aca="false">(AN166/Q166)*100</f>
        <v>0.812349740604834</v>
      </c>
      <c r="AP166" s="9" t="s">
        <v>63</v>
      </c>
      <c r="AQ166" s="9" t="s">
        <v>63</v>
      </c>
      <c r="AR166" s="9" t="s">
        <v>63</v>
      </c>
      <c r="AS166" s="9" t="n">
        <v>673</v>
      </c>
      <c r="AT166" s="10" t="n">
        <f aca="false">(AS166/Q166)*100</f>
        <v>0.425787675566241</v>
      </c>
    </row>
    <row r="167" customFormat="false" ht="12.8" hidden="false" customHeight="true" outlineLevel="0" collapsed="false">
      <c r="A167" s="7" t="n">
        <v>2021</v>
      </c>
      <c r="B167" s="8" t="n">
        <v>166</v>
      </c>
      <c r="C167" s="9" t="s">
        <v>1013</v>
      </c>
      <c r="D167" s="9" t="s">
        <v>1014</v>
      </c>
      <c r="E167" s="9" t="s">
        <v>903</v>
      </c>
      <c r="F167" s="9" t="s">
        <v>1015</v>
      </c>
      <c r="G167" s="9" t="s">
        <v>77</v>
      </c>
      <c r="H167" s="9" t="s">
        <v>65</v>
      </c>
      <c r="I167" s="9" t="s">
        <v>526</v>
      </c>
      <c r="J167" s="9" t="s">
        <v>51</v>
      </c>
      <c r="K167" s="9" t="s">
        <v>51</v>
      </c>
      <c r="L167" s="9" t="s">
        <v>392</v>
      </c>
      <c r="M167" s="9" t="s">
        <v>51</v>
      </c>
      <c r="N167" s="9" t="s">
        <v>767</v>
      </c>
      <c r="O167" s="9" t="s">
        <v>51</v>
      </c>
      <c r="P167" s="9" t="n">
        <v>240072</v>
      </c>
      <c r="Q167" s="9" t="n">
        <v>185886</v>
      </c>
      <c r="R167" s="10" t="n">
        <f aca="false">(Q167/P167)*100</f>
        <v>77.4292712186344</v>
      </c>
      <c r="S167" s="9" t="n">
        <f aca="false">Y167-AD167</f>
        <v>30068</v>
      </c>
      <c r="T167" s="10" t="n">
        <f aca="false">(S167/Q167)*100</f>
        <v>16.1755054172988</v>
      </c>
      <c r="U167" s="10" t="n">
        <f aca="false">Z167+AE167</f>
        <v>88.288520921425</v>
      </c>
      <c r="V167" s="9" t="s">
        <v>52</v>
      </c>
      <c r="W167" s="9" t="s">
        <v>392</v>
      </c>
      <c r="X167" s="9" t="s">
        <v>1016</v>
      </c>
      <c r="Y167" s="9" t="n">
        <v>97092</v>
      </c>
      <c r="Z167" s="10" t="n">
        <f aca="false">(Y167/Q167)*100</f>
        <v>52.2320131693619</v>
      </c>
      <c r="AA167" s="9" t="s">
        <v>55</v>
      </c>
      <c r="AB167" s="9" t="s">
        <v>68</v>
      </c>
      <c r="AC167" s="9" t="s">
        <v>1017</v>
      </c>
      <c r="AD167" s="9" t="n">
        <v>67024</v>
      </c>
      <c r="AE167" s="10" t="n">
        <f aca="false">(AD167/Q167)*100</f>
        <v>36.0565077520631</v>
      </c>
      <c r="AF167" s="9" t="s">
        <v>58</v>
      </c>
      <c r="AG167" s="9" t="s">
        <v>58</v>
      </c>
      <c r="AH167" s="9" t="s">
        <v>1018</v>
      </c>
      <c r="AI167" s="9" t="n">
        <v>15362</v>
      </c>
      <c r="AJ167" s="10" t="n">
        <f aca="false">(AI167/Q167)*100</f>
        <v>8.26420494281441</v>
      </c>
      <c r="AK167" s="9" t="s">
        <v>60</v>
      </c>
      <c r="AL167" s="9" t="s">
        <v>74</v>
      </c>
      <c r="AM167" s="9" t="s">
        <v>1019</v>
      </c>
      <c r="AN167" s="9" t="n">
        <v>3555</v>
      </c>
      <c r="AO167" s="10" t="n">
        <f aca="false">(AN167/Q167)*100</f>
        <v>1.91246247700203</v>
      </c>
      <c r="AP167" s="9" t="s">
        <v>63</v>
      </c>
      <c r="AQ167" s="9" t="s">
        <v>63</v>
      </c>
      <c r="AR167" s="9" t="s">
        <v>63</v>
      </c>
      <c r="AS167" s="9" t="n">
        <v>1313</v>
      </c>
      <c r="AT167" s="10" t="n">
        <f aca="false">(AS167/Q167)*100</f>
        <v>0.706346900788656</v>
      </c>
    </row>
    <row r="168" customFormat="false" ht="12.8" hidden="false" customHeight="true" outlineLevel="0" collapsed="false">
      <c r="A168" s="7" t="n">
        <v>2021</v>
      </c>
      <c r="B168" s="8" t="n">
        <v>167</v>
      </c>
      <c r="C168" s="9" t="s">
        <v>1020</v>
      </c>
      <c r="D168" s="9" t="s">
        <v>1014</v>
      </c>
      <c r="E168" s="9" t="s">
        <v>903</v>
      </c>
      <c r="F168" s="9" t="s">
        <v>1015</v>
      </c>
      <c r="G168" s="9" t="s">
        <v>77</v>
      </c>
      <c r="H168" s="9" t="s">
        <v>51</v>
      </c>
      <c r="I168" s="9" t="s">
        <v>51</v>
      </c>
      <c r="J168" s="9" t="s">
        <v>51</v>
      </c>
      <c r="K168" s="9" t="s">
        <v>53</v>
      </c>
      <c r="L168" s="9" t="s">
        <v>392</v>
      </c>
      <c r="M168" s="9" t="s">
        <v>53</v>
      </c>
      <c r="N168" s="9" t="s">
        <v>51</v>
      </c>
      <c r="O168" s="9" t="s">
        <v>51</v>
      </c>
      <c r="P168" s="9" t="n">
        <v>260042</v>
      </c>
      <c r="Q168" s="9" t="n">
        <v>193229</v>
      </c>
      <c r="R168" s="10" t="n">
        <f aca="false">(Q168/P168)*100</f>
        <v>74.306842740788</v>
      </c>
      <c r="S168" s="9" t="n">
        <f aca="false">Y168-AD168</f>
        <v>37393</v>
      </c>
      <c r="T168" s="10" t="n">
        <f aca="false">(S168/Q168)*100</f>
        <v>19.3516501146308</v>
      </c>
      <c r="U168" s="10" t="n">
        <f aca="false">Z168+AE168</f>
        <v>70.8749721832644</v>
      </c>
      <c r="V168" s="9" t="s">
        <v>52</v>
      </c>
      <c r="W168" s="9" t="s">
        <v>53</v>
      </c>
      <c r="X168" s="9" t="s">
        <v>1021</v>
      </c>
      <c r="Y168" s="9" t="n">
        <v>87172</v>
      </c>
      <c r="Z168" s="10" t="n">
        <f aca="false">(Y168/Q168)*100</f>
        <v>45.1133111489476</v>
      </c>
      <c r="AA168" s="9" t="s">
        <v>55</v>
      </c>
      <c r="AB168" s="9" t="s">
        <v>68</v>
      </c>
      <c r="AC168" s="9" t="s">
        <v>1022</v>
      </c>
      <c r="AD168" s="9" t="n">
        <v>49779</v>
      </c>
      <c r="AE168" s="10" t="n">
        <f aca="false">(AD168/Q168)*100</f>
        <v>25.7616610343168</v>
      </c>
      <c r="AF168" s="9" t="s">
        <v>60</v>
      </c>
      <c r="AG168" s="9" t="s">
        <v>74</v>
      </c>
      <c r="AH168" s="9" t="s">
        <v>1023</v>
      </c>
      <c r="AI168" s="9" t="n">
        <v>40481</v>
      </c>
      <c r="AJ168" s="10" t="n">
        <f aca="false">(AI168/Q168)*100</f>
        <v>20.9497539189252</v>
      </c>
      <c r="AK168" s="9" t="s">
        <v>58</v>
      </c>
      <c r="AL168" s="9" t="s">
        <v>58</v>
      </c>
      <c r="AM168" s="9" t="s">
        <v>1024</v>
      </c>
      <c r="AN168" s="9" t="n">
        <v>10438</v>
      </c>
      <c r="AO168" s="10" t="n">
        <f aca="false">(AN168/Q168)*100</f>
        <v>5.40188067008575</v>
      </c>
      <c r="AP168" s="9" t="s">
        <v>197</v>
      </c>
      <c r="AQ168" s="9" t="s">
        <v>197</v>
      </c>
      <c r="AR168" s="9" t="s">
        <v>1025</v>
      </c>
      <c r="AS168" s="9" t="n">
        <v>1845</v>
      </c>
      <c r="AT168" s="10" t="n">
        <f aca="false">(AS168/Q168)*100</f>
        <v>0.954825621412935</v>
      </c>
    </row>
    <row r="169" customFormat="false" ht="12.8" hidden="false" customHeight="true" outlineLevel="0" collapsed="false">
      <c r="A169" s="7" t="n">
        <v>2021</v>
      </c>
      <c r="B169" s="8" t="n">
        <v>168</v>
      </c>
      <c r="C169" s="9" t="s">
        <v>1014</v>
      </c>
      <c r="D169" s="9" t="s">
        <v>1014</v>
      </c>
      <c r="E169" s="9" t="s">
        <v>903</v>
      </c>
      <c r="F169" s="9" t="s">
        <v>1015</v>
      </c>
      <c r="G169" s="9" t="s">
        <v>77</v>
      </c>
      <c r="H169" s="9" t="s">
        <v>51</v>
      </c>
      <c r="I169" s="9" t="s">
        <v>51</v>
      </c>
      <c r="J169" s="9" t="s">
        <v>51</v>
      </c>
      <c r="K169" s="9" t="s">
        <v>51</v>
      </c>
      <c r="L169" s="9" t="s">
        <v>51</v>
      </c>
      <c r="M169" s="9" t="s">
        <v>53</v>
      </c>
      <c r="N169" s="9" t="s">
        <v>422</v>
      </c>
      <c r="O169" s="9" t="s">
        <v>169</v>
      </c>
      <c r="P169" s="9" t="n">
        <v>282708</v>
      </c>
      <c r="Q169" s="9" t="n">
        <v>208290</v>
      </c>
      <c r="R169" s="10" t="n">
        <f aca="false">(Q169/P169)*100</f>
        <v>73.6767265164056</v>
      </c>
      <c r="S169" s="9" t="n">
        <f aca="false">Y169-AD169</f>
        <v>51174</v>
      </c>
      <c r="T169" s="10" t="n">
        <f aca="false">(S169/Q169)*100</f>
        <v>24.5686302750972</v>
      </c>
      <c r="U169" s="10" t="n">
        <f aca="false">Z169+AE169</f>
        <v>80.0028805991646</v>
      </c>
      <c r="V169" s="9" t="s">
        <v>52</v>
      </c>
      <c r="W169" s="9" t="s">
        <v>53</v>
      </c>
      <c r="X169" s="9" t="s">
        <v>1026</v>
      </c>
      <c r="Y169" s="9" t="n">
        <v>108906</v>
      </c>
      <c r="Z169" s="10" t="n">
        <f aca="false">(Y169/Q169)*100</f>
        <v>52.2857554371309</v>
      </c>
      <c r="AA169" s="9" t="s">
        <v>55</v>
      </c>
      <c r="AB169" s="9" t="s">
        <v>68</v>
      </c>
      <c r="AC169" s="9" t="s">
        <v>1027</v>
      </c>
      <c r="AD169" s="9" t="n">
        <v>57732</v>
      </c>
      <c r="AE169" s="10" t="n">
        <f aca="false">(AD169/Q169)*100</f>
        <v>27.7171251620337</v>
      </c>
      <c r="AF169" s="9" t="s">
        <v>58</v>
      </c>
      <c r="AG169" s="9" t="s">
        <v>58</v>
      </c>
      <c r="AH169" s="9" t="s">
        <v>588</v>
      </c>
      <c r="AI169" s="9" t="n">
        <v>26300</v>
      </c>
      <c r="AJ169" s="10" t="n">
        <f aca="false">(AI169/Q169)*100</f>
        <v>12.6266263382784</v>
      </c>
      <c r="AK169" s="9" t="s">
        <v>60</v>
      </c>
      <c r="AL169" s="21" t="s">
        <v>352</v>
      </c>
      <c r="AM169" s="9" t="s">
        <v>1028</v>
      </c>
      <c r="AN169" s="9" t="n">
        <v>6364</v>
      </c>
      <c r="AO169" s="10" t="n">
        <f aca="false">(AN169/Q169)*100</f>
        <v>3.0553555139469</v>
      </c>
      <c r="AP169" s="9" t="s">
        <v>71</v>
      </c>
      <c r="AQ169" s="9" t="s">
        <v>72</v>
      </c>
      <c r="AR169" s="9" t="s">
        <v>1029</v>
      </c>
      <c r="AS169" s="9" t="n">
        <v>4068</v>
      </c>
      <c r="AT169" s="10" t="n">
        <f aca="false">(AS169/Q169)*100</f>
        <v>1.95304623361659</v>
      </c>
    </row>
    <row r="170" customFormat="false" ht="12.8" hidden="false" customHeight="true" outlineLevel="0" collapsed="false">
      <c r="A170" s="7" t="n">
        <v>2021</v>
      </c>
      <c r="B170" s="8" t="n">
        <v>169</v>
      </c>
      <c r="C170" s="9" t="s">
        <v>1030</v>
      </c>
      <c r="D170" s="9" t="s">
        <v>1014</v>
      </c>
      <c r="E170" s="9" t="s">
        <v>903</v>
      </c>
      <c r="F170" s="9" t="s">
        <v>1015</v>
      </c>
      <c r="G170" s="9" t="s">
        <v>50</v>
      </c>
      <c r="H170" s="9" t="s">
        <v>51</v>
      </c>
      <c r="I170" s="9" t="s">
        <v>51</v>
      </c>
      <c r="J170" s="9" t="s">
        <v>51</v>
      </c>
      <c r="K170" s="9" t="s">
        <v>68</v>
      </c>
      <c r="L170" s="9" t="s">
        <v>51</v>
      </c>
      <c r="M170" s="9" t="s">
        <v>68</v>
      </c>
      <c r="N170" s="9" t="s">
        <v>51</v>
      </c>
      <c r="O170" s="9" t="s">
        <v>51</v>
      </c>
      <c r="P170" s="9" t="n">
        <v>272305</v>
      </c>
      <c r="Q170" s="9" t="n">
        <v>221944</v>
      </c>
      <c r="R170" s="10" t="n">
        <f aca="false">(Q170/P170)*100</f>
        <v>81.5056646040286</v>
      </c>
      <c r="S170" s="9" t="n">
        <f aca="false">Y170-AD170</f>
        <v>4424</v>
      </c>
      <c r="T170" s="10" t="n">
        <f aca="false">(S170/Q170)*100</f>
        <v>1.99329560609884</v>
      </c>
      <c r="U170" s="10" t="n">
        <f aca="false">Z170+AE170</f>
        <v>91.3969289550517</v>
      </c>
      <c r="V170" s="9" t="s">
        <v>55</v>
      </c>
      <c r="W170" s="9" t="s">
        <v>68</v>
      </c>
      <c r="X170" s="9" t="s">
        <v>1031</v>
      </c>
      <c r="Y170" s="9" t="n">
        <v>103637</v>
      </c>
      <c r="Z170" s="10" t="n">
        <f aca="false">(Y170/Q170)*100</f>
        <v>46.6951122805753</v>
      </c>
      <c r="AA170" s="9" t="s">
        <v>52</v>
      </c>
      <c r="AB170" s="9" t="s">
        <v>53</v>
      </c>
      <c r="AC170" s="9" t="s">
        <v>1032</v>
      </c>
      <c r="AD170" s="9" t="n">
        <v>99213</v>
      </c>
      <c r="AE170" s="10" t="n">
        <f aca="false">(AD170/Q170)*100</f>
        <v>44.7018166744765</v>
      </c>
      <c r="AF170" s="9" t="s">
        <v>58</v>
      </c>
      <c r="AG170" s="9" t="s">
        <v>58</v>
      </c>
      <c r="AH170" s="9" t="s">
        <v>1033</v>
      </c>
      <c r="AI170" s="9" t="n">
        <v>13419</v>
      </c>
      <c r="AJ170" s="10" t="n">
        <f aca="false">(AI170/Q170)*100</f>
        <v>6.04611974191688</v>
      </c>
      <c r="AK170" s="9" t="s">
        <v>60</v>
      </c>
      <c r="AL170" s="9" t="s">
        <v>74</v>
      </c>
      <c r="AM170" s="9" t="s">
        <v>1034</v>
      </c>
      <c r="AN170" s="9" t="n">
        <v>2076</v>
      </c>
      <c r="AO170" s="10" t="n">
        <f aca="false">(AN170/Q170)*100</f>
        <v>0.935371084597917</v>
      </c>
      <c r="AP170" s="9" t="s">
        <v>63</v>
      </c>
      <c r="AQ170" s="9" t="s">
        <v>63</v>
      </c>
      <c r="AR170" s="9" t="s">
        <v>63</v>
      </c>
      <c r="AS170" s="9" t="n">
        <v>1190</v>
      </c>
      <c r="AT170" s="10" t="n">
        <f aca="false">(AS170/Q170)*100</f>
        <v>0.536171286450636</v>
      </c>
    </row>
    <row r="171" customFormat="false" ht="12.8" hidden="false" customHeight="true" outlineLevel="0" collapsed="false">
      <c r="A171" s="7" t="n">
        <v>2021</v>
      </c>
      <c r="B171" s="8" t="n">
        <v>170</v>
      </c>
      <c r="C171" s="9" t="s">
        <v>1035</v>
      </c>
      <c r="D171" s="9" t="s">
        <v>1036</v>
      </c>
      <c r="E171" s="9" t="s">
        <v>903</v>
      </c>
      <c r="F171" s="9" t="s">
        <v>1015</v>
      </c>
      <c r="G171" s="9" t="s">
        <v>50</v>
      </c>
      <c r="H171" s="9" t="s">
        <v>65</v>
      </c>
      <c r="I171" s="9" t="s">
        <v>526</v>
      </c>
      <c r="J171" s="9" t="s">
        <v>51</v>
      </c>
      <c r="K171" s="9" t="s">
        <v>53</v>
      </c>
      <c r="L171" s="9" t="s">
        <v>51</v>
      </c>
      <c r="M171" s="9" t="s">
        <v>53</v>
      </c>
      <c r="N171" s="9" t="s">
        <v>51</v>
      </c>
      <c r="O171" s="9" t="s">
        <v>51</v>
      </c>
      <c r="P171" s="9" t="n">
        <v>259512</v>
      </c>
      <c r="Q171" s="9" t="n">
        <v>198446</v>
      </c>
      <c r="R171" s="10" t="n">
        <f aca="false">(Q171/P171)*100</f>
        <v>76.4689108788804</v>
      </c>
      <c r="S171" s="9" t="n">
        <f aca="false">Y171-AD171</f>
        <v>10680</v>
      </c>
      <c r="T171" s="10" t="n">
        <f aca="false">(S171/Q171)*100</f>
        <v>5.38181671588241</v>
      </c>
      <c r="U171" s="10" t="n">
        <f aca="false">Z171+AE171</f>
        <v>91.1310885580964</v>
      </c>
      <c r="V171" s="9" t="s">
        <v>52</v>
      </c>
      <c r="W171" s="9" t="s">
        <v>53</v>
      </c>
      <c r="X171" s="9" t="s">
        <v>1037</v>
      </c>
      <c r="Y171" s="9" t="n">
        <v>95763</v>
      </c>
      <c r="Z171" s="10" t="n">
        <f aca="false">(Y171/Q171)*100</f>
        <v>48.2564526369894</v>
      </c>
      <c r="AA171" s="9" t="s">
        <v>55</v>
      </c>
      <c r="AB171" s="9" t="s">
        <v>68</v>
      </c>
      <c r="AC171" s="9" t="s">
        <v>1038</v>
      </c>
      <c r="AD171" s="9" t="n">
        <v>85083</v>
      </c>
      <c r="AE171" s="10" t="n">
        <f aca="false">(AD171/Q171)*100</f>
        <v>42.874635921107</v>
      </c>
      <c r="AF171" s="9" t="s">
        <v>58</v>
      </c>
      <c r="AG171" s="9" t="s">
        <v>58</v>
      </c>
      <c r="AH171" s="9" t="s">
        <v>1039</v>
      </c>
      <c r="AI171" s="9" t="n">
        <v>11176</v>
      </c>
      <c r="AJ171" s="10" t="n">
        <f aca="false">(AI171/Q171)*100</f>
        <v>5.63175876560878</v>
      </c>
      <c r="AK171" s="13" t="s">
        <v>85</v>
      </c>
      <c r="AL171" s="13" t="s">
        <v>85</v>
      </c>
      <c r="AM171" s="9" t="s">
        <v>1040</v>
      </c>
      <c r="AN171" s="9" t="n">
        <v>1839</v>
      </c>
      <c r="AO171" s="10" t="n">
        <f aca="false">(AN171/Q171)*100</f>
        <v>0.926700462594358</v>
      </c>
      <c r="AP171" s="9" t="s">
        <v>60</v>
      </c>
      <c r="AQ171" s="9" t="s">
        <v>74</v>
      </c>
      <c r="AR171" s="9" t="s">
        <v>1041</v>
      </c>
      <c r="AS171" s="9" t="n">
        <v>1746</v>
      </c>
      <c r="AT171" s="10" t="n">
        <f aca="false">(AS171/Q171)*100</f>
        <v>0.879836328270663</v>
      </c>
    </row>
    <row r="172" customFormat="false" ht="12.8" hidden="false" customHeight="true" outlineLevel="0" collapsed="false">
      <c r="A172" s="7" t="n">
        <v>2021</v>
      </c>
      <c r="B172" s="8" t="n">
        <v>171</v>
      </c>
      <c r="C172" s="9" t="s">
        <v>1042</v>
      </c>
      <c r="D172" s="9" t="s">
        <v>1036</v>
      </c>
      <c r="E172" s="9" t="s">
        <v>903</v>
      </c>
      <c r="F172" s="9" t="s">
        <v>1015</v>
      </c>
      <c r="G172" s="9" t="s">
        <v>88</v>
      </c>
      <c r="H172" s="9" t="s">
        <v>51</v>
      </c>
      <c r="I172" s="9" t="s">
        <v>51</v>
      </c>
      <c r="J172" s="9" t="s">
        <v>51</v>
      </c>
      <c r="K172" s="9" t="s">
        <v>53</v>
      </c>
      <c r="L172" s="9" t="s">
        <v>53</v>
      </c>
      <c r="M172" s="9" t="s">
        <v>53</v>
      </c>
      <c r="N172" s="9" t="s">
        <v>51</v>
      </c>
      <c r="O172" s="9" t="s">
        <v>51</v>
      </c>
      <c r="P172" s="9" t="n">
        <v>273097</v>
      </c>
      <c r="Q172" s="9" t="n">
        <v>197564</v>
      </c>
      <c r="R172" s="10" t="n">
        <f aca="false">(Q172/P172)*100</f>
        <v>72.3420616118083</v>
      </c>
      <c r="S172" s="9" t="n">
        <f aca="false">Y172-AD172</f>
        <v>21383</v>
      </c>
      <c r="T172" s="10" t="n">
        <f aca="false">(S172/Q172)*100</f>
        <v>10.8233281367051</v>
      </c>
      <c r="U172" s="10" t="n">
        <f aca="false">Z172+AE172</f>
        <v>86.4180721184021</v>
      </c>
      <c r="V172" s="9" t="s">
        <v>52</v>
      </c>
      <c r="W172" s="9" t="s">
        <v>53</v>
      </c>
      <c r="X172" s="9" t="s">
        <v>1043</v>
      </c>
      <c r="Y172" s="9" t="n">
        <v>96057</v>
      </c>
      <c r="Z172" s="10" t="n">
        <f aca="false">(Y172/Q172)*100</f>
        <v>48.6207001275536</v>
      </c>
      <c r="AA172" s="9" t="s">
        <v>55</v>
      </c>
      <c r="AB172" s="9" t="s">
        <v>68</v>
      </c>
      <c r="AC172" s="9" t="s">
        <v>1044</v>
      </c>
      <c r="AD172" s="9" t="n">
        <v>74674</v>
      </c>
      <c r="AE172" s="10" t="n">
        <f aca="false">(AD172/Q172)*100</f>
        <v>37.7973719908485</v>
      </c>
      <c r="AF172" s="9" t="s">
        <v>58</v>
      </c>
      <c r="AG172" s="9" t="s">
        <v>58</v>
      </c>
      <c r="AH172" s="9" t="s">
        <v>1045</v>
      </c>
      <c r="AI172" s="9" t="n">
        <v>12480</v>
      </c>
      <c r="AJ172" s="10" t="n">
        <f aca="false">(AI172/Q172)*100</f>
        <v>6.3169403332591</v>
      </c>
      <c r="AK172" s="9" t="s">
        <v>60</v>
      </c>
      <c r="AL172" s="9" t="s">
        <v>74</v>
      </c>
      <c r="AM172" s="9" t="s">
        <v>1046</v>
      </c>
      <c r="AN172" s="9" t="n">
        <v>6523</v>
      </c>
      <c r="AO172" s="10" t="n">
        <f aca="false">(AN172/Q172)*100</f>
        <v>3.30171488732765</v>
      </c>
      <c r="AP172" s="9" t="s">
        <v>71</v>
      </c>
      <c r="AQ172" s="9" t="s">
        <v>72</v>
      </c>
      <c r="AR172" s="9" t="s">
        <v>1047</v>
      </c>
      <c r="AS172" s="9" t="n">
        <v>5276</v>
      </c>
      <c r="AT172" s="10" t="n">
        <f aca="false">(AS172/Q172)*100</f>
        <v>2.67052701909255</v>
      </c>
    </row>
    <row r="173" customFormat="false" ht="12.8" hidden="false" customHeight="true" outlineLevel="0" collapsed="false">
      <c r="A173" s="7" t="n">
        <v>2021</v>
      </c>
      <c r="B173" s="8" t="n">
        <v>172</v>
      </c>
      <c r="C173" s="9" t="s">
        <v>1048</v>
      </c>
      <c r="D173" s="9" t="s">
        <v>1036</v>
      </c>
      <c r="E173" s="9" t="s">
        <v>903</v>
      </c>
      <c r="F173" s="9" t="s">
        <v>1015</v>
      </c>
      <c r="G173" s="9" t="s">
        <v>50</v>
      </c>
      <c r="H173" s="9" t="s">
        <v>51</v>
      </c>
      <c r="I173" s="9" t="s">
        <v>526</v>
      </c>
      <c r="J173" s="28" t="s">
        <v>905</v>
      </c>
      <c r="K173" s="9" t="s">
        <v>51</v>
      </c>
      <c r="L173" s="9" t="s">
        <v>68</v>
      </c>
      <c r="M173" s="9" t="s">
        <v>51</v>
      </c>
      <c r="N173" s="9" t="s">
        <v>66</v>
      </c>
      <c r="O173" s="9" t="s">
        <v>51</v>
      </c>
      <c r="P173" s="9" t="n">
        <v>260941</v>
      </c>
      <c r="Q173" s="9" t="n">
        <v>196982</v>
      </c>
      <c r="R173" s="10" t="n">
        <f aca="false">(Q173/P173)*100</f>
        <v>75.4890952360879</v>
      </c>
      <c r="S173" s="9" t="n">
        <f aca="false">Y173-AD173</f>
        <v>16273</v>
      </c>
      <c r="T173" s="10" t="n">
        <f aca="false">(S173/Q173)*100</f>
        <v>8.26116091825649</v>
      </c>
      <c r="U173" s="10" t="n">
        <f aca="false">Z173+AE173</f>
        <v>79.6321491303774</v>
      </c>
      <c r="V173" s="9" t="s">
        <v>52</v>
      </c>
      <c r="W173" s="28" t="s">
        <v>905</v>
      </c>
      <c r="X173" s="9" t="s">
        <v>1049</v>
      </c>
      <c r="Y173" s="9" t="n">
        <v>86567</v>
      </c>
      <c r="Z173" s="10" t="n">
        <f aca="false">(Y173/Q173)*100</f>
        <v>43.946655024317</v>
      </c>
      <c r="AA173" s="9" t="s">
        <v>55</v>
      </c>
      <c r="AB173" s="9" t="s">
        <v>68</v>
      </c>
      <c r="AC173" s="9" t="s">
        <v>1050</v>
      </c>
      <c r="AD173" s="9" t="n">
        <v>70294</v>
      </c>
      <c r="AE173" s="10" t="n">
        <f aca="false">(AD173/Q173)*100</f>
        <v>35.6854941060605</v>
      </c>
      <c r="AF173" s="9" t="s">
        <v>60</v>
      </c>
      <c r="AG173" s="9" t="s">
        <v>74</v>
      </c>
      <c r="AH173" s="9" t="s">
        <v>1051</v>
      </c>
      <c r="AI173" s="9" t="n">
        <v>19778</v>
      </c>
      <c r="AJ173" s="10" t="n">
        <f aca="false">(AI173/Q173)*100</f>
        <v>10.0405113157547</v>
      </c>
      <c r="AK173" s="9" t="s">
        <v>58</v>
      </c>
      <c r="AL173" s="9" t="s">
        <v>58</v>
      </c>
      <c r="AM173" s="9" t="s">
        <v>1052</v>
      </c>
      <c r="AN173" s="9" t="n">
        <v>14724</v>
      </c>
      <c r="AO173" s="10" t="n">
        <f aca="false">(AN173/Q173)*100</f>
        <v>7.47479465128794</v>
      </c>
      <c r="AP173" s="9" t="s">
        <v>71</v>
      </c>
      <c r="AQ173" s="9" t="s">
        <v>72</v>
      </c>
      <c r="AR173" s="9" t="s">
        <v>1053</v>
      </c>
      <c r="AS173" s="9" t="n">
        <v>2032</v>
      </c>
      <c r="AT173" s="10" t="n">
        <f aca="false">(AS173/Q173)*100</f>
        <v>1.0315663360104</v>
      </c>
    </row>
    <row r="174" customFormat="false" ht="12.8" hidden="false" customHeight="true" outlineLevel="0" collapsed="false">
      <c r="A174" s="7" t="n">
        <v>2021</v>
      </c>
      <c r="B174" s="8" t="n">
        <v>173</v>
      </c>
      <c r="C174" s="9" t="s">
        <v>1054</v>
      </c>
      <c r="D174" s="9" t="s">
        <v>1036</v>
      </c>
      <c r="E174" s="9" t="s">
        <v>903</v>
      </c>
      <c r="F174" s="9" t="s">
        <v>1015</v>
      </c>
      <c r="G174" s="9" t="s">
        <v>50</v>
      </c>
      <c r="H174" s="9" t="s">
        <v>51</v>
      </c>
      <c r="I174" s="9" t="s">
        <v>51</v>
      </c>
      <c r="J174" s="9" t="s">
        <v>51</v>
      </c>
      <c r="K174" s="9" t="s">
        <v>53</v>
      </c>
      <c r="L174" s="9" t="s">
        <v>51</v>
      </c>
      <c r="M174" s="9" t="s">
        <v>51</v>
      </c>
      <c r="N174" s="9" t="s">
        <v>51</v>
      </c>
      <c r="O174" s="9" t="s">
        <v>51</v>
      </c>
      <c r="P174" s="9" t="n">
        <v>268590</v>
      </c>
      <c r="Q174" s="9" t="n">
        <v>211430</v>
      </c>
      <c r="R174" s="10" t="n">
        <f aca="false">(Q174/P174)*100</f>
        <v>78.7184928701739</v>
      </c>
      <c r="S174" s="9" t="n">
        <f aca="false">Y174-AD174</f>
        <v>53650</v>
      </c>
      <c r="T174" s="10" t="n">
        <f aca="false">(S174/Q174)*100</f>
        <v>25.3748285484558</v>
      </c>
      <c r="U174" s="10" t="n">
        <f aca="false">Z174+AE174</f>
        <v>72.2555928676158</v>
      </c>
      <c r="V174" s="9" t="s">
        <v>52</v>
      </c>
      <c r="W174" s="9" t="s">
        <v>53</v>
      </c>
      <c r="X174" s="9" t="s">
        <v>1055</v>
      </c>
      <c r="Y174" s="9" t="n">
        <v>103210</v>
      </c>
      <c r="Z174" s="10" t="n">
        <f aca="false">(Y174/Q174)*100</f>
        <v>48.8152107080358</v>
      </c>
      <c r="AA174" s="9" t="s">
        <v>55</v>
      </c>
      <c r="AB174" s="9" t="s">
        <v>171</v>
      </c>
      <c r="AC174" s="9" t="s">
        <v>1056</v>
      </c>
      <c r="AD174" s="9" t="n">
        <v>49560</v>
      </c>
      <c r="AE174" s="10" t="n">
        <f aca="false">(AD174/Q174)*100</f>
        <v>23.44038215958</v>
      </c>
      <c r="AF174" s="9" t="s">
        <v>60</v>
      </c>
      <c r="AG174" s="9" t="s">
        <v>74</v>
      </c>
      <c r="AH174" s="9" t="s">
        <v>1057</v>
      </c>
      <c r="AI174" s="9" t="n">
        <v>37469</v>
      </c>
      <c r="AJ174" s="10" t="n">
        <f aca="false">(AI174/Q174)*100</f>
        <v>17.7217045830771</v>
      </c>
      <c r="AK174" s="9" t="s">
        <v>58</v>
      </c>
      <c r="AL174" s="9" t="s">
        <v>58</v>
      </c>
      <c r="AM174" s="9" t="s">
        <v>1058</v>
      </c>
      <c r="AN174" s="9" t="n">
        <v>15820</v>
      </c>
      <c r="AO174" s="10" t="n">
        <f aca="false">(AN174/Q174)*100</f>
        <v>7.48238187579814</v>
      </c>
      <c r="AP174" s="29" t="s">
        <v>1059</v>
      </c>
      <c r="AQ174" s="29" t="s">
        <v>1059</v>
      </c>
      <c r="AR174" s="9" t="s">
        <v>1060</v>
      </c>
      <c r="AS174" s="9" t="n">
        <v>1215</v>
      </c>
      <c r="AT174" s="10" t="n">
        <f aca="false">(AS174/Q174)*100</f>
        <v>0.57465827933595</v>
      </c>
    </row>
    <row r="175" customFormat="false" ht="12.8" hidden="false" customHeight="true" outlineLevel="0" collapsed="false">
      <c r="A175" s="7" t="n">
        <v>2021</v>
      </c>
      <c r="B175" s="8" t="n">
        <v>174</v>
      </c>
      <c r="C175" s="9" t="s">
        <v>1036</v>
      </c>
      <c r="D175" s="9" t="s">
        <v>1036</v>
      </c>
      <c r="E175" s="9" t="s">
        <v>903</v>
      </c>
      <c r="F175" s="9" t="s">
        <v>1015</v>
      </c>
      <c r="G175" s="9" t="s">
        <v>88</v>
      </c>
      <c r="H175" s="9" t="s">
        <v>51</v>
      </c>
      <c r="I175" s="9" t="s">
        <v>526</v>
      </c>
      <c r="J175" s="9" t="s">
        <v>51</v>
      </c>
      <c r="K175" s="9" t="s">
        <v>53</v>
      </c>
      <c r="L175" s="9" t="s">
        <v>68</v>
      </c>
      <c r="M175" s="9" t="s">
        <v>53</v>
      </c>
      <c r="N175" s="9" t="s">
        <v>51</v>
      </c>
      <c r="O175" s="9" t="s">
        <v>169</v>
      </c>
      <c r="P175" s="9" t="n">
        <v>290936</v>
      </c>
      <c r="Q175" s="9" t="n">
        <v>194859</v>
      </c>
      <c r="R175" s="10" t="n">
        <f aca="false">(Q175/P175)*100</f>
        <v>66.9765859158028</v>
      </c>
      <c r="S175" s="9" t="n">
        <f aca="false">Y175-AD175</f>
        <v>47149</v>
      </c>
      <c r="T175" s="10" t="n">
        <f aca="false">(S175/Q175)*100</f>
        <v>24.1964702682452</v>
      </c>
      <c r="U175" s="10" t="n">
        <f aca="false">Z175+AE175</f>
        <v>82.3133650485736</v>
      </c>
      <c r="V175" s="9" t="s">
        <v>52</v>
      </c>
      <c r="W175" s="9" t="s">
        <v>53</v>
      </c>
      <c r="X175" s="9" t="s">
        <v>1061</v>
      </c>
      <c r="Y175" s="9" t="n">
        <v>103772</v>
      </c>
      <c r="Z175" s="10" t="n">
        <f aca="false">(Y175/Q175)*100</f>
        <v>53.2549176584094</v>
      </c>
      <c r="AA175" s="9" t="s">
        <v>55</v>
      </c>
      <c r="AB175" s="9" t="s">
        <v>68</v>
      </c>
      <c r="AC175" s="9" t="s">
        <v>1062</v>
      </c>
      <c r="AD175" s="9" t="n">
        <v>56623</v>
      </c>
      <c r="AE175" s="10" t="n">
        <f aca="false">(AD175/Q175)*100</f>
        <v>29.0584473901642</v>
      </c>
      <c r="AF175" s="9" t="s">
        <v>58</v>
      </c>
      <c r="AG175" s="9" t="s">
        <v>58</v>
      </c>
      <c r="AH175" s="9" t="s">
        <v>1063</v>
      </c>
      <c r="AI175" s="9" t="n">
        <v>17366</v>
      </c>
      <c r="AJ175" s="10" t="n">
        <f aca="false">(AI175/Q175)*100</f>
        <v>8.91208514874858</v>
      </c>
      <c r="AK175" s="9" t="s">
        <v>71</v>
      </c>
      <c r="AL175" s="9" t="s">
        <v>72</v>
      </c>
      <c r="AM175" s="9" t="s">
        <v>1064</v>
      </c>
      <c r="AN175" s="9" t="n">
        <v>9681</v>
      </c>
      <c r="AO175" s="10" t="n">
        <f aca="false">(AN175/Q175)*100</f>
        <v>4.96820778101089</v>
      </c>
      <c r="AP175" s="9" t="s">
        <v>60</v>
      </c>
      <c r="AQ175" s="9" t="s">
        <v>61</v>
      </c>
      <c r="AR175" s="9" t="s">
        <v>1065</v>
      </c>
      <c r="AS175" s="9" t="n">
        <v>4246</v>
      </c>
      <c r="AT175" s="10" t="n">
        <f aca="false">(AS175/Q175)*100</f>
        <v>2.1790114903597</v>
      </c>
    </row>
    <row r="176" customFormat="false" ht="12.8" hidden="false" customHeight="true" outlineLevel="0" collapsed="false">
      <c r="A176" s="7" t="n">
        <v>2021</v>
      </c>
      <c r="B176" s="8" t="n">
        <v>175</v>
      </c>
      <c r="C176" s="9" t="s">
        <v>1066</v>
      </c>
      <c r="D176" s="9" t="s">
        <v>1036</v>
      </c>
      <c r="E176" s="9" t="s">
        <v>903</v>
      </c>
      <c r="F176" s="9" t="s">
        <v>1015</v>
      </c>
      <c r="G176" s="9" t="s">
        <v>50</v>
      </c>
      <c r="H176" s="9" t="s">
        <v>51</v>
      </c>
      <c r="I176" s="9" t="s">
        <v>526</v>
      </c>
      <c r="J176" s="9" t="s">
        <v>51</v>
      </c>
      <c r="K176" s="9" t="s">
        <v>68</v>
      </c>
      <c r="L176" s="9" t="s">
        <v>68</v>
      </c>
      <c r="M176" s="9" t="s">
        <v>51</v>
      </c>
      <c r="N176" s="9" t="s">
        <v>51</v>
      </c>
      <c r="O176" s="9" t="s">
        <v>51</v>
      </c>
      <c r="P176" s="9" t="n">
        <v>243747</v>
      </c>
      <c r="Q176" s="9" t="n">
        <v>191840</v>
      </c>
      <c r="R176" s="10" t="n">
        <f aca="false">(Q176/P176)*100</f>
        <v>78.7045584150779</v>
      </c>
      <c r="S176" s="9" t="n">
        <f aca="false">Y176-AD176</f>
        <v>28835</v>
      </c>
      <c r="T176" s="10" t="n">
        <f aca="false">(S176/Q176)*100</f>
        <v>15.0307547956631</v>
      </c>
      <c r="U176" s="10" t="n">
        <f aca="false">Z176+AE176</f>
        <v>78.8631150959133</v>
      </c>
      <c r="V176" s="9" t="s">
        <v>55</v>
      </c>
      <c r="W176" s="9" t="s">
        <v>68</v>
      </c>
      <c r="X176" s="9" t="s">
        <v>1067</v>
      </c>
      <c r="Y176" s="9" t="n">
        <v>90063</v>
      </c>
      <c r="Z176" s="10" t="n">
        <f aca="false">(Y176/Q176)*100</f>
        <v>46.9469349457882</v>
      </c>
      <c r="AA176" s="9" t="s">
        <v>52</v>
      </c>
      <c r="AB176" s="9" t="s">
        <v>53</v>
      </c>
      <c r="AC176" s="9" t="s">
        <v>1068</v>
      </c>
      <c r="AD176" s="9" t="n">
        <v>61228</v>
      </c>
      <c r="AE176" s="10" t="n">
        <f aca="false">(AD176/Q176)*100</f>
        <v>31.9161801501251</v>
      </c>
      <c r="AF176" s="9" t="s">
        <v>60</v>
      </c>
      <c r="AG176" s="9" t="s">
        <v>74</v>
      </c>
      <c r="AH176" s="9" t="s">
        <v>1069</v>
      </c>
      <c r="AI176" s="9" t="n">
        <v>26022</v>
      </c>
      <c r="AJ176" s="10" t="n">
        <f aca="false">(AI176/Q176)*100</f>
        <v>13.5644286905755</v>
      </c>
      <c r="AK176" s="9" t="s">
        <v>58</v>
      </c>
      <c r="AL176" s="9" t="s">
        <v>58</v>
      </c>
      <c r="AM176" s="9" t="s">
        <v>1070</v>
      </c>
      <c r="AN176" s="9" t="n">
        <v>9050</v>
      </c>
      <c r="AO176" s="10" t="n">
        <f aca="false">(AN176/Q176)*100</f>
        <v>4.7174728940784</v>
      </c>
      <c r="AP176" s="9" t="s">
        <v>197</v>
      </c>
      <c r="AQ176" s="9" t="s">
        <v>197</v>
      </c>
      <c r="AR176" s="9" t="s">
        <v>1071</v>
      </c>
      <c r="AS176" s="9" t="n">
        <v>2041</v>
      </c>
      <c r="AT176" s="10" t="n">
        <f aca="false">(AS176/Q176)*100</f>
        <v>1.06390742285238</v>
      </c>
    </row>
    <row r="177" customFormat="false" ht="12.8" hidden="false" customHeight="true" outlineLevel="0" collapsed="false">
      <c r="A177" s="7" t="n">
        <v>2021</v>
      </c>
      <c r="B177" s="8" t="n">
        <v>176</v>
      </c>
      <c r="C177" s="9" t="s">
        <v>1072</v>
      </c>
      <c r="D177" s="9" t="s">
        <v>1036</v>
      </c>
      <c r="E177" s="9" t="s">
        <v>903</v>
      </c>
      <c r="F177" s="9" t="s">
        <v>1015</v>
      </c>
      <c r="G177" s="9" t="s">
        <v>77</v>
      </c>
      <c r="H177" s="9" t="s">
        <v>51</v>
      </c>
      <c r="I177" s="9" t="s">
        <v>51</v>
      </c>
      <c r="J177" s="9" t="s">
        <v>51</v>
      </c>
      <c r="K177" s="9" t="s">
        <v>51</v>
      </c>
      <c r="L177" s="9" t="s">
        <v>66</v>
      </c>
      <c r="M177" s="9" t="s">
        <v>51</v>
      </c>
      <c r="N177" s="9" t="s">
        <v>51</v>
      </c>
      <c r="O177" s="9" t="s">
        <v>51</v>
      </c>
      <c r="P177" s="9" t="n">
        <v>245863</v>
      </c>
      <c r="Q177" s="9" t="n">
        <v>177200</v>
      </c>
      <c r="R177" s="10" t="n">
        <f aca="false">(Q177/P177)*100</f>
        <v>72.0726583503821</v>
      </c>
      <c r="S177" s="9" t="n">
        <f aca="false">Y177-AD177</f>
        <v>25269</v>
      </c>
      <c r="T177" s="10" t="n">
        <f aca="false">(S177/Q177)*100</f>
        <v>14.260158013544</v>
      </c>
      <c r="U177" s="10" t="n">
        <f aca="false">Z177+AE177</f>
        <v>74.9779909706546</v>
      </c>
      <c r="V177" s="9" t="s">
        <v>52</v>
      </c>
      <c r="W177" s="9" t="s">
        <v>53</v>
      </c>
      <c r="X177" s="9" t="s">
        <v>1073</v>
      </c>
      <c r="Y177" s="9" t="n">
        <v>79065</v>
      </c>
      <c r="Z177" s="10" t="n">
        <f aca="false">(Y177/Q177)*100</f>
        <v>44.6190744920993</v>
      </c>
      <c r="AA177" s="9" t="s">
        <v>55</v>
      </c>
      <c r="AB177" s="9" t="s">
        <v>68</v>
      </c>
      <c r="AC177" s="9" t="s">
        <v>1074</v>
      </c>
      <c r="AD177" s="9" t="n">
        <v>53796</v>
      </c>
      <c r="AE177" s="10" t="n">
        <f aca="false">(AD177/Q177)*100</f>
        <v>30.3589164785553</v>
      </c>
      <c r="AF177" s="9" t="s">
        <v>197</v>
      </c>
      <c r="AG177" s="9" t="s">
        <v>197</v>
      </c>
      <c r="AH177" s="9" t="s">
        <v>1075</v>
      </c>
      <c r="AI177" s="9" t="n">
        <v>23771</v>
      </c>
      <c r="AJ177" s="10" t="n">
        <f aca="false">(AI177/Q177)*100</f>
        <v>13.4147855530474</v>
      </c>
      <c r="AK177" s="9" t="s">
        <v>58</v>
      </c>
      <c r="AL177" s="9" t="s">
        <v>58</v>
      </c>
      <c r="AM177" s="9" t="s">
        <v>1076</v>
      </c>
      <c r="AN177" s="9" t="n">
        <v>10730</v>
      </c>
      <c r="AO177" s="10" t="n">
        <f aca="false">(AN177/Q177)*100</f>
        <v>6.05530474040632</v>
      </c>
      <c r="AP177" s="9" t="s">
        <v>60</v>
      </c>
      <c r="AQ177" s="9" t="s">
        <v>74</v>
      </c>
      <c r="AR177" s="9" t="s">
        <v>1077</v>
      </c>
      <c r="AS177" s="9" t="n">
        <v>5223</v>
      </c>
      <c r="AT177" s="10" t="n">
        <f aca="false">(AS177/Q177)*100</f>
        <v>2.94751693002257</v>
      </c>
    </row>
    <row r="178" customFormat="false" ht="12.8" hidden="false" customHeight="true" outlineLevel="0" collapsed="false">
      <c r="A178" s="7" t="n">
        <v>2021</v>
      </c>
      <c r="B178" s="8" t="n">
        <v>177</v>
      </c>
      <c r="C178" s="9" t="s">
        <v>1078</v>
      </c>
      <c r="D178" s="9" t="s">
        <v>1036</v>
      </c>
      <c r="E178" s="9" t="s">
        <v>903</v>
      </c>
      <c r="F178" s="9" t="s">
        <v>1015</v>
      </c>
      <c r="G178" s="9" t="s">
        <v>50</v>
      </c>
      <c r="H178" s="9" t="s">
        <v>51</v>
      </c>
      <c r="I178" s="9" t="s">
        <v>51</v>
      </c>
      <c r="J178" s="9" t="s">
        <v>51</v>
      </c>
      <c r="K178" s="9" t="s">
        <v>51</v>
      </c>
      <c r="L178" s="9" t="s">
        <v>68</v>
      </c>
      <c r="M178" s="9" t="s">
        <v>51</v>
      </c>
      <c r="N178" s="9" t="s">
        <v>51</v>
      </c>
      <c r="O178" s="9" t="s">
        <v>51</v>
      </c>
      <c r="P178" s="9" t="n">
        <v>220162</v>
      </c>
      <c r="Q178" s="9" t="n">
        <v>170850</v>
      </c>
      <c r="R178" s="10" t="n">
        <f aca="false">(Q178/P178)*100</f>
        <v>77.6019476567255</v>
      </c>
      <c r="S178" s="9" t="n">
        <f aca="false">Y178-AD178</f>
        <v>23503</v>
      </c>
      <c r="T178" s="10" t="n">
        <f aca="false">(S178/Q178)*100</f>
        <v>13.7565115598478</v>
      </c>
      <c r="U178" s="10" t="n">
        <f aca="false">Z178+AE178</f>
        <v>90.5806262803629</v>
      </c>
      <c r="V178" s="9" t="s">
        <v>52</v>
      </c>
      <c r="W178" s="9" t="s">
        <v>53</v>
      </c>
      <c r="X178" s="9" t="s">
        <v>1079</v>
      </c>
      <c r="Y178" s="9" t="n">
        <v>89130</v>
      </c>
      <c r="Z178" s="10" t="n">
        <f aca="false">(Y178/Q178)*100</f>
        <v>52.1685689201054</v>
      </c>
      <c r="AA178" s="9" t="s">
        <v>55</v>
      </c>
      <c r="AB178" s="9" t="s">
        <v>68</v>
      </c>
      <c r="AC178" s="9" t="s">
        <v>1080</v>
      </c>
      <c r="AD178" s="9" t="n">
        <v>65627</v>
      </c>
      <c r="AE178" s="10" t="n">
        <f aca="false">(AD178/Q178)*100</f>
        <v>38.4120573602575</v>
      </c>
      <c r="AF178" s="9" t="s">
        <v>58</v>
      </c>
      <c r="AG178" s="9" t="s">
        <v>58</v>
      </c>
      <c r="AH178" s="9" t="s">
        <v>1081</v>
      </c>
      <c r="AI178" s="9" t="n">
        <v>12154</v>
      </c>
      <c r="AJ178" s="10" t="n">
        <f aca="false">(AI178/Q178)*100</f>
        <v>7.11384255194615</v>
      </c>
      <c r="AK178" s="9" t="s">
        <v>60</v>
      </c>
      <c r="AL178" s="9" t="s">
        <v>61</v>
      </c>
      <c r="AM178" s="9" t="s">
        <v>1082</v>
      </c>
      <c r="AN178" s="9" t="n">
        <v>1623</v>
      </c>
      <c r="AO178" s="10" t="n">
        <f aca="false">(AN178/Q178)*100</f>
        <v>0.949956101843723</v>
      </c>
      <c r="AP178" s="9" t="s">
        <v>63</v>
      </c>
      <c r="AQ178" s="9" t="s">
        <v>63</v>
      </c>
      <c r="AR178" s="9" t="s">
        <v>63</v>
      </c>
      <c r="AS178" s="9" t="n">
        <v>770</v>
      </c>
      <c r="AT178" s="10" t="n">
        <f aca="false">(AS178/Q178)*100</f>
        <v>0.45068773778168</v>
      </c>
    </row>
    <row r="179" customFormat="false" ht="12.8" hidden="false" customHeight="true" outlineLevel="0" collapsed="false">
      <c r="A179" s="7" t="n">
        <v>2021</v>
      </c>
      <c r="B179" s="8" t="n">
        <v>178</v>
      </c>
      <c r="C179" s="9" t="s">
        <v>1083</v>
      </c>
      <c r="D179" s="9" t="s">
        <v>1084</v>
      </c>
      <c r="E179" s="9" t="s">
        <v>192</v>
      </c>
      <c r="F179" s="9" t="s">
        <v>1085</v>
      </c>
      <c r="G179" s="9" t="s">
        <v>50</v>
      </c>
      <c r="H179" s="9" t="s">
        <v>65</v>
      </c>
      <c r="I179" s="9" t="s">
        <v>51</v>
      </c>
      <c r="J179" s="9" t="s">
        <v>51</v>
      </c>
      <c r="K179" s="9" t="s">
        <v>51</v>
      </c>
      <c r="L179" s="9" t="s">
        <v>51</v>
      </c>
      <c r="M179" s="9" t="s">
        <v>51</v>
      </c>
      <c r="N179" s="9" t="s">
        <v>51</v>
      </c>
      <c r="O179" s="9" t="s">
        <v>51</v>
      </c>
      <c r="P179" s="9" t="n">
        <v>201607</v>
      </c>
      <c r="Q179" s="9" t="n">
        <v>157620</v>
      </c>
      <c r="R179" s="10" t="n">
        <f aca="false">(Q179/P179)*100</f>
        <v>78.1818091633723</v>
      </c>
      <c r="S179" s="9" t="n">
        <f aca="false">Y179-AD179</f>
        <v>12721</v>
      </c>
      <c r="T179" s="10" t="n">
        <f aca="false">(S179/Q179)*100</f>
        <v>8.07067631011293</v>
      </c>
      <c r="U179" s="10" t="n">
        <f aca="false">Z179+AE179</f>
        <v>80.3825656642558</v>
      </c>
      <c r="V179" s="9" t="s">
        <v>52</v>
      </c>
      <c r="W179" s="9" t="s">
        <v>422</v>
      </c>
      <c r="X179" s="9" t="s">
        <v>1086</v>
      </c>
      <c r="Y179" s="9" t="n">
        <v>69710</v>
      </c>
      <c r="Z179" s="10" t="n">
        <f aca="false">(Y179/Q179)*100</f>
        <v>44.2266209871844</v>
      </c>
      <c r="AA179" s="9" t="s">
        <v>55</v>
      </c>
      <c r="AB179" s="9" t="s">
        <v>68</v>
      </c>
      <c r="AC179" s="9" t="s">
        <v>1087</v>
      </c>
      <c r="AD179" s="9" t="n">
        <v>56989</v>
      </c>
      <c r="AE179" s="10" t="n">
        <f aca="false">(AD179/Q179)*100</f>
        <v>36.1559446770714</v>
      </c>
      <c r="AF179" s="9" t="s">
        <v>60</v>
      </c>
      <c r="AG179" s="9" t="s">
        <v>74</v>
      </c>
      <c r="AH179" s="9" t="s">
        <v>1088</v>
      </c>
      <c r="AI179" s="9" t="n">
        <v>12840</v>
      </c>
      <c r="AJ179" s="10" t="n">
        <f aca="false">(AI179/Q179)*100</f>
        <v>8.14617434335744</v>
      </c>
      <c r="AK179" s="9" t="s">
        <v>58</v>
      </c>
      <c r="AL179" s="9" t="s">
        <v>58</v>
      </c>
      <c r="AM179" s="9" t="s">
        <v>1089</v>
      </c>
      <c r="AN179" s="9" t="n">
        <v>12661</v>
      </c>
      <c r="AO179" s="10" t="n">
        <f aca="false">(AN179/Q179)*100</f>
        <v>8.0326100748636</v>
      </c>
      <c r="AP179" s="9" t="s">
        <v>63</v>
      </c>
      <c r="AQ179" s="9" t="s">
        <v>63</v>
      </c>
      <c r="AR179" s="9" t="s">
        <v>63</v>
      </c>
      <c r="AS179" s="9" t="n">
        <v>1390</v>
      </c>
      <c r="AT179" s="10" t="n">
        <f aca="false">(AS179/Q179)*100</f>
        <v>0.881867783276234</v>
      </c>
    </row>
    <row r="180" customFormat="false" ht="12.8" hidden="false" customHeight="true" outlineLevel="0" collapsed="false">
      <c r="A180" s="7" t="n">
        <v>2021</v>
      </c>
      <c r="B180" s="8" t="n">
        <v>179</v>
      </c>
      <c r="C180" s="9" t="s">
        <v>1090</v>
      </c>
      <c r="D180" s="9" t="s">
        <v>1084</v>
      </c>
      <c r="E180" s="9" t="s">
        <v>192</v>
      </c>
      <c r="F180" s="9" t="s">
        <v>1085</v>
      </c>
      <c r="G180" s="9" t="s">
        <v>50</v>
      </c>
      <c r="H180" s="9" t="s">
        <v>51</v>
      </c>
      <c r="I180" s="9" t="s">
        <v>51</v>
      </c>
      <c r="J180" s="9" t="s">
        <v>51</v>
      </c>
      <c r="K180" s="9" t="s">
        <v>68</v>
      </c>
      <c r="L180" s="9" t="s">
        <v>51</v>
      </c>
      <c r="M180" s="9" t="s">
        <v>68</v>
      </c>
      <c r="N180" s="9" t="s">
        <v>51</v>
      </c>
      <c r="O180" s="9" t="s">
        <v>51</v>
      </c>
      <c r="P180" s="9" t="n">
        <v>225189</v>
      </c>
      <c r="Q180" s="9" t="n">
        <v>193423</v>
      </c>
      <c r="R180" s="10" t="n">
        <f aca="false">(Q180/P180)*100</f>
        <v>85.8936271309878</v>
      </c>
      <c r="S180" s="9" t="n">
        <f aca="false">Y180-AD180</f>
        <v>23598</v>
      </c>
      <c r="T180" s="10" t="n">
        <f aca="false">(S180/Q180)*100</f>
        <v>12.2002036986294</v>
      </c>
      <c r="U180" s="10" t="n">
        <f aca="false">Z180+AE180</f>
        <v>93.4532087704151</v>
      </c>
      <c r="V180" s="9" t="s">
        <v>55</v>
      </c>
      <c r="W180" s="9" t="s">
        <v>68</v>
      </c>
      <c r="X180" s="9" t="s">
        <v>1091</v>
      </c>
      <c r="Y180" s="9" t="n">
        <v>102179</v>
      </c>
      <c r="Z180" s="10" t="n">
        <f aca="false">(Y180/Q180)*100</f>
        <v>52.8267062345223</v>
      </c>
      <c r="AA180" s="9" t="s">
        <v>52</v>
      </c>
      <c r="AB180" s="9" t="s">
        <v>53</v>
      </c>
      <c r="AC180" s="9" t="s">
        <v>1092</v>
      </c>
      <c r="AD180" s="9" t="n">
        <v>78581</v>
      </c>
      <c r="AE180" s="10" t="n">
        <f aca="false">(AD180/Q180)*100</f>
        <v>40.6265025358928</v>
      </c>
      <c r="AF180" s="9" t="s">
        <v>58</v>
      </c>
      <c r="AG180" s="9" t="s">
        <v>58</v>
      </c>
      <c r="AH180" s="9" t="s">
        <v>1093</v>
      </c>
      <c r="AI180" s="9" t="n">
        <v>7035</v>
      </c>
      <c r="AJ180" s="10" t="n">
        <f aca="false">(AI180/Q180)*100</f>
        <v>3.63710623865828</v>
      </c>
      <c r="AK180" s="9" t="s">
        <v>60</v>
      </c>
      <c r="AL180" s="9" t="s">
        <v>74</v>
      </c>
      <c r="AM180" s="9" t="s">
        <v>1094</v>
      </c>
      <c r="AN180" s="9" t="n">
        <v>1228</v>
      </c>
      <c r="AO180" s="10" t="n">
        <f aca="false">(AN180/Q180)*100</f>
        <v>0.634877961772902</v>
      </c>
      <c r="AP180" s="9" t="s">
        <v>197</v>
      </c>
      <c r="AQ180" s="9" t="s">
        <v>197</v>
      </c>
      <c r="AR180" s="9" t="s">
        <v>1095</v>
      </c>
      <c r="AS180" s="9" t="n">
        <v>620</v>
      </c>
      <c r="AT180" s="10" t="n">
        <f aca="false">(AS180/Q180)*100</f>
        <v>0.320540990471661</v>
      </c>
    </row>
    <row r="181" customFormat="false" ht="12.8" hidden="false" customHeight="true" outlineLevel="0" collapsed="false">
      <c r="A181" s="7" t="n">
        <v>2021</v>
      </c>
      <c r="B181" s="8" t="n">
        <v>180</v>
      </c>
      <c r="C181" s="9" t="s">
        <v>1096</v>
      </c>
      <c r="D181" s="9" t="s">
        <v>1084</v>
      </c>
      <c r="E181" s="9" t="s">
        <v>192</v>
      </c>
      <c r="F181" s="9" t="s">
        <v>1085</v>
      </c>
      <c r="G181" s="9" t="s">
        <v>88</v>
      </c>
      <c r="H181" s="9" t="s">
        <v>51</v>
      </c>
      <c r="I181" s="9" t="s">
        <v>51</v>
      </c>
      <c r="J181" s="9" t="s">
        <v>51</v>
      </c>
      <c r="K181" s="9" t="s">
        <v>51</v>
      </c>
      <c r="L181" s="9" t="s">
        <v>51</v>
      </c>
      <c r="M181" s="9" t="s">
        <v>51</v>
      </c>
      <c r="N181" s="9" t="s">
        <v>66</v>
      </c>
      <c r="O181" s="9" t="s">
        <v>51</v>
      </c>
      <c r="P181" s="9" t="n">
        <v>244029</v>
      </c>
      <c r="Q181" s="9" t="n">
        <v>179892</v>
      </c>
      <c r="R181" s="10" t="n">
        <f aca="false">(Q181/P181)*100</f>
        <v>73.7174680058518</v>
      </c>
      <c r="S181" s="9" t="n">
        <f aca="false">Y181-AD181</f>
        <v>13001</v>
      </c>
      <c r="T181" s="10" t="n">
        <f aca="false">(S181/Q181)*100</f>
        <v>7.2271140462055</v>
      </c>
      <c r="U181" s="10" t="n">
        <f aca="false">Z181+AE181</f>
        <v>88.1656771840882</v>
      </c>
      <c r="V181" s="9" t="s">
        <v>52</v>
      </c>
      <c r="W181" s="9" t="s">
        <v>53</v>
      </c>
      <c r="X181" s="9" t="s">
        <v>1097</v>
      </c>
      <c r="Y181" s="9" t="n">
        <v>85802</v>
      </c>
      <c r="Z181" s="10" t="n">
        <f aca="false">(Y181/Q181)*100</f>
        <v>47.6963956151469</v>
      </c>
      <c r="AA181" s="9" t="s">
        <v>55</v>
      </c>
      <c r="AB181" s="9" t="s">
        <v>68</v>
      </c>
      <c r="AC181" s="9" t="s">
        <v>1098</v>
      </c>
      <c r="AD181" s="9" t="n">
        <v>72801</v>
      </c>
      <c r="AE181" s="10" t="n">
        <f aca="false">(AD181/Q181)*100</f>
        <v>40.4692815689414</v>
      </c>
      <c r="AF181" s="9" t="s">
        <v>58</v>
      </c>
      <c r="AG181" s="9" t="s">
        <v>58</v>
      </c>
      <c r="AH181" s="9" t="s">
        <v>1099</v>
      </c>
      <c r="AI181" s="9" t="n">
        <v>11503</v>
      </c>
      <c r="AJ181" s="10" t="n">
        <f aca="false">(AI181/Q181)*100</f>
        <v>6.39439219087008</v>
      </c>
      <c r="AK181" s="9" t="s">
        <v>71</v>
      </c>
      <c r="AL181" s="9" t="s">
        <v>72</v>
      </c>
      <c r="AM181" s="9" t="s">
        <v>1100</v>
      </c>
      <c r="AN181" s="9" t="n">
        <v>3948</v>
      </c>
      <c r="AO181" s="10" t="n">
        <f aca="false">(AN181/Q181)*100</f>
        <v>2.19465012340738</v>
      </c>
      <c r="AP181" s="9" t="s">
        <v>60</v>
      </c>
      <c r="AQ181" s="9" t="s">
        <v>61</v>
      </c>
      <c r="AR181" s="9" t="s">
        <v>1101</v>
      </c>
      <c r="AS181" s="9" t="n">
        <v>1873</v>
      </c>
      <c r="AT181" s="10" t="n">
        <f aca="false">(AS181/Q181)*100</f>
        <v>1.04118026371378</v>
      </c>
    </row>
    <row r="182" customFormat="false" ht="12.8" hidden="false" customHeight="true" outlineLevel="0" collapsed="false">
      <c r="A182" s="7" t="n">
        <v>2021</v>
      </c>
      <c r="B182" s="8" t="n">
        <v>181</v>
      </c>
      <c r="C182" s="9" t="s">
        <v>1102</v>
      </c>
      <c r="D182" s="9" t="s">
        <v>1084</v>
      </c>
      <c r="E182" s="9" t="s">
        <v>192</v>
      </c>
      <c r="F182" s="9" t="s">
        <v>1085</v>
      </c>
      <c r="G182" s="9" t="s">
        <v>50</v>
      </c>
      <c r="H182" s="9" t="s">
        <v>51</v>
      </c>
      <c r="I182" s="9" t="s">
        <v>51</v>
      </c>
      <c r="J182" s="9" t="s">
        <v>51</v>
      </c>
      <c r="K182" s="9" t="s">
        <v>53</v>
      </c>
      <c r="L182" s="9" t="s">
        <v>51</v>
      </c>
      <c r="M182" s="9" t="s">
        <v>51</v>
      </c>
      <c r="N182" s="9" t="s">
        <v>51</v>
      </c>
      <c r="O182" s="9" t="s">
        <v>51</v>
      </c>
      <c r="P182" s="9" t="n">
        <v>227883</v>
      </c>
      <c r="Q182" s="9" t="n">
        <v>174031</v>
      </c>
      <c r="R182" s="10" t="n">
        <f aca="false">(Q182/P182)*100</f>
        <v>76.3685751021358</v>
      </c>
      <c r="S182" s="9" t="n">
        <f aca="false">Y182-AD182</f>
        <v>1382</v>
      </c>
      <c r="T182" s="10" t="n">
        <f aca="false">(S182/Q182)*100</f>
        <v>0.794111393947055</v>
      </c>
      <c r="U182" s="10" t="n">
        <f aca="false">Z182+AE182</f>
        <v>81.2016249978452</v>
      </c>
      <c r="V182" s="9" t="s">
        <v>52</v>
      </c>
      <c r="W182" s="9" t="s">
        <v>53</v>
      </c>
      <c r="X182" s="9" t="s">
        <v>1103</v>
      </c>
      <c r="Y182" s="9" t="n">
        <v>71349</v>
      </c>
      <c r="Z182" s="10" t="n">
        <f aca="false">(Y182/Q182)*100</f>
        <v>40.9978681958961</v>
      </c>
      <c r="AA182" s="9" t="s">
        <v>55</v>
      </c>
      <c r="AB182" s="9" t="s">
        <v>68</v>
      </c>
      <c r="AC182" s="9" t="s">
        <v>1104</v>
      </c>
      <c r="AD182" s="9" t="n">
        <v>69967</v>
      </c>
      <c r="AE182" s="10" t="n">
        <f aca="false">(AD182/Q182)*100</f>
        <v>40.2037568019491</v>
      </c>
      <c r="AF182" s="9" t="s">
        <v>197</v>
      </c>
      <c r="AG182" s="9" t="s">
        <v>197</v>
      </c>
      <c r="AH182" s="9" t="s">
        <v>438</v>
      </c>
      <c r="AI182" s="9" t="n">
        <v>15144</v>
      </c>
      <c r="AJ182" s="10" t="n">
        <f aca="false">(AI182/Q182)*100</f>
        <v>8.70189793772374</v>
      </c>
      <c r="AK182" s="9" t="s">
        <v>58</v>
      </c>
      <c r="AL182" s="9" t="s">
        <v>58</v>
      </c>
      <c r="AM182" s="9" t="s">
        <v>1105</v>
      </c>
      <c r="AN182" s="9" t="n">
        <v>11061</v>
      </c>
      <c r="AO182" s="10" t="n">
        <f aca="false">(AN182/Q182)*100</f>
        <v>6.35576420292936</v>
      </c>
      <c r="AP182" s="9" t="s">
        <v>60</v>
      </c>
      <c r="AQ182" s="9" t="s">
        <v>74</v>
      </c>
      <c r="AR182" s="9" t="s">
        <v>1106</v>
      </c>
      <c r="AS182" s="9" t="n">
        <v>1503</v>
      </c>
      <c r="AT182" s="10" t="n">
        <f aca="false">(AS182/Q182)*100</f>
        <v>0.863639236687717</v>
      </c>
    </row>
    <row r="183" customFormat="false" ht="12.8" hidden="false" customHeight="true" outlineLevel="0" collapsed="false">
      <c r="A183" s="7" t="n">
        <v>2021</v>
      </c>
      <c r="B183" s="8" t="n">
        <v>182</v>
      </c>
      <c r="C183" s="9" t="s">
        <v>1107</v>
      </c>
      <c r="D183" s="9" t="s">
        <v>1084</v>
      </c>
      <c r="E183" s="9" t="s">
        <v>192</v>
      </c>
      <c r="F183" s="9" t="s">
        <v>1085</v>
      </c>
      <c r="G183" s="9" t="s">
        <v>50</v>
      </c>
      <c r="H183" s="9" t="s">
        <v>51</v>
      </c>
      <c r="I183" s="9" t="s">
        <v>51</v>
      </c>
      <c r="J183" s="9" t="s">
        <v>51</v>
      </c>
      <c r="K183" s="9" t="s">
        <v>51</v>
      </c>
      <c r="L183" s="9" t="s">
        <v>68</v>
      </c>
      <c r="M183" s="9" t="s">
        <v>51</v>
      </c>
      <c r="N183" s="9" t="s">
        <v>51</v>
      </c>
      <c r="O183" s="9" t="s">
        <v>51</v>
      </c>
      <c r="P183" s="9" t="n">
        <v>217344</v>
      </c>
      <c r="Q183" s="9" t="n">
        <v>171842</v>
      </c>
      <c r="R183" s="10" t="n">
        <f aca="false">(Q183/P183)*100</f>
        <v>79.0645244405183</v>
      </c>
      <c r="S183" s="9" t="n">
        <f aca="false">Y183-AD183</f>
        <v>25847</v>
      </c>
      <c r="T183" s="10" t="n">
        <f aca="false">(S183/Q183)*100</f>
        <v>15.0411424448039</v>
      </c>
      <c r="U183" s="10" t="n">
        <f aca="false">Z183+AE183</f>
        <v>87.3028712421876</v>
      </c>
      <c r="V183" s="9" t="s">
        <v>52</v>
      </c>
      <c r="W183" s="9" t="s">
        <v>53</v>
      </c>
      <c r="X183" s="9" t="s">
        <v>1108</v>
      </c>
      <c r="Y183" s="9" t="n">
        <v>87935</v>
      </c>
      <c r="Z183" s="10" t="n">
        <f aca="false">(Y183/Q183)*100</f>
        <v>51.1720068434958</v>
      </c>
      <c r="AA183" s="9" t="s">
        <v>55</v>
      </c>
      <c r="AB183" s="9" t="s">
        <v>68</v>
      </c>
      <c r="AC183" s="9" t="s">
        <v>1109</v>
      </c>
      <c r="AD183" s="9" t="n">
        <v>62088</v>
      </c>
      <c r="AE183" s="10" t="n">
        <f aca="false">(AD183/Q183)*100</f>
        <v>36.1308643986918</v>
      </c>
      <c r="AF183" s="9" t="s">
        <v>58</v>
      </c>
      <c r="AG183" s="9" t="s">
        <v>58</v>
      </c>
      <c r="AH183" s="9" t="s">
        <v>1110</v>
      </c>
      <c r="AI183" s="9" t="n">
        <v>15477</v>
      </c>
      <c r="AJ183" s="10" t="n">
        <f aca="false">(AI183/Q183)*100</f>
        <v>9.00652925361669</v>
      </c>
      <c r="AK183" s="9" t="s">
        <v>60</v>
      </c>
      <c r="AL183" s="9" t="s">
        <v>74</v>
      </c>
      <c r="AM183" s="9" t="s">
        <v>1111</v>
      </c>
      <c r="AN183" s="9" t="n">
        <v>2924</v>
      </c>
      <c r="AO183" s="10" t="n">
        <f aca="false">(AN183/Q183)*100</f>
        <v>1.7015630637446</v>
      </c>
      <c r="AP183" s="9" t="s">
        <v>71</v>
      </c>
      <c r="AQ183" s="9" t="s">
        <v>72</v>
      </c>
      <c r="AR183" s="9" t="s">
        <v>1112</v>
      </c>
      <c r="AS183" s="9" t="n">
        <v>1230</v>
      </c>
      <c r="AT183" s="10" t="n">
        <f aca="false">(AS183/Q183)*100</f>
        <v>0.715773792204467</v>
      </c>
    </row>
    <row r="184" customFormat="false" ht="12.8" hidden="false" customHeight="true" outlineLevel="0" collapsed="false">
      <c r="A184" s="7" t="n">
        <v>2021</v>
      </c>
      <c r="B184" s="8" t="n">
        <v>183</v>
      </c>
      <c r="C184" s="9" t="s">
        <v>1113</v>
      </c>
      <c r="D184" s="9" t="s">
        <v>1084</v>
      </c>
      <c r="E184" s="9" t="s">
        <v>192</v>
      </c>
      <c r="F184" s="9" t="s">
        <v>1085</v>
      </c>
      <c r="G184" s="9" t="s">
        <v>50</v>
      </c>
      <c r="H184" s="9" t="s">
        <v>51</v>
      </c>
      <c r="I184" s="9" t="s">
        <v>526</v>
      </c>
      <c r="J184" s="9" t="s">
        <v>51</v>
      </c>
      <c r="K184" s="9" t="s">
        <v>51</v>
      </c>
      <c r="L184" s="30" t="s">
        <v>1114</v>
      </c>
      <c r="M184" s="9" t="s">
        <v>51</v>
      </c>
      <c r="N184" s="30" t="s">
        <v>1114</v>
      </c>
      <c r="O184" s="9" t="s">
        <v>51</v>
      </c>
      <c r="P184" s="9" t="n">
        <v>237024</v>
      </c>
      <c r="Q184" s="9" t="n">
        <v>168048</v>
      </c>
      <c r="R184" s="10" t="n">
        <f aca="false">(Q184/P184)*100</f>
        <v>70.8991494532199</v>
      </c>
      <c r="S184" s="9" t="n">
        <f aca="false">Y184-AD184</f>
        <v>30893</v>
      </c>
      <c r="T184" s="10" t="n">
        <f aca="false">(S184/Q184)*100</f>
        <v>18.3834380653147</v>
      </c>
      <c r="U184" s="10" t="n">
        <f aca="false">Z184+AE184</f>
        <v>79.011353898886</v>
      </c>
      <c r="V184" s="9" t="s">
        <v>52</v>
      </c>
      <c r="W184" s="9" t="s">
        <v>66</v>
      </c>
      <c r="X184" s="9" t="s">
        <v>393</v>
      </c>
      <c r="Y184" s="9" t="n">
        <v>81835</v>
      </c>
      <c r="Z184" s="10" t="n">
        <f aca="false">(Y184/Q184)*100</f>
        <v>48.6973959821004</v>
      </c>
      <c r="AA184" s="9" t="s">
        <v>55</v>
      </c>
      <c r="AB184" s="9" t="s">
        <v>68</v>
      </c>
      <c r="AC184" s="9" t="s">
        <v>1115</v>
      </c>
      <c r="AD184" s="9" t="n">
        <v>50942</v>
      </c>
      <c r="AE184" s="10" t="n">
        <f aca="false">(AD184/Q184)*100</f>
        <v>30.3139579167857</v>
      </c>
      <c r="AF184" s="9" t="s">
        <v>58</v>
      </c>
      <c r="AG184" s="9" t="s">
        <v>58</v>
      </c>
      <c r="AH184" s="9" t="s">
        <v>1116</v>
      </c>
      <c r="AI184" s="9" t="n">
        <v>18460</v>
      </c>
      <c r="AJ184" s="10" t="n">
        <f aca="false">(AI184/Q184)*100</f>
        <v>10.9849566790441</v>
      </c>
      <c r="AK184" s="9" t="s">
        <v>60</v>
      </c>
      <c r="AL184" s="9" t="s">
        <v>74</v>
      </c>
      <c r="AM184" s="9" t="s">
        <v>1117</v>
      </c>
      <c r="AN184" s="9" t="n">
        <v>4699</v>
      </c>
      <c r="AO184" s="10" t="n">
        <f aca="false">(AN184/Q184)*100</f>
        <v>2.7962248881272</v>
      </c>
      <c r="AP184" s="9" t="s">
        <v>197</v>
      </c>
      <c r="AQ184" s="9" t="s">
        <v>197</v>
      </c>
      <c r="AR184" s="9" t="s">
        <v>1118</v>
      </c>
      <c r="AS184" s="9" t="n">
        <v>3164</v>
      </c>
      <c r="AT184" s="10" t="n">
        <f aca="false">(AS184/Q184)*100</f>
        <v>1.88279539179282</v>
      </c>
    </row>
    <row r="185" customFormat="false" ht="12.8" hidden="false" customHeight="true" outlineLevel="0" collapsed="false">
      <c r="A185" s="7" t="n">
        <v>2021</v>
      </c>
      <c r="B185" s="8" t="n">
        <v>184</v>
      </c>
      <c r="C185" s="9" t="s">
        <v>1119</v>
      </c>
      <c r="D185" s="9" t="s">
        <v>1120</v>
      </c>
      <c r="E185" s="9" t="s">
        <v>192</v>
      </c>
      <c r="F185" s="9" t="s">
        <v>1085</v>
      </c>
      <c r="G185" s="9" t="s">
        <v>88</v>
      </c>
      <c r="H185" s="9" t="s">
        <v>51</v>
      </c>
      <c r="I185" s="9" t="s">
        <v>51</v>
      </c>
      <c r="J185" s="9" t="s">
        <v>51</v>
      </c>
      <c r="K185" s="9" t="s">
        <v>51</v>
      </c>
      <c r="L185" s="9" t="s">
        <v>51</v>
      </c>
      <c r="M185" s="9" t="s">
        <v>51</v>
      </c>
      <c r="N185" s="9" t="s">
        <v>51</v>
      </c>
      <c r="O185" s="9" t="s">
        <v>51</v>
      </c>
      <c r="P185" s="9" t="n">
        <v>317276</v>
      </c>
      <c r="Q185" s="9" t="n">
        <v>212456</v>
      </c>
      <c r="R185" s="10" t="n">
        <f aca="false">(Q185/P185)*100</f>
        <v>66.9625184382052</v>
      </c>
      <c r="S185" s="9" t="n">
        <f aca="false">Y185-AD185</f>
        <v>21589</v>
      </c>
      <c r="T185" s="10" t="n">
        <f aca="false">(S185/Q185)*100</f>
        <v>10.1616334676357</v>
      </c>
      <c r="U185" s="10" t="n">
        <f aca="false">Z185+AE185</f>
        <v>61.3392890763264</v>
      </c>
      <c r="V185" s="9" t="s">
        <v>52</v>
      </c>
      <c r="W185" s="9" t="s">
        <v>66</v>
      </c>
      <c r="X185" s="9" t="s">
        <v>1121</v>
      </c>
      <c r="Y185" s="9" t="n">
        <v>75954</v>
      </c>
      <c r="Z185" s="10" t="n">
        <f aca="false">(Y185/Q185)*100</f>
        <v>35.750461271981</v>
      </c>
      <c r="AA185" s="9" t="s">
        <v>55</v>
      </c>
      <c r="AB185" s="9" t="s">
        <v>171</v>
      </c>
      <c r="AC185" s="9" t="s">
        <v>1122</v>
      </c>
      <c r="AD185" s="9" t="n">
        <v>54365</v>
      </c>
      <c r="AE185" s="10" t="n">
        <f aca="false">(AD185/Q185)*100</f>
        <v>25.5888278043454</v>
      </c>
      <c r="AF185" s="9" t="s">
        <v>60</v>
      </c>
      <c r="AG185" s="9" t="s">
        <v>74</v>
      </c>
      <c r="AH185" s="9" t="s">
        <v>1123</v>
      </c>
      <c r="AI185" s="9" t="n">
        <v>44864</v>
      </c>
      <c r="AJ185" s="10" t="n">
        <f aca="false">(AI185/Q185)*100</f>
        <v>21.116843016907</v>
      </c>
      <c r="AK185" s="9" t="s">
        <v>58</v>
      </c>
      <c r="AL185" s="9" t="s">
        <v>58</v>
      </c>
      <c r="AM185" s="9" t="s">
        <v>1124</v>
      </c>
      <c r="AN185" s="9" t="n">
        <v>23872</v>
      </c>
      <c r="AO185" s="10" t="n">
        <f aca="false">(AN185/Q185)*100</f>
        <v>11.2362089091388</v>
      </c>
      <c r="AP185" s="9" t="s">
        <v>71</v>
      </c>
      <c r="AQ185" s="9" t="s">
        <v>72</v>
      </c>
      <c r="AR185" s="9" t="s">
        <v>1125</v>
      </c>
      <c r="AS185" s="9" t="n">
        <v>8351</v>
      </c>
      <c r="AT185" s="10" t="n">
        <f aca="false">(AS185/Q185)*100</f>
        <v>3.93069623827993</v>
      </c>
    </row>
    <row r="186" customFormat="false" ht="12.8" hidden="false" customHeight="true" outlineLevel="0" collapsed="false">
      <c r="A186" s="7" t="n">
        <v>2021</v>
      </c>
      <c r="B186" s="8" t="n">
        <v>185</v>
      </c>
      <c r="C186" s="9" t="s">
        <v>1126</v>
      </c>
      <c r="D186" s="9" t="s">
        <v>1120</v>
      </c>
      <c r="E186" s="9" t="s">
        <v>192</v>
      </c>
      <c r="F186" s="9" t="s">
        <v>1085</v>
      </c>
      <c r="G186" s="9" t="s">
        <v>77</v>
      </c>
      <c r="H186" s="9" t="s">
        <v>51</v>
      </c>
      <c r="I186" s="9" t="s">
        <v>51</v>
      </c>
      <c r="J186" s="9" t="s">
        <v>51</v>
      </c>
      <c r="K186" s="9" t="s">
        <v>53</v>
      </c>
      <c r="L186" s="9" t="s">
        <v>51</v>
      </c>
      <c r="M186" s="9" t="s">
        <v>53</v>
      </c>
      <c r="N186" s="9" t="s">
        <v>51</v>
      </c>
      <c r="O186" s="9" t="s">
        <v>51</v>
      </c>
      <c r="P186" s="9" t="n">
        <v>291771</v>
      </c>
      <c r="Q186" s="9" t="n">
        <v>210766</v>
      </c>
      <c r="R186" s="10" t="n">
        <f aca="false">(Q186/P186)*100</f>
        <v>72.2367884402494</v>
      </c>
      <c r="S186" s="9" t="n">
        <f aca="false">Y186-AD186</f>
        <v>37374</v>
      </c>
      <c r="T186" s="10" t="n">
        <f aca="false">(S186/Q186)*100</f>
        <v>17.732461592477</v>
      </c>
      <c r="U186" s="10" t="n">
        <f aca="false">Z186+AE186</f>
        <v>80.6534260744143</v>
      </c>
      <c r="V186" s="9" t="s">
        <v>52</v>
      </c>
      <c r="W186" s="9" t="s">
        <v>53</v>
      </c>
      <c r="X186" s="9" t="s">
        <v>1127</v>
      </c>
      <c r="Y186" s="9" t="n">
        <v>103682</v>
      </c>
      <c r="Z186" s="10" t="n">
        <f aca="false">(Y186/Q186)*100</f>
        <v>49.1929438334456</v>
      </c>
      <c r="AA186" s="9" t="s">
        <v>55</v>
      </c>
      <c r="AB186" s="9" t="s">
        <v>68</v>
      </c>
      <c r="AC186" s="9" t="s">
        <v>1128</v>
      </c>
      <c r="AD186" s="9" t="n">
        <v>66308</v>
      </c>
      <c r="AE186" s="10" t="n">
        <f aca="false">(AD186/Q186)*100</f>
        <v>31.4604822409687</v>
      </c>
      <c r="AF186" s="9" t="s">
        <v>58</v>
      </c>
      <c r="AG186" s="9" t="s">
        <v>58</v>
      </c>
      <c r="AH186" s="9" t="s">
        <v>1129</v>
      </c>
      <c r="AI186" s="9" t="n">
        <v>14571</v>
      </c>
      <c r="AJ186" s="10" t="n">
        <f aca="false">(AI186/Q186)*100</f>
        <v>6.91335414630443</v>
      </c>
      <c r="AK186" s="9" t="s">
        <v>197</v>
      </c>
      <c r="AL186" s="9" t="s">
        <v>197</v>
      </c>
      <c r="AM186" s="9" t="s">
        <v>1130</v>
      </c>
      <c r="AN186" s="9" t="n">
        <v>13202</v>
      </c>
      <c r="AO186" s="10" t="n">
        <f aca="false">(AN186/Q186)*100</f>
        <v>6.26381864247554</v>
      </c>
      <c r="AP186" s="9" t="s">
        <v>60</v>
      </c>
      <c r="AQ186" s="9" t="s">
        <v>74</v>
      </c>
      <c r="AR186" s="9" t="s">
        <v>1131</v>
      </c>
      <c r="AS186" s="9" t="n">
        <v>7448</v>
      </c>
      <c r="AT186" s="10" t="n">
        <f aca="false">(AS186/Q186)*100</f>
        <v>3.53377679511876</v>
      </c>
    </row>
    <row r="187" customFormat="false" ht="12.8" hidden="false" customHeight="true" outlineLevel="0" collapsed="false">
      <c r="A187" s="7" t="n">
        <v>2021</v>
      </c>
      <c r="B187" s="8" t="n">
        <v>186</v>
      </c>
      <c r="C187" s="9" t="s">
        <v>1120</v>
      </c>
      <c r="D187" s="9" t="s">
        <v>1120</v>
      </c>
      <c r="E187" s="9" t="s">
        <v>192</v>
      </c>
      <c r="F187" s="9" t="s">
        <v>1085</v>
      </c>
      <c r="G187" s="9" t="s">
        <v>77</v>
      </c>
      <c r="H187" s="9" t="s">
        <v>51</v>
      </c>
      <c r="I187" s="9" t="s">
        <v>51</v>
      </c>
      <c r="J187" s="9" t="s">
        <v>51</v>
      </c>
      <c r="K187" s="9" t="s">
        <v>51</v>
      </c>
      <c r="L187" s="9" t="s">
        <v>66</v>
      </c>
      <c r="M187" s="9" t="s">
        <v>51</v>
      </c>
      <c r="N187" s="9" t="s">
        <v>51</v>
      </c>
      <c r="O187" s="9" t="s">
        <v>51</v>
      </c>
      <c r="P187" s="9" t="n">
        <v>301163</v>
      </c>
      <c r="Q187" s="9" t="n">
        <v>202044</v>
      </c>
      <c r="R187" s="10" t="n">
        <f aca="false">(Q187/P187)*100</f>
        <v>67.0879224871581</v>
      </c>
      <c r="S187" s="9" t="n">
        <f aca="false">Y187-AD187</f>
        <v>11253</v>
      </c>
      <c r="T187" s="10" t="n">
        <f aca="false">(S187/Q187)*100</f>
        <v>5.56957890360516</v>
      </c>
      <c r="U187" s="10" t="n">
        <f aca="false">Z187+AE187</f>
        <v>75.7523113777197</v>
      </c>
      <c r="V187" s="9" t="s">
        <v>55</v>
      </c>
      <c r="W187" s="9" t="s">
        <v>68</v>
      </c>
      <c r="X187" s="9" t="s">
        <v>1132</v>
      </c>
      <c r="Y187" s="9" t="n">
        <v>82153</v>
      </c>
      <c r="Z187" s="10" t="n">
        <f aca="false">(Y187/Q187)*100</f>
        <v>40.6609451406624</v>
      </c>
      <c r="AA187" s="9" t="s">
        <v>52</v>
      </c>
      <c r="AB187" s="9" t="s">
        <v>392</v>
      </c>
      <c r="AC187" s="9" t="s">
        <v>165</v>
      </c>
      <c r="AD187" s="9" t="n">
        <v>70900</v>
      </c>
      <c r="AE187" s="10" t="n">
        <f aca="false">(AD187/Q187)*100</f>
        <v>35.0913662370573</v>
      </c>
      <c r="AF187" s="9" t="s">
        <v>58</v>
      </c>
      <c r="AG187" s="9" t="s">
        <v>58</v>
      </c>
      <c r="AH187" s="9" t="s">
        <v>1133</v>
      </c>
      <c r="AI187" s="9" t="n">
        <v>22500</v>
      </c>
      <c r="AJ187" s="10" t="n">
        <f aca="false">(AI187/Q187)*100</f>
        <v>11.1361881570351</v>
      </c>
      <c r="AK187" s="9" t="s">
        <v>60</v>
      </c>
      <c r="AL187" s="9" t="s">
        <v>74</v>
      </c>
      <c r="AM187" s="9" t="s">
        <v>1134</v>
      </c>
      <c r="AN187" s="9" t="n">
        <v>19824</v>
      </c>
      <c r="AO187" s="10" t="n">
        <f aca="false">(AN187/Q187)*100</f>
        <v>9.81172417889173</v>
      </c>
      <c r="AP187" s="9" t="s">
        <v>71</v>
      </c>
      <c r="AQ187" s="9" t="s">
        <v>72</v>
      </c>
      <c r="AR187" s="9" t="s">
        <v>1135</v>
      </c>
      <c r="AS187" s="9" t="n">
        <v>2105</v>
      </c>
      <c r="AT187" s="10" t="n">
        <f aca="false">(AS187/Q187)*100</f>
        <v>1.04185226980262</v>
      </c>
    </row>
    <row r="188" customFormat="false" ht="12.8" hidden="false" customHeight="true" outlineLevel="0" collapsed="false">
      <c r="A188" s="7" t="n">
        <v>2021</v>
      </c>
      <c r="B188" s="8" t="n">
        <v>187</v>
      </c>
      <c r="C188" s="9" t="s">
        <v>1136</v>
      </c>
      <c r="D188" s="9" t="s">
        <v>1120</v>
      </c>
      <c r="E188" s="9" t="s">
        <v>192</v>
      </c>
      <c r="F188" s="9" t="s">
        <v>1085</v>
      </c>
      <c r="G188" s="9" t="s">
        <v>50</v>
      </c>
      <c r="H188" s="9" t="s">
        <v>65</v>
      </c>
      <c r="I188" s="9" t="s">
        <v>51</v>
      </c>
      <c r="J188" s="9" t="s">
        <v>51</v>
      </c>
      <c r="K188" s="9" t="s">
        <v>51</v>
      </c>
      <c r="L188" s="9" t="s">
        <v>51</v>
      </c>
      <c r="M188" s="9" t="s">
        <v>51</v>
      </c>
      <c r="N188" s="9" t="s">
        <v>51</v>
      </c>
      <c r="O188" s="9" t="s">
        <v>51</v>
      </c>
      <c r="P188" s="9" t="n">
        <v>278605</v>
      </c>
      <c r="Q188" s="9" t="n">
        <v>203061</v>
      </c>
      <c r="R188" s="10" t="n">
        <f aca="false">(Q188/P188)*100</f>
        <v>72.884908741767</v>
      </c>
      <c r="S188" s="9" t="n">
        <f aca="false">Y188-AD188</f>
        <v>14091</v>
      </c>
      <c r="T188" s="10" t="n">
        <f aca="false">(S188/Q188)*100</f>
        <v>6.93929410374223</v>
      </c>
      <c r="U188" s="10" t="n">
        <f aca="false">Z188+AE188</f>
        <v>81.0776072214753</v>
      </c>
      <c r="V188" s="9" t="s">
        <v>52</v>
      </c>
      <c r="W188" s="9" t="s">
        <v>53</v>
      </c>
      <c r="X188" s="9" t="s">
        <v>1137</v>
      </c>
      <c r="Y188" s="9" t="n">
        <v>89364</v>
      </c>
      <c r="Z188" s="10" t="n">
        <f aca="false">(Y188/Q188)*100</f>
        <v>44.0084506626088</v>
      </c>
      <c r="AA188" s="9" t="s">
        <v>55</v>
      </c>
      <c r="AB188" s="9" t="s">
        <v>68</v>
      </c>
      <c r="AC188" s="9" t="s">
        <v>1138</v>
      </c>
      <c r="AD188" s="9" t="n">
        <v>75273</v>
      </c>
      <c r="AE188" s="10" t="n">
        <f aca="false">(AD188/Q188)*100</f>
        <v>37.0691565588665</v>
      </c>
      <c r="AF188" s="9" t="s">
        <v>58</v>
      </c>
      <c r="AG188" s="9" t="s">
        <v>58</v>
      </c>
      <c r="AH188" s="9" t="s">
        <v>1139</v>
      </c>
      <c r="AI188" s="9" t="n">
        <v>23228</v>
      </c>
      <c r="AJ188" s="10" t="n">
        <f aca="false">(AI188/Q188)*100</f>
        <v>11.4389272189145</v>
      </c>
      <c r="AK188" s="9" t="s">
        <v>60</v>
      </c>
      <c r="AL188" s="9" t="s">
        <v>74</v>
      </c>
      <c r="AM188" s="9" t="s">
        <v>1140</v>
      </c>
      <c r="AN188" s="9" t="n">
        <v>10231</v>
      </c>
      <c r="AO188" s="10" t="n">
        <f aca="false">(AN188/Q188)*100</f>
        <v>5.03838747962435</v>
      </c>
      <c r="AP188" s="9" t="s">
        <v>71</v>
      </c>
      <c r="AQ188" s="9" t="s">
        <v>72</v>
      </c>
      <c r="AR188" s="9" t="s">
        <v>1141</v>
      </c>
      <c r="AS188" s="9" t="n">
        <v>2257</v>
      </c>
      <c r="AT188" s="10" t="n">
        <f aca="false">(AS188/Q188)*100</f>
        <v>1.11148866596737</v>
      </c>
    </row>
    <row r="189" customFormat="false" ht="12.8" hidden="false" customHeight="true" outlineLevel="0" collapsed="false">
      <c r="A189" s="7" t="n">
        <v>2021</v>
      </c>
      <c r="B189" s="8" t="n">
        <v>188</v>
      </c>
      <c r="C189" s="9" t="s">
        <v>1142</v>
      </c>
      <c r="D189" s="9" t="s">
        <v>1143</v>
      </c>
      <c r="E189" s="9" t="s">
        <v>192</v>
      </c>
      <c r="F189" s="9" t="s">
        <v>1144</v>
      </c>
      <c r="G189" s="9" t="s">
        <v>77</v>
      </c>
      <c r="H189" s="9" t="s">
        <v>51</v>
      </c>
      <c r="I189" s="9" t="s">
        <v>51</v>
      </c>
      <c r="J189" s="9" t="s">
        <v>51</v>
      </c>
      <c r="K189" s="9" t="s">
        <v>51</v>
      </c>
      <c r="L189" s="9" t="s">
        <v>68</v>
      </c>
      <c r="M189" s="9" t="s">
        <v>68</v>
      </c>
      <c r="N189" s="9" t="s">
        <v>66</v>
      </c>
      <c r="O189" s="9" t="s">
        <v>51</v>
      </c>
      <c r="P189" s="9" t="n">
        <v>244996</v>
      </c>
      <c r="Q189" s="9" t="n">
        <v>182782</v>
      </c>
      <c r="R189" s="10" t="n">
        <f aca="false">(Q189/P189)*100</f>
        <v>74.6061160182207</v>
      </c>
      <c r="S189" s="9" t="n">
        <f aca="false">Y189-AD189</f>
        <v>35162</v>
      </c>
      <c r="T189" s="10" t="n">
        <f aca="false">(S189/Q189)*100</f>
        <v>19.2371240056461</v>
      </c>
      <c r="U189" s="10" t="n">
        <f aca="false">Z189+AE189</f>
        <v>71.9578514295719</v>
      </c>
      <c r="V189" s="9" t="s">
        <v>55</v>
      </c>
      <c r="W189" s="9" t="s">
        <v>68</v>
      </c>
      <c r="X189" s="9" t="s">
        <v>1145</v>
      </c>
      <c r="Y189" s="9" t="n">
        <v>83344</v>
      </c>
      <c r="Z189" s="10" t="n">
        <f aca="false">(Y189/Q189)*100</f>
        <v>45.597487717609</v>
      </c>
      <c r="AA189" s="9" t="s">
        <v>52</v>
      </c>
      <c r="AB189" s="9" t="s">
        <v>66</v>
      </c>
      <c r="AC189" s="9" t="s">
        <v>1146</v>
      </c>
      <c r="AD189" s="9" t="n">
        <v>48182</v>
      </c>
      <c r="AE189" s="10" t="n">
        <f aca="false">(AD189/Q189)*100</f>
        <v>26.3603637119629</v>
      </c>
      <c r="AF189" s="9" t="s">
        <v>60</v>
      </c>
      <c r="AG189" s="9" t="s">
        <v>74</v>
      </c>
      <c r="AH189" s="9" t="s">
        <v>1147</v>
      </c>
      <c r="AI189" s="9" t="n">
        <v>34262</v>
      </c>
      <c r="AJ189" s="10" t="n">
        <f aca="false">(AI189/Q189)*100</f>
        <v>18.7447341641956</v>
      </c>
      <c r="AK189" s="9" t="s">
        <v>58</v>
      </c>
      <c r="AL189" s="9" t="s">
        <v>58</v>
      </c>
      <c r="AM189" s="9" t="s">
        <v>1148</v>
      </c>
      <c r="AN189" s="9" t="n">
        <v>10669</v>
      </c>
      <c r="AO189" s="10" t="n">
        <f aca="false">(AN189/Q189)*100</f>
        <v>5.83700802048342</v>
      </c>
      <c r="AP189" s="9" t="s">
        <v>71</v>
      </c>
      <c r="AQ189" s="9" t="s">
        <v>72</v>
      </c>
      <c r="AR189" s="9" t="s">
        <v>1149</v>
      </c>
      <c r="AS189" s="9" t="n">
        <v>2176</v>
      </c>
      <c r="AT189" s="10" t="n">
        <f aca="false">(AS189/Q189)*100</f>
        <v>1.19048921666247</v>
      </c>
    </row>
    <row r="190" customFormat="false" ht="12.8" hidden="false" customHeight="true" outlineLevel="0" collapsed="false">
      <c r="A190" s="7" t="n">
        <v>2021</v>
      </c>
      <c r="B190" s="8" t="n">
        <v>189</v>
      </c>
      <c r="C190" s="9" t="s">
        <v>1150</v>
      </c>
      <c r="D190" s="9" t="s">
        <v>1143</v>
      </c>
      <c r="E190" s="9" t="s">
        <v>192</v>
      </c>
      <c r="F190" s="9" t="s">
        <v>1144</v>
      </c>
      <c r="G190" s="9" t="s">
        <v>88</v>
      </c>
      <c r="H190" s="9" t="s">
        <v>51</v>
      </c>
      <c r="I190" s="9" t="s">
        <v>51</v>
      </c>
      <c r="J190" s="9" t="s">
        <v>51</v>
      </c>
      <c r="K190" s="9" t="s">
        <v>51</v>
      </c>
      <c r="L190" s="9" t="s">
        <v>51</v>
      </c>
      <c r="M190" s="9" t="s">
        <v>51</v>
      </c>
      <c r="N190" s="9" t="s">
        <v>51</v>
      </c>
      <c r="O190" s="9" t="s">
        <v>51</v>
      </c>
      <c r="P190" s="9" t="n">
        <v>329209</v>
      </c>
      <c r="Q190" s="9" t="n">
        <v>237892</v>
      </c>
      <c r="R190" s="10" t="n">
        <f aca="false">(Q190/P190)*100</f>
        <v>72.2616939391086</v>
      </c>
      <c r="S190" s="9" t="n">
        <f aca="false">Y190-AD190</f>
        <v>49604</v>
      </c>
      <c r="T190" s="10" t="n">
        <f aca="false">(S190/Q190)*100</f>
        <v>20.8514788223227</v>
      </c>
      <c r="U190" s="10" t="n">
        <f aca="false">Z190+AE190</f>
        <v>82.3289559968389</v>
      </c>
      <c r="V190" s="9" t="s">
        <v>52</v>
      </c>
      <c r="W190" s="9" t="s">
        <v>53</v>
      </c>
      <c r="X190" s="9" t="s">
        <v>1151</v>
      </c>
      <c r="Y190" s="9" t="n">
        <v>122729</v>
      </c>
      <c r="Z190" s="10" t="n">
        <f aca="false">(Y190/Q190)*100</f>
        <v>51.5902174095808</v>
      </c>
      <c r="AA190" s="9" t="s">
        <v>55</v>
      </c>
      <c r="AB190" s="9" t="s">
        <v>68</v>
      </c>
      <c r="AC190" s="9" t="s">
        <v>1152</v>
      </c>
      <c r="AD190" s="9" t="n">
        <v>73125</v>
      </c>
      <c r="AE190" s="10" t="n">
        <f aca="false">(AD190/Q190)*100</f>
        <v>30.7387385872581</v>
      </c>
      <c r="AF190" s="9" t="s">
        <v>58</v>
      </c>
      <c r="AG190" s="9" t="s">
        <v>58</v>
      </c>
      <c r="AH190" s="9" t="s">
        <v>1153</v>
      </c>
      <c r="AI190" s="9" t="n">
        <v>17668</v>
      </c>
      <c r="AJ190" s="10" t="n">
        <f aca="false">(AI190/Q190)*100</f>
        <v>7.42689960149984</v>
      </c>
      <c r="AK190" s="9" t="s">
        <v>71</v>
      </c>
      <c r="AL190" s="9" t="s">
        <v>72</v>
      </c>
      <c r="AM190" s="9" t="s">
        <v>1154</v>
      </c>
      <c r="AN190" s="9" t="n">
        <v>11993</v>
      </c>
      <c r="AO190" s="10" t="n">
        <f aca="false">(AN190/Q190)*100</f>
        <v>5.04136330771947</v>
      </c>
      <c r="AP190" s="9" t="s">
        <v>60</v>
      </c>
      <c r="AQ190" s="9" t="s">
        <v>74</v>
      </c>
      <c r="AR190" s="9" t="s">
        <v>1155</v>
      </c>
      <c r="AS190" s="9" t="n">
        <v>6729</v>
      </c>
      <c r="AT190" s="10" t="n">
        <f aca="false">(AS190/Q190)*100</f>
        <v>2.82859448825518</v>
      </c>
    </row>
    <row r="191" customFormat="false" ht="12.8" hidden="false" customHeight="true" outlineLevel="0" collapsed="false">
      <c r="A191" s="7" t="n">
        <v>2021</v>
      </c>
      <c r="B191" s="8" t="n">
        <v>190</v>
      </c>
      <c r="C191" s="9" t="s">
        <v>1156</v>
      </c>
      <c r="D191" s="9" t="s">
        <v>1143</v>
      </c>
      <c r="E191" s="9" t="s">
        <v>192</v>
      </c>
      <c r="F191" s="9" t="s">
        <v>1144</v>
      </c>
      <c r="G191" s="9" t="s">
        <v>50</v>
      </c>
      <c r="H191" s="9" t="s">
        <v>65</v>
      </c>
      <c r="I191" s="9" t="s">
        <v>51</v>
      </c>
      <c r="J191" s="9" t="s">
        <v>51</v>
      </c>
      <c r="K191" s="9" t="s">
        <v>51</v>
      </c>
      <c r="L191" s="9" t="s">
        <v>51</v>
      </c>
      <c r="M191" s="9" t="s">
        <v>51</v>
      </c>
      <c r="N191" s="9" t="s">
        <v>51</v>
      </c>
      <c r="O191" s="9" t="s">
        <v>51</v>
      </c>
      <c r="P191" s="9" t="n">
        <v>218730</v>
      </c>
      <c r="Q191" s="9" t="n">
        <v>175361</v>
      </c>
      <c r="R191" s="10" t="n">
        <f aca="false">(Q191/P191)*100</f>
        <v>80.1723586156449</v>
      </c>
      <c r="S191" s="9" t="n">
        <f aca="false">Y191-AD191</f>
        <v>17045</v>
      </c>
      <c r="T191" s="10" t="n">
        <f aca="false">(S191/Q191)*100</f>
        <v>9.71994913350175</v>
      </c>
      <c r="U191" s="10" t="n">
        <f aca="false">Z191+AE191</f>
        <v>86.3561453230764</v>
      </c>
      <c r="V191" s="9" t="s">
        <v>52</v>
      </c>
      <c r="W191" s="9" t="s">
        <v>53</v>
      </c>
      <c r="X191" s="9" t="s">
        <v>1157</v>
      </c>
      <c r="Y191" s="9" t="n">
        <v>84240</v>
      </c>
      <c r="Z191" s="10" t="n">
        <f aca="false">(Y191/Q191)*100</f>
        <v>48.0380472282891</v>
      </c>
      <c r="AA191" s="9" t="s">
        <v>55</v>
      </c>
      <c r="AB191" s="9" t="s">
        <v>68</v>
      </c>
      <c r="AC191" s="9" t="s">
        <v>1158</v>
      </c>
      <c r="AD191" s="9" t="n">
        <v>67195</v>
      </c>
      <c r="AE191" s="10" t="n">
        <f aca="false">(AD191/Q191)*100</f>
        <v>38.3180980947873</v>
      </c>
      <c r="AF191" s="9" t="s">
        <v>58</v>
      </c>
      <c r="AG191" s="9" t="s">
        <v>58</v>
      </c>
      <c r="AH191" s="9" t="s">
        <v>1159</v>
      </c>
      <c r="AI191" s="9" t="n">
        <v>13936</v>
      </c>
      <c r="AJ191" s="10" t="n">
        <f aca="false">(AI191/Q191)*100</f>
        <v>7.94703497356881</v>
      </c>
      <c r="AK191" s="9" t="s">
        <v>60</v>
      </c>
      <c r="AL191" s="9" t="s">
        <v>61</v>
      </c>
      <c r="AM191" s="9" t="s">
        <v>1160</v>
      </c>
      <c r="AN191" s="9" t="n">
        <v>3582</v>
      </c>
      <c r="AO191" s="10" t="n">
        <f aca="false">(AN191/Q191)*100</f>
        <v>2.04264346120289</v>
      </c>
      <c r="AP191" s="9" t="s">
        <v>71</v>
      </c>
      <c r="AQ191" s="9" t="s">
        <v>72</v>
      </c>
      <c r="AR191" s="9" t="s">
        <v>1161</v>
      </c>
      <c r="AS191" s="9" t="n">
        <v>3031</v>
      </c>
      <c r="AT191" s="10" t="n">
        <f aca="false">(AS191/Q191)*100</f>
        <v>1.72843448657341</v>
      </c>
    </row>
    <row r="192" customFormat="false" ht="12.8" hidden="false" customHeight="true" outlineLevel="0" collapsed="false">
      <c r="A192" s="7" t="n">
        <v>2021</v>
      </c>
      <c r="B192" s="8" t="n">
        <v>191</v>
      </c>
      <c r="C192" s="9" t="s">
        <v>1162</v>
      </c>
      <c r="D192" s="9" t="s">
        <v>1143</v>
      </c>
      <c r="E192" s="9" t="s">
        <v>192</v>
      </c>
      <c r="F192" s="9" t="s">
        <v>1144</v>
      </c>
      <c r="G192" s="9" t="s">
        <v>88</v>
      </c>
      <c r="H192" s="9" t="s">
        <v>51</v>
      </c>
      <c r="I192" s="9" t="s">
        <v>51</v>
      </c>
      <c r="J192" s="9" t="s">
        <v>51</v>
      </c>
      <c r="K192" s="9" t="s">
        <v>51</v>
      </c>
      <c r="L192" s="9" t="s">
        <v>51</v>
      </c>
      <c r="M192" s="9" t="s">
        <v>51</v>
      </c>
      <c r="N192" s="9" t="s">
        <v>51</v>
      </c>
      <c r="O192" s="9" t="s">
        <v>51</v>
      </c>
      <c r="P192" s="9" t="n">
        <v>243596</v>
      </c>
      <c r="Q192" s="9" t="n">
        <v>156556</v>
      </c>
      <c r="R192" s="10" t="n">
        <f aca="false">(Q192/P192)*100</f>
        <v>64.2687072037308</v>
      </c>
      <c r="S192" s="9" t="n">
        <f aca="false">Y192-AD192</f>
        <v>22916</v>
      </c>
      <c r="T192" s="10" t="n">
        <f aca="false">(S192/Q192)*100</f>
        <v>14.637573775518</v>
      </c>
      <c r="U192" s="10" t="n">
        <f aca="false">Z192+AE192</f>
        <v>78.6325659827793</v>
      </c>
      <c r="V192" s="9" t="s">
        <v>52</v>
      </c>
      <c r="W192" s="9" t="s">
        <v>53</v>
      </c>
      <c r="X192" s="9" t="s">
        <v>1163</v>
      </c>
      <c r="Y192" s="9" t="n">
        <v>73010</v>
      </c>
      <c r="Z192" s="10" t="n">
        <f aca="false">(Y192/Q192)*100</f>
        <v>46.6350698791487</v>
      </c>
      <c r="AA192" s="9" t="s">
        <v>55</v>
      </c>
      <c r="AB192" s="9" t="s">
        <v>171</v>
      </c>
      <c r="AC192" s="9" t="s">
        <v>758</v>
      </c>
      <c r="AD192" s="9" t="n">
        <v>50094</v>
      </c>
      <c r="AE192" s="10" t="n">
        <f aca="false">(AD192/Q192)*100</f>
        <v>31.9974961036307</v>
      </c>
      <c r="AF192" s="9" t="s">
        <v>58</v>
      </c>
      <c r="AG192" s="9" t="s">
        <v>58</v>
      </c>
      <c r="AH192" s="9" t="s">
        <v>1164</v>
      </c>
      <c r="AI192" s="9" t="n">
        <v>15311</v>
      </c>
      <c r="AJ192" s="10" t="n">
        <f aca="false">(AI192/Q192)*100</f>
        <v>9.77988706916375</v>
      </c>
      <c r="AK192" s="9" t="s">
        <v>71</v>
      </c>
      <c r="AL192" s="9" t="s">
        <v>72</v>
      </c>
      <c r="AM192" s="9" t="s">
        <v>1165</v>
      </c>
      <c r="AN192" s="9" t="n">
        <v>12102</v>
      </c>
      <c r="AO192" s="10" t="n">
        <f aca="false">(AN192/Q192)*100</f>
        <v>7.73014129129513</v>
      </c>
      <c r="AP192" s="9" t="s">
        <v>60</v>
      </c>
      <c r="AQ192" s="9" t="s">
        <v>74</v>
      </c>
      <c r="AR192" s="9" t="s">
        <v>1166</v>
      </c>
      <c r="AS192" s="9" t="n">
        <v>3280</v>
      </c>
      <c r="AT192" s="10" t="n">
        <f aca="false">(AS192/Q192)*100</f>
        <v>2.09509696210941</v>
      </c>
    </row>
    <row r="193" customFormat="false" ht="12.8" hidden="false" customHeight="true" outlineLevel="0" collapsed="false">
      <c r="A193" s="7" t="n">
        <v>2021</v>
      </c>
      <c r="B193" s="8" t="n">
        <v>192</v>
      </c>
      <c r="C193" s="9" t="s">
        <v>1167</v>
      </c>
      <c r="D193" s="9" t="s">
        <v>1143</v>
      </c>
      <c r="E193" s="9" t="s">
        <v>192</v>
      </c>
      <c r="F193" s="9" t="s">
        <v>1144</v>
      </c>
      <c r="G193" s="9" t="s">
        <v>88</v>
      </c>
      <c r="H193" s="9" t="s">
        <v>51</v>
      </c>
      <c r="I193" s="9" t="s">
        <v>51</v>
      </c>
      <c r="J193" s="9" t="s">
        <v>51</v>
      </c>
      <c r="K193" s="9" t="s">
        <v>51</v>
      </c>
      <c r="L193" s="9" t="s">
        <v>51</v>
      </c>
      <c r="M193" s="9" t="s">
        <v>51</v>
      </c>
      <c r="N193" s="9" t="s">
        <v>51</v>
      </c>
      <c r="O193" s="9" t="s">
        <v>51</v>
      </c>
      <c r="P193" s="9" t="n">
        <v>230133</v>
      </c>
      <c r="Q193" s="9" t="n">
        <v>147833</v>
      </c>
      <c r="R193" s="10" t="n">
        <f aca="false">(Q193/P193)*100</f>
        <v>64.2380710284922</v>
      </c>
      <c r="S193" s="9" t="n">
        <f aca="false">Y193-AD193</f>
        <v>6515</v>
      </c>
      <c r="T193" s="10" t="n">
        <f aca="false">(S193/Q193)*100</f>
        <v>4.40699979030392</v>
      </c>
      <c r="U193" s="10" t="n">
        <f aca="false">Z193+AE193</f>
        <v>80.5699674632863</v>
      </c>
      <c r="V193" s="9" t="s">
        <v>52</v>
      </c>
      <c r="W193" s="9" t="s">
        <v>271</v>
      </c>
      <c r="X193" s="9" t="s">
        <v>1168</v>
      </c>
      <c r="Y193" s="9" t="n">
        <v>62812</v>
      </c>
      <c r="Z193" s="10" t="n">
        <f aca="false">(Y193/Q193)*100</f>
        <v>42.4884836267951</v>
      </c>
      <c r="AA193" s="9" t="s">
        <v>55</v>
      </c>
      <c r="AB193" s="9" t="s">
        <v>68</v>
      </c>
      <c r="AC193" s="9" t="s">
        <v>1169</v>
      </c>
      <c r="AD193" s="9" t="n">
        <v>56297</v>
      </c>
      <c r="AE193" s="10" t="n">
        <f aca="false">(AD193/Q193)*100</f>
        <v>38.0814838364912</v>
      </c>
      <c r="AF193" s="9" t="s">
        <v>71</v>
      </c>
      <c r="AG193" s="9" t="s">
        <v>72</v>
      </c>
      <c r="AH193" s="9" t="s">
        <v>1170</v>
      </c>
      <c r="AI193" s="9" t="n">
        <v>12821</v>
      </c>
      <c r="AJ193" s="10" t="n">
        <f aca="false">(AI193/Q193)*100</f>
        <v>8.67262383906164</v>
      </c>
      <c r="AK193" s="9" t="s">
        <v>58</v>
      </c>
      <c r="AL193" s="9" t="s">
        <v>58</v>
      </c>
      <c r="AM193" s="9" t="s">
        <v>1171</v>
      </c>
      <c r="AN193" s="9" t="n">
        <v>10483</v>
      </c>
      <c r="AO193" s="10" t="n">
        <f aca="false">(AN193/Q193)*100</f>
        <v>7.0911095628175</v>
      </c>
      <c r="AP193" s="9" t="s">
        <v>60</v>
      </c>
      <c r="AQ193" s="9" t="s">
        <v>74</v>
      </c>
      <c r="AR193" s="9" t="s">
        <v>1172</v>
      </c>
      <c r="AS193" s="9" t="n">
        <v>2672</v>
      </c>
      <c r="AT193" s="10" t="n">
        <f aca="false">(AS193/Q193)*100</f>
        <v>1.80744488713616</v>
      </c>
    </row>
    <row r="194" customFormat="false" ht="12.8" hidden="false" customHeight="true" outlineLevel="0" collapsed="false">
      <c r="A194" s="7" t="n">
        <v>2021</v>
      </c>
      <c r="B194" s="8" t="n">
        <v>193</v>
      </c>
      <c r="C194" s="9" t="s">
        <v>1173</v>
      </c>
      <c r="D194" s="9" t="s">
        <v>1143</v>
      </c>
      <c r="E194" s="9" t="s">
        <v>192</v>
      </c>
      <c r="F194" s="9" t="s">
        <v>1144</v>
      </c>
      <c r="G194" s="9" t="s">
        <v>88</v>
      </c>
      <c r="H194" s="9" t="s">
        <v>51</v>
      </c>
      <c r="I194" s="9" t="s">
        <v>51</v>
      </c>
      <c r="J194" s="9" t="s">
        <v>51</v>
      </c>
      <c r="K194" s="9" t="s">
        <v>51</v>
      </c>
      <c r="L194" s="9" t="s">
        <v>51</v>
      </c>
      <c r="M194" s="9" t="s">
        <v>51</v>
      </c>
      <c r="N194" s="9" t="s">
        <v>51</v>
      </c>
      <c r="O194" s="9" t="s">
        <v>51</v>
      </c>
      <c r="P194" s="9" t="n">
        <v>241913</v>
      </c>
      <c r="Q194" s="9" t="n">
        <v>149430</v>
      </c>
      <c r="R194" s="10" t="n">
        <f aca="false">(Q194/P194)*100</f>
        <v>61.7701405050576</v>
      </c>
      <c r="S194" s="9" t="n">
        <f aca="false">Y194-AD194</f>
        <v>34176</v>
      </c>
      <c r="T194" s="10" t="n">
        <f aca="false">(S194/Q194)*100</f>
        <v>22.8709094559325</v>
      </c>
      <c r="U194" s="10" t="n">
        <f aca="false">Z194+AE194</f>
        <v>75.1080773606371</v>
      </c>
      <c r="V194" s="9" t="s">
        <v>52</v>
      </c>
      <c r="W194" s="9" t="s">
        <v>53</v>
      </c>
      <c r="X194" s="9" t="s">
        <v>1174</v>
      </c>
      <c r="Y194" s="9" t="n">
        <v>73205</v>
      </c>
      <c r="Z194" s="10" t="n">
        <f aca="false">(Y194/Q194)*100</f>
        <v>48.9894934082848</v>
      </c>
      <c r="AA194" s="9" t="s">
        <v>55</v>
      </c>
      <c r="AB194" s="9" t="s">
        <v>68</v>
      </c>
      <c r="AC194" s="9" t="s">
        <v>1175</v>
      </c>
      <c r="AD194" s="9" t="n">
        <v>39029</v>
      </c>
      <c r="AE194" s="10" t="n">
        <f aca="false">(AD194/Q194)*100</f>
        <v>26.1185839523523</v>
      </c>
      <c r="AF194" s="9" t="s">
        <v>71</v>
      </c>
      <c r="AG194" s="9" t="s">
        <v>72</v>
      </c>
      <c r="AH194" s="9" t="s">
        <v>1176</v>
      </c>
      <c r="AI194" s="9" t="n">
        <v>14495</v>
      </c>
      <c r="AJ194" s="10" t="n">
        <f aca="false">(AI194/Q194)*100</f>
        <v>9.70019407080238</v>
      </c>
      <c r="AK194" s="9" t="s">
        <v>58</v>
      </c>
      <c r="AL194" s="9" t="s">
        <v>58</v>
      </c>
      <c r="AM194" s="9" t="s">
        <v>1177</v>
      </c>
      <c r="AN194" s="9" t="n">
        <v>11215</v>
      </c>
      <c r="AO194" s="10" t="n">
        <f aca="false">(AN194/Q194)*100</f>
        <v>7.50518637489125</v>
      </c>
      <c r="AP194" s="9" t="s">
        <v>197</v>
      </c>
      <c r="AQ194" s="9" t="s">
        <v>197</v>
      </c>
      <c r="AR194" s="9" t="s">
        <v>1178</v>
      </c>
      <c r="AS194" s="9" t="n">
        <v>4907</v>
      </c>
      <c r="AT194" s="10" t="n">
        <f aca="false">(AS194/Q194)*100</f>
        <v>3.28381181824266</v>
      </c>
    </row>
    <row r="195" customFormat="false" ht="12.8" hidden="false" customHeight="true" outlineLevel="0" collapsed="false">
      <c r="A195" s="7" t="n">
        <v>2021</v>
      </c>
      <c r="B195" s="8" t="n">
        <v>194</v>
      </c>
      <c r="C195" s="9" t="s">
        <v>1179</v>
      </c>
      <c r="D195" s="9" t="s">
        <v>1143</v>
      </c>
      <c r="E195" s="9" t="s">
        <v>192</v>
      </c>
      <c r="F195" s="9" t="s">
        <v>1144</v>
      </c>
      <c r="G195" s="9" t="s">
        <v>88</v>
      </c>
      <c r="H195" s="9" t="s">
        <v>51</v>
      </c>
      <c r="I195" s="9" t="s">
        <v>51</v>
      </c>
      <c r="J195" s="9" t="s">
        <v>51</v>
      </c>
      <c r="K195" s="9" t="s">
        <v>68</v>
      </c>
      <c r="L195" s="9" t="s">
        <v>51</v>
      </c>
      <c r="M195" s="9" t="s">
        <v>68</v>
      </c>
      <c r="N195" s="9" t="s">
        <v>51</v>
      </c>
      <c r="O195" s="9" t="s">
        <v>228</v>
      </c>
      <c r="P195" s="9" t="n">
        <v>307141</v>
      </c>
      <c r="Q195" s="9" t="n">
        <v>201694</v>
      </c>
      <c r="R195" s="10" t="n">
        <f aca="false">(Q195/P195)*100</f>
        <v>65.6682110170899</v>
      </c>
      <c r="S195" s="9" t="n">
        <f aca="false">Y195-AD195</f>
        <v>9121</v>
      </c>
      <c r="T195" s="10" t="n">
        <f aca="false">(S195/Q195)*100</f>
        <v>4.52219699148215</v>
      </c>
      <c r="U195" s="10" t="n">
        <f aca="false">Z195+AE195</f>
        <v>78.6562812974109</v>
      </c>
      <c r="V195" s="9" t="s">
        <v>55</v>
      </c>
      <c r="W195" s="9" t="s">
        <v>68</v>
      </c>
      <c r="X195" s="9" t="s">
        <v>1180</v>
      </c>
      <c r="Y195" s="9" t="n">
        <v>83883</v>
      </c>
      <c r="Z195" s="10" t="n">
        <f aca="false">(Y195/Q195)*100</f>
        <v>41.5892391444465</v>
      </c>
      <c r="AA195" s="9" t="s">
        <v>52</v>
      </c>
      <c r="AB195" s="9" t="s">
        <v>53</v>
      </c>
      <c r="AC195" s="9" t="s">
        <v>1181</v>
      </c>
      <c r="AD195" s="9" t="n">
        <v>74762</v>
      </c>
      <c r="AE195" s="10" t="n">
        <f aca="false">(AD195/Q195)*100</f>
        <v>37.0670421529644</v>
      </c>
      <c r="AF195" s="9" t="s">
        <v>58</v>
      </c>
      <c r="AG195" s="9" t="s">
        <v>58</v>
      </c>
      <c r="AH195" s="9" t="s">
        <v>1182</v>
      </c>
      <c r="AI195" s="9" t="n">
        <v>18224</v>
      </c>
      <c r="AJ195" s="10" t="n">
        <f aca="false">(AI195/Q195)*100</f>
        <v>9.03546957271907</v>
      </c>
      <c r="AK195" s="9" t="s">
        <v>71</v>
      </c>
      <c r="AL195" s="9" t="s">
        <v>72</v>
      </c>
      <c r="AM195" s="9" t="s">
        <v>1183</v>
      </c>
      <c r="AN195" s="9" t="n">
        <v>15849</v>
      </c>
      <c r="AO195" s="10" t="n">
        <f aca="false">(AN195/Q195)*100</f>
        <v>7.85794322091882</v>
      </c>
      <c r="AP195" s="9" t="s">
        <v>60</v>
      </c>
      <c r="AQ195" s="9" t="s">
        <v>61</v>
      </c>
      <c r="AR195" s="9" t="s">
        <v>1184</v>
      </c>
      <c r="AS195" s="9" t="n">
        <v>3417</v>
      </c>
      <c r="AT195" s="10" t="n">
        <f aca="false">(AS195/Q195)*100</f>
        <v>1.69415054488483</v>
      </c>
    </row>
    <row r="196" customFormat="false" ht="12.8" hidden="false" customHeight="true" outlineLevel="0" collapsed="false">
      <c r="A196" s="7" t="n">
        <v>2021</v>
      </c>
      <c r="B196" s="8" t="n">
        <v>195</v>
      </c>
      <c r="C196" s="9" t="s">
        <v>1185</v>
      </c>
      <c r="D196" s="9" t="s">
        <v>1143</v>
      </c>
      <c r="E196" s="9" t="s">
        <v>192</v>
      </c>
      <c r="F196" s="9" t="s">
        <v>1144</v>
      </c>
      <c r="G196" s="9" t="s">
        <v>77</v>
      </c>
      <c r="H196" s="9" t="s">
        <v>51</v>
      </c>
      <c r="I196" s="9" t="s">
        <v>51</v>
      </c>
      <c r="J196" s="9" t="s">
        <v>51</v>
      </c>
      <c r="K196" s="9" t="s">
        <v>51</v>
      </c>
      <c r="L196" s="9" t="s">
        <v>51</v>
      </c>
      <c r="M196" s="9" t="s">
        <v>51</v>
      </c>
      <c r="N196" s="9" t="s">
        <v>51</v>
      </c>
      <c r="O196" s="9" t="s">
        <v>51</v>
      </c>
      <c r="P196" s="9" t="n">
        <v>321501</v>
      </c>
      <c r="Q196" s="9" t="n">
        <v>235849</v>
      </c>
      <c r="R196" s="10" t="n">
        <f aca="false">(Q196/P196)*100</f>
        <v>73.3587142808265</v>
      </c>
      <c r="S196" s="9" t="n">
        <f aca="false">Y196-AD196</f>
        <v>29489</v>
      </c>
      <c r="T196" s="10" t="n">
        <f aca="false">(S196/Q196)*100</f>
        <v>12.5033390008014</v>
      </c>
      <c r="U196" s="10" t="n">
        <f aca="false">Z196+AE196</f>
        <v>75.4198661007679</v>
      </c>
      <c r="V196" s="9" t="s">
        <v>55</v>
      </c>
      <c r="W196" s="9" t="s">
        <v>68</v>
      </c>
      <c r="X196" s="9" t="s">
        <v>1186</v>
      </c>
      <c r="Y196" s="9" t="n">
        <v>103683</v>
      </c>
      <c r="Z196" s="10" t="n">
        <f aca="false">(Y196/Q196)*100</f>
        <v>43.9616025507846</v>
      </c>
      <c r="AA196" s="9" t="s">
        <v>52</v>
      </c>
      <c r="AB196" s="9" t="s">
        <v>422</v>
      </c>
      <c r="AC196" s="9" t="s">
        <v>1187</v>
      </c>
      <c r="AD196" s="9" t="n">
        <v>74194</v>
      </c>
      <c r="AE196" s="10" t="n">
        <f aca="false">(AD196/Q196)*100</f>
        <v>31.4582635499833</v>
      </c>
      <c r="AF196" s="9" t="s">
        <v>58</v>
      </c>
      <c r="AG196" s="9" t="s">
        <v>58</v>
      </c>
      <c r="AH196" s="9" t="s">
        <v>1188</v>
      </c>
      <c r="AI196" s="9" t="n">
        <v>22722</v>
      </c>
      <c r="AJ196" s="10" t="n">
        <f aca="false">(AI196/Q196)*100</f>
        <v>9.63413031219127</v>
      </c>
      <c r="AK196" s="9" t="s">
        <v>71</v>
      </c>
      <c r="AL196" s="9" t="s">
        <v>72</v>
      </c>
      <c r="AM196" s="9" t="s">
        <v>1189</v>
      </c>
      <c r="AN196" s="9" t="n">
        <v>16750</v>
      </c>
      <c r="AO196" s="10" t="n">
        <f aca="false">(AN196/Q196)*100</f>
        <v>7.10200170448041</v>
      </c>
      <c r="AP196" s="9" t="s">
        <v>60</v>
      </c>
      <c r="AQ196" s="9" t="s">
        <v>74</v>
      </c>
      <c r="AR196" s="9" t="s">
        <v>1190</v>
      </c>
      <c r="AS196" s="9" t="n">
        <v>10190</v>
      </c>
      <c r="AT196" s="10" t="n">
        <f aca="false">(AS196/Q196)*100</f>
        <v>4.32056103693465</v>
      </c>
    </row>
    <row r="197" customFormat="false" ht="12.8" hidden="false" customHeight="true" outlineLevel="0" collapsed="false">
      <c r="A197" s="7" t="n">
        <v>2021</v>
      </c>
      <c r="B197" s="8" t="n">
        <v>196</v>
      </c>
      <c r="C197" s="9" t="s">
        <v>1191</v>
      </c>
      <c r="D197" s="9" t="s">
        <v>1143</v>
      </c>
      <c r="E197" s="9" t="s">
        <v>192</v>
      </c>
      <c r="F197" s="9" t="s">
        <v>1144</v>
      </c>
      <c r="G197" s="9" t="s">
        <v>77</v>
      </c>
      <c r="H197" s="9" t="s">
        <v>51</v>
      </c>
      <c r="I197" s="9" t="s">
        <v>526</v>
      </c>
      <c r="J197" s="9" t="s">
        <v>51</v>
      </c>
      <c r="K197" s="9" t="s">
        <v>51</v>
      </c>
      <c r="L197" s="9" t="s">
        <v>51</v>
      </c>
      <c r="M197" s="9" t="s">
        <v>51</v>
      </c>
      <c r="N197" s="9" t="s">
        <v>51</v>
      </c>
      <c r="O197" s="9" t="s">
        <v>51</v>
      </c>
      <c r="P197" s="9" t="n">
        <v>279598</v>
      </c>
      <c r="Q197" s="9" t="n">
        <v>220495</v>
      </c>
      <c r="R197" s="10" t="n">
        <f aca="false">(Q197/P197)*100</f>
        <v>78.8614367770871</v>
      </c>
      <c r="S197" s="9" t="n">
        <f aca="false">Y197-AD197</f>
        <v>14087</v>
      </c>
      <c r="T197" s="10" t="n">
        <f aca="false">(S197/Q197)*100</f>
        <v>6.38880700242636</v>
      </c>
      <c r="U197" s="10" t="n">
        <f aca="false">Z197+AE197</f>
        <v>84.6227805619175</v>
      </c>
      <c r="V197" s="9" t="s">
        <v>55</v>
      </c>
      <c r="W197" s="9" t="s">
        <v>68</v>
      </c>
      <c r="X197" s="9" t="s">
        <v>1192</v>
      </c>
      <c r="Y197" s="9" t="n">
        <v>100338</v>
      </c>
      <c r="Z197" s="10" t="n">
        <f aca="false">(Y197/Q197)*100</f>
        <v>45.5057937821719</v>
      </c>
      <c r="AA197" s="9" t="s">
        <v>52</v>
      </c>
      <c r="AB197" s="9" t="s">
        <v>53</v>
      </c>
      <c r="AC197" s="9" t="s">
        <v>1193</v>
      </c>
      <c r="AD197" s="9" t="n">
        <v>86251</v>
      </c>
      <c r="AE197" s="10" t="n">
        <f aca="false">(AD197/Q197)*100</f>
        <v>39.1169867797456</v>
      </c>
      <c r="AF197" s="9" t="s">
        <v>60</v>
      </c>
      <c r="AG197" s="9" t="s">
        <v>74</v>
      </c>
      <c r="AH197" s="9" t="s">
        <v>1194</v>
      </c>
      <c r="AI197" s="9" t="n">
        <v>13780</v>
      </c>
      <c r="AJ197" s="10" t="n">
        <f aca="false">(AI197/Q197)*100</f>
        <v>6.24957482029071</v>
      </c>
      <c r="AK197" s="9" t="s">
        <v>58</v>
      </c>
      <c r="AL197" s="9" t="s">
        <v>58</v>
      </c>
      <c r="AM197" s="9" t="s">
        <v>1195</v>
      </c>
      <c r="AN197" s="9" t="n">
        <v>11593</v>
      </c>
      <c r="AO197" s="10" t="n">
        <f aca="false">(AN197/Q197)*100</f>
        <v>5.25771559445792</v>
      </c>
      <c r="AP197" s="9" t="s">
        <v>71</v>
      </c>
      <c r="AQ197" s="9" t="s">
        <v>72</v>
      </c>
      <c r="AR197" s="9" t="s">
        <v>1196</v>
      </c>
      <c r="AS197" s="9" t="n">
        <v>2775</v>
      </c>
      <c r="AT197" s="10" t="n">
        <f aca="false">(AS197/Q197)*100</f>
        <v>1.25853193949976</v>
      </c>
    </row>
    <row r="198" customFormat="false" ht="12.8" hidden="false" customHeight="true" outlineLevel="0" collapsed="false">
      <c r="A198" s="7" t="n">
        <v>2021</v>
      </c>
      <c r="B198" s="8" t="n">
        <v>197</v>
      </c>
      <c r="C198" s="9" t="s">
        <v>1197</v>
      </c>
      <c r="D198" s="9" t="s">
        <v>1143</v>
      </c>
      <c r="E198" s="9" t="s">
        <v>192</v>
      </c>
      <c r="F198" s="9" t="s">
        <v>1144</v>
      </c>
      <c r="G198" s="9" t="s">
        <v>77</v>
      </c>
      <c r="H198" s="9" t="s">
        <v>51</v>
      </c>
      <c r="I198" s="9" t="s">
        <v>51</v>
      </c>
      <c r="J198" s="9" t="s">
        <v>51</v>
      </c>
      <c r="K198" s="9" t="s">
        <v>51</v>
      </c>
      <c r="L198" s="30" t="s">
        <v>1198</v>
      </c>
      <c r="M198" s="9" t="s">
        <v>51</v>
      </c>
      <c r="N198" s="30" t="s">
        <v>1198</v>
      </c>
      <c r="O198" s="9" t="s">
        <v>51</v>
      </c>
      <c r="P198" s="9" t="n">
        <v>286453</v>
      </c>
      <c r="Q198" s="9" t="n">
        <v>212513</v>
      </c>
      <c r="R198" s="10" t="n">
        <f aca="false">(Q198/P198)*100</f>
        <v>74.1877376044238</v>
      </c>
      <c r="S198" s="9" t="n">
        <f aca="false">Y198-AD198</f>
        <v>7477</v>
      </c>
      <c r="T198" s="10" t="n">
        <f aca="false">(S198/Q198)*100</f>
        <v>3.51837299365215</v>
      </c>
      <c r="U198" s="10" t="n">
        <f aca="false">Z198+AE198</f>
        <v>63.5410539590519</v>
      </c>
      <c r="V198" s="9" t="s">
        <v>55</v>
      </c>
      <c r="W198" s="9" t="s">
        <v>68</v>
      </c>
      <c r="X198" s="9" t="s">
        <v>1199</v>
      </c>
      <c r="Y198" s="9" t="n">
        <v>71255</v>
      </c>
      <c r="Z198" s="10" t="n">
        <f aca="false">(Y198/Q198)*100</f>
        <v>33.529713476352</v>
      </c>
      <c r="AA198" s="9" t="s">
        <v>52</v>
      </c>
      <c r="AB198" s="30" t="s">
        <v>1198</v>
      </c>
      <c r="AC198" s="9" t="s">
        <v>1200</v>
      </c>
      <c r="AD198" s="9" t="n">
        <v>63778</v>
      </c>
      <c r="AE198" s="10" t="n">
        <f aca="false">(AD198/Q198)*100</f>
        <v>30.0113404826999</v>
      </c>
      <c r="AF198" s="9" t="s">
        <v>60</v>
      </c>
      <c r="AG198" s="9" t="s">
        <v>74</v>
      </c>
      <c r="AH198" s="9" t="s">
        <v>1201</v>
      </c>
      <c r="AI198" s="9" t="n">
        <v>55491</v>
      </c>
      <c r="AJ198" s="10" t="n">
        <f aca="false">(AI198/Q198)*100</f>
        <v>26.1118143360642</v>
      </c>
      <c r="AK198" s="9" t="s">
        <v>58</v>
      </c>
      <c r="AL198" s="9" t="s">
        <v>58</v>
      </c>
      <c r="AM198" s="9" t="s">
        <v>1202</v>
      </c>
      <c r="AN198" s="9" t="n">
        <v>15357</v>
      </c>
      <c r="AO198" s="10" t="n">
        <f aca="false">(AN198/Q198)*100</f>
        <v>7.22638144489984</v>
      </c>
      <c r="AP198" s="9" t="s">
        <v>197</v>
      </c>
      <c r="AQ198" s="9" t="s">
        <v>197</v>
      </c>
      <c r="AR198" s="9" t="s">
        <v>259</v>
      </c>
      <c r="AS198" s="9" t="n">
        <v>1247</v>
      </c>
      <c r="AT198" s="10" t="n">
        <f aca="false">(AS198/Q198)*100</f>
        <v>0.586787631815465</v>
      </c>
    </row>
    <row r="199" customFormat="false" ht="12.8" hidden="false" customHeight="true" outlineLevel="0" collapsed="false">
      <c r="A199" s="7" t="n">
        <v>2021</v>
      </c>
      <c r="B199" s="8" t="n">
        <v>198</v>
      </c>
      <c r="C199" s="9" t="s">
        <v>1203</v>
      </c>
      <c r="D199" s="9" t="s">
        <v>1204</v>
      </c>
      <c r="E199" s="9" t="s">
        <v>192</v>
      </c>
      <c r="F199" s="9" t="s">
        <v>1144</v>
      </c>
      <c r="G199" s="9" t="s">
        <v>77</v>
      </c>
      <c r="H199" s="9" t="s">
        <v>51</v>
      </c>
      <c r="I199" s="9" t="s">
        <v>526</v>
      </c>
      <c r="J199" s="9" t="s">
        <v>51</v>
      </c>
      <c r="K199" s="9" t="s">
        <v>51</v>
      </c>
      <c r="L199" s="9" t="s">
        <v>68</v>
      </c>
      <c r="M199" s="9" t="s">
        <v>51</v>
      </c>
      <c r="N199" s="9" t="s">
        <v>68</v>
      </c>
      <c r="O199" s="9" t="s">
        <v>228</v>
      </c>
      <c r="P199" s="9" t="n">
        <v>278344</v>
      </c>
      <c r="Q199" s="9" t="n">
        <v>209540</v>
      </c>
      <c r="R199" s="10" t="n">
        <f aca="false">(Q199/P199)*100</f>
        <v>75.280947316989</v>
      </c>
      <c r="S199" s="9" t="n">
        <f aca="false">Y199-AD199</f>
        <v>14538</v>
      </c>
      <c r="T199" s="10" t="n">
        <f aca="false">(S199/Q199)*100</f>
        <v>6.93805478667558</v>
      </c>
      <c r="U199" s="10" t="n">
        <f aca="false">Z199+AE199</f>
        <v>88.0710126944736</v>
      </c>
      <c r="V199" s="9" t="s">
        <v>52</v>
      </c>
      <c r="W199" s="9" t="s">
        <v>53</v>
      </c>
      <c r="X199" s="9" t="s">
        <v>1205</v>
      </c>
      <c r="Y199" s="9" t="n">
        <v>99541</v>
      </c>
      <c r="Z199" s="10" t="n">
        <f aca="false">(Y199/Q199)*100</f>
        <v>47.5045337405746</v>
      </c>
      <c r="AA199" s="9" t="s">
        <v>55</v>
      </c>
      <c r="AB199" s="9" t="s">
        <v>68</v>
      </c>
      <c r="AC199" s="9" t="s">
        <v>1206</v>
      </c>
      <c r="AD199" s="9" t="n">
        <v>85003</v>
      </c>
      <c r="AE199" s="10" t="n">
        <f aca="false">(AD199/Q199)*100</f>
        <v>40.566478953899</v>
      </c>
      <c r="AF199" s="9" t="s">
        <v>60</v>
      </c>
      <c r="AG199" s="9" t="s">
        <v>74</v>
      </c>
      <c r="AH199" s="9" t="s">
        <v>1207</v>
      </c>
      <c r="AI199" s="9" t="n">
        <v>11896</v>
      </c>
      <c r="AJ199" s="10" t="n">
        <f aca="false">(AI199/Q199)*100</f>
        <v>5.67719767108905</v>
      </c>
      <c r="AK199" s="9" t="s">
        <v>58</v>
      </c>
      <c r="AL199" s="9" t="s">
        <v>58</v>
      </c>
      <c r="AM199" s="9" t="s">
        <v>1208</v>
      </c>
      <c r="AN199" s="9" t="n">
        <v>11216</v>
      </c>
      <c r="AO199" s="10" t="n">
        <f aca="false">(AN199/Q199)*100</f>
        <v>5.35267729311826</v>
      </c>
      <c r="AP199" s="9" t="s">
        <v>71</v>
      </c>
      <c r="AQ199" s="9" t="s">
        <v>72</v>
      </c>
      <c r="AR199" s="9" t="s">
        <v>165</v>
      </c>
      <c r="AS199" s="9" t="n">
        <v>3010</v>
      </c>
      <c r="AT199" s="10" t="n">
        <f aca="false">(AS199/Q199)*100</f>
        <v>1.43647990837072</v>
      </c>
    </row>
    <row r="200" customFormat="false" ht="12.8" hidden="false" customHeight="true" outlineLevel="0" collapsed="false">
      <c r="A200" s="7" t="n">
        <v>2021</v>
      </c>
      <c r="B200" s="8" t="n">
        <v>199</v>
      </c>
      <c r="C200" s="9" t="s">
        <v>1209</v>
      </c>
      <c r="D200" s="9" t="s">
        <v>1204</v>
      </c>
      <c r="E200" s="9" t="s">
        <v>192</v>
      </c>
      <c r="F200" s="9" t="s">
        <v>1144</v>
      </c>
      <c r="G200" s="9" t="s">
        <v>77</v>
      </c>
      <c r="H200" s="9" t="s">
        <v>65</v>
      </c>
      <c r="I200" s="9" t="s">
        <v>51</v>
      </c>
      <c r="J200" s="9" t="s">
        <v>51</v>
      </c>
      <c r="K200" s="9" t="s">
        <v>51</v>
      </c>
      <c r="L200" s="9" t="s">
        <v>51</v>
      </c>
      <c r="M200" s="9" t="s">
        <v>51</v>
      </c>
      <c r="N200" s="9" t="s">
        <v>51</v>
      </c>
      <c r="O200" s="9" t="s">
        <v>51</v>
      </c>
      <c r="P200" s="9" t="n">
        <v>285471</v>
      </c>
      <c r="Q200" s="9" t="n">
        <v>201797</v>
      </c>
      <c r="R200" s="10" t="n">
        <f aca="false">(Q200/P200)*100</f>
        <v>70.6891418042463</v>
      </c>
      <c r="S200" s="9" t="n">
        <f aca="false">Y200-AD200</f>
        <v>21321</v>
      </c>
      <c r="T200" s="10" t="n">
        <f aca="false">(S200/Q200)*100</f>
        <v>10.5655683682116</v>
      </c>
      <c r="U200" s="10" t="n">
        <f aca="false">Z200+AE200</f>
        <v>80.8639375213705</v>
      </c>
      <c r="V200" s="9" t="s">
        <v>52</v>
      </c>
      <c r="W200" s="9" t="s">
        <v>53</v>
      </c>
      <c r="X200" s="9" t="s">
        <v>1210</v>
      </c>
      <c r="Y200" s="9" t="n">
        <v>92251</v>
      </c>
      <c r="Z200" s="10" t="n">
        <f aca="false">(Y200/Q200)*100</f>
        <v>45.7147529447911</v>
      </c>
      <c r="AA200" s="9" t="s">
        <v>55</v>
      </c>
      <c r="AB200" s="9" t="s">
        <v>68</v>
      </c>
      <c r="AC200" s="9" t="s">
        <v>1211</v>
      </c>
      <c r="AD200" s="9" t="n">
        <v>70930</v>
      </c>
      <c r="AE200" s="10" t="n">
        <f aca="false">(AD200/Q200)*100</f>
        <v>35.1491845765794</v>
      </c>
      <c r="AF200" s="9" t="s">
        <v>60</v>
      </c>
      <c r="AG200" s="9" t="s">
        <v>74</v>
      </c>
      <c r="AH200" s="9" t="s">
        <v>1212</v>
      </c>
      <c r="AI200" s="9" t="n">
        <v>16424</v>
      </c>
      <c r="AJ200" s="10" t="n">
        <f aca="false">(AI200/Q200)*100</f>
        <v>8.13887223298662</v>
      </c>
      <c r="AK200" s="9" t="s">
        <v>58</v>
      </c>
      <c r="AL200" s="9" t="s">
        <v>58</v>
      </c>
      <c r="AM200" s="9" t="s">
        <v>1213</v>
      </c>
      <c r="AN200" s="9" t="n">
        <v>11794</v>
      </c>
      <c r="AO200" s="10" t="n">
        <f aca="false">(AN200/Q200)*100</f>
        <v>5.84448728177327</v>
      </c>
      <c r="AP200" s="9" t="s">
        <v>71</v>
      </c>
      <c r="AQ200" s="9" t="s">
        <v>72</v>
      </c>
      <c r="AR200" s="9" t="s">
        <v>1214</v>
      </c>
      <c r="AS200" s="9" t="n">
        <v>5680</v>
      </c>
      <c r="AT200" s="10" t="n">
        <f aca="false">(AS200/Q200)*100</f>
        <v>2.81470983215806</v>
      </c>
    </row>
    <row r="201" customFormat="false" ht="12.8" hidden="false" customHeight="true" outlineLevel="0" collapsed="false">
      <c r="A201" s="7" t="n">
        <v>2021</v>
      </c>
      <c r="B201" s="8" t="n">
        <v>200</v>
      </c>
      <c r="C201" s="9" t="s">
        <v>1215</v>
      </c>
      <c r="D201" s="9" t="s">
        <v>1204</v>
      </c>
      <c r="E201" s="9" t="s">
        <v>192</v>
      </c>
      <c r="F201" s="9" t="s">
        <v>1144</v>
      </c>
      <c r="G201" s="9" t="s">
        <v>77</v>
      </c>
      <c r="H201" s="9" t="s">
        <v>51</v>
      </c>
      <c r="I201" s="9" t="s">
        <v>51</v>
      </c>
      <c r="J201" s="9" t="s">
        <v>51</v>
      </c>
      <c r="K201" s="9" t="s">
        <v>68</v>
      </c>
      <c r="L201" s="9" t="s">
        <v>51</v>
      </c>
      <c r="M201" s="9" t="s">
        <v>68</v>
      </c>
      <c r="N201" s="9" t="s">
        <v>51</v>
      </c>
      <c r="O201" s="9" t="s">
        <v>126</v>
      </c>
      <c r="P201" s="9" t="n">
        <v>278815</v>
      </c>
      <c r="Q201" s="9" t="n">
        <v>214795</v>
      </c>
      <c r="R201" s="10" t="n">
        <f aca="false">(Q201/P201)*100</f>
        <v>77.0385380987393</v>
      </c>
      <c r="S201" s="9" t="n">
        <f aca="false">Y201-AD201</f>
        <v>11021</v>
      </c>
      <c r="T201" s="10" t="n">
        <f aca="false">(S201/Q201)*100</f>
        <v>5.13093880211364</v>
      </c>
      <c r="U201" s="10" t="n">
        <f aca="false">Z201+AE201</f>
        <v>88.0276542750064</v>
      </c>
      <c r="V201" s="9" t="s">
        <v>55</v>
      </c>
      <c r="W201" s="9" t="s">
        <v>68</v>
      </c>
      <c r="X201" s="9" t="s">
        <v>1216</v>
      </c>
      <c r="Y201" s="9" t="n">
        <v>100050</v>
      </c>
      <c r="Z201" s="10" t="n">
        <f aca="false">(Y201/Q201)*100</f>
        <v>46.57929653856</v>
      </c>
      <c r="AA201" s="9" t="s">
        <v>52</v>
      </c>
      <c r="AB201" s="9" t="s">
        <v>53</v>
      </c>
      <c r="AC201" s="9" t="s">
        <v>1217</v>
      </c>
      <c r="AD201" s="9" t="n">
        <v>89029</v>
      </c>
      <c r="AE201" s="10" t="n">
        <f aca="false">(AD201/Q201)*100</f>
        <v>41.4483577364464</v>
      </c>
      <c r="AF201" s="9" t="s">
        <v>58</v>
      </c>
      <c r="AG201" s="9" t="s">
        <v>58</v>
      </c>
      <c r="AH201" s="9" t="s">
        <v>1218</v>
      </c>
      <c r="AI201" s="9" t="n">
        <v>11114</v>
      </c>
      <c r="AJ201" s="10" t="n">
        <f aca="false">(AI201/Q201)*100</f>
        <v>5.17423589934589</v>
      </c>
      <c r="AK201" s="9" t="s">
        <v>60</v>
      </c>
      <c r="AL201" s="9" t="s">
        <v>74</v>
      </c>
      <c r="AM201" s="9" t="s">
        <v>1219</v>
      </c>
      <c r="AN201" s="9" t="n">
        <v>5649</v>
      </c>
      <c r="AO201" s="10" t="n">
        <f aca="false">(AN201/Q201)*100</f>
        <v>2.6299494867199</v>
      </c>
      <c r="AP201" s="9" t="s">
        <v>71</v>
      </c>
      <c r="AQ201" s="9" t="s">
        <v>72</v>
      </c>
      <c r="AR201" s="9" t="s">
        <v>1220</v>
      </c>
      <c r="AS201" s="9" t="n">
        <v>4128</v>
      </c>
      <c r="AT201" s="10" t="n">
        <f aca="false">(AS201/Q201)*100</f>
        <v>1.92183244488931</v>
      </c>
    </row>
    <row r="202" customFormat="false" ht="12.8" hidden="false" customHeight="true" outlineLevel="0" collapsed="false">
      <c r="A202" s="7" t="n">
        <v>2021</v>
      </c>
      <c r="B202" s="8" t="n">
        <v>201</v>
      </c>
      <c r="C202" s="9" t="s">
        <v>1221</v>
      </c>
      <c r="D202" s="9" t="s">
        <v>1204</v>
      </c>
      <c r="E202" s="9" t="s">
        <v>192</v>
      </c>
      <c r="F202" s="9" t="s">
        <v>1144</v>
      </c>
      <c r="G202" s="9" t="s">
        <v>77</v>
      </c>
      <c r="H202" s="9" t="s">
        <v>51</v>
      </c>
      <c r="I202" s="9" t="s">
        <v>526</v>
      </c>
      <c r="J202" s="9" t="s">
        <v>51</v>
      </c>
      <c r="K202" s="9" t="s">
        <v>53</v>
      </c>
      <c r="L202" s="9" t="s">
        <v>51</v>
      </c>
      <c r="M202" s="9" t="s">
        <v>51</v>
      </c>
      <c r="N202" s="9" t="s">
        <v>53</v>
      </c>
      <c r="O202" s="9" t="s">
        <v>51</v>
      </c>
      <c r="P202" s="9" t="n">
        <v>288262</v>
      </c>
      <c r="Q202" s="9" t="n">
        <v>202275</v>
      </c>
      <c r="R202" s="10" t="n">
        <f aca="false">(Q202/P202)*100</f>
        <v>70.1705393010525</v>
      </c>
      <c r="S202" s="9" t="n">
        <f aca="false">Y202-AD202</f>
        <v>42413</v>
      </c>
      <c r="T202" s="10" t="n">
        <f aca="false">(S202/Q202)*100</f>
        <v>20.9679891237177</v>
      </c>
      <c r="U202" s="10" t="n">
        <f aca="false">Z202+AE202</f>
        <v>82.6533185020393</v>
      </c>
      <c r="V202" s="9" t="s">
        <v>52</v>
      </c>
      <c r="W202" s="9" t="s">
        <v>53</v>
      </c>
      <c r="X202" s="9" t="s">
        <v>1222</v>
      </c>
      <c r="Y202" s="9" t="n">
        <v>104800</v>
      </c>
      <c r="Z202" s="10" t="n">
        <f aca="false">(Y202/Q202)*100</f>
        <v>51.8106538128785</v>
      </c>
      <c r="AA202" s="9" t="s">
        <v>55</v>
      </c>
      <c r="AB202" s="9" t="s">
        <v>68</v>
      </c>
      <c r="AC202" s="9" t="s">
        <v>1223</v>
      </c>
      <c r="AD202" s="9" t="n">
        <v>62387</v>
      </c>
      <c r="AE202" s="10" t="n">
        <f aca="false">(AD202/Q202)*100</f>
        <v>30.8426646891608</v>
      </c>
      <c r="AF202" s="9" t="s">
        <v>60</v>
      </c>
      <c r="AG202" s="9" t="s">
        <v>74</v>
      </c>
      <c r="AH202" s="9" t="s">
        <v>1224</v>
      </c>
      <c r="AI202" s="9" t="n">
        <v>14536</v>
      </c>
      <c r="AJ202" s="10" t="n">
        <f aca="false">(AI202/Q202)*100</f>
        <v>7.18625633419849</v>
      </c>
      <c r="AK202" s="9" t="s">
        <v>58</v>
      </c>
      <c r="AL202" s="9" t="s">
        <v>58</v>
      </c>
      <c r="AM202" s="9" t="s">
        <v>1225</v>
      </c>
      <c r="AN202" s="9" t="n">
        <v>12347</v>
      </c>
      <c r="AO202" s="10" t="n">
        <f aca="false">(AN202/Q202)*100</f>
        <v>6.10406624644667</v>
      </c>
      <c r="AP202" s="9" t="s">
        <v>71</v>
      </c>
      <c r="AQ202" s="9" t="s">
        <v>72</v>
      </c>
      <c r="AR202" s="9" t="s">
        <v>1226</v>
      </c>
      <c r="AS202" s="9" t="n">
        <v>4647</v>
      </c>
      <c r="AT202" s="10" t="n">
        <f aca="false">(AS202/Q202)*100</f>
        <v>2.2973674453096</v>
      </c>
    </row>
    <row r="203" customFormat="false" ht="12.8" hidden="false" customHeight="true" outlineLevel="0" collapsed="false">
      <c r="A203" s="7" t="n">
        <v>2021</v>
      </c>
      <c r="B203" s="8" t="n">
        <v>202</v>
      </c>
      <c r="C203" s="9" t="s">
        <v>1227</v>
      </c>
      <c r="D203" s="9" t="s">
        <v>1228</v>
      </c>
      <c r="E203" s="9" t="s">
        <v>192</v>
      </c>
      <c r="F203" s="9" t="s">
        <v>1144</v>
      </c>
      <c r="G203" s="9" t="s">
        <v>88</v>
      </c>
      <c r="H203" s="9" t="s">
        <v>51</v>
      </c>
      <c r="I203" s="9" t="s">
        <v>51</v>
      </c>
      <c r="J203" s="9" t="s">
        <v>51</v>
      </c>
      <c r="K203" s="9" t="s">
        <v>51</v>
      </c>
      <c r="L203" s="9" t="s">
        <v>51</v>
      </c>
      <c r="M203" s="9" t="s">
        <v>51</v>
      </c>
      <c r="N203" s="9" t="s">
        <v>51</v>
      </c>
      <c r="O203" s="9" t="s">
        <v>51</v>
      </c>
      <c r="P203" s="9" t="n">
        <v>239461</v>
      </c>
      <c r="Q203" s="9" t="n">
        <v>178708</v>
      </c>
      <c r="R203" s="10" t="n">
        <f aca="false">(Q203/P203)*100</f>
        <v>74.6292715724064</v>
      </c>
      <c r="S203" s="9" t="n">
        <f aca="false">Y203-AD203</f>
        <v>3898</v>
      </c>
      <c r="T203" s="10" t="n">
        <f aca="false">(S203/Q203)*100</f>
        <v>2.18121180920832</v>
      </c>
      <c r="U203" s="10" t="n">
        <f aca="false">Z203+AE203</f>
        <v>80.8122747722542</v>
      </c>
      <c r="V203" s="9" t="s">
        <v>52</v>
      </c>
      <c r="W203" s="9" t="s">
        <v>53</v>
      </c>
      <c r="X203" s="9" t="s">
        <v>1229</v>
      </c>
      <c r="Y203" s="9" t="n">
        <v>74158</v>
      </c>
      <c r="Z203" s="10" t="n">
        <f aca="false">(Y203/Q203)*100</f>
        <v>41.4967432907312</v>
      </c>
      <c r="AA203" s="9" t="s">
        <v>55</v>
      </c>
      <c r="AB203" s="9" t="s">
        <v>68</v>
      </c>
      <c r="AC203" s="9" t="s">
        <v>1230</v>
      </c>
      <c r="AD203" s="9" t="n">
        <v>70260</v>
      </c>
      <c r="AE203" s="10" t="n">
        <f aca="false">(AD203/Q203)*100</f>
        <v>39.3155314815229</v>
      </c>
      <c r="AF203" s="9" t="s">
        <v>58</v>
      </c>
      <c r="AG203" s="9" t="s">
        <v>58</v>
      </c>
      <c r="AH203" s="9" t="s">
        <v>1231</v>
      </c>
      <c r="AI203" s="9" t="n">
        <v>15601</v>
      </c>
      <c r="AJ203" s="10" t="n">
        <f aca="false">(AI203/Q203)*100</f>
        <v>8.72988338518701</v>
      </c>
      <c r="AK203" s="9" t="s">
        <v>60</v>
      </c>
      <c r="AL203" s="9" t="s">
        <v>74</v>
      </c>
      <c r="AM203" s="9" t="s">
        <v>1232</v>
      </c>
      <c r="AN203" s="9" t="n">
        <v>7664</v>
      </c>
      <c r="AO203" s="10" t="n">
        <f aca="false">(AN203/Q203)*100</f>
        <v>4.28856010922846</v>
      </c>
      <c r="AP203" s="9" t="s">
        <v>71</v>
      </c>
      <c r="AQ203" s="9" t="s">
        <v>72</v>
      </c>
      <c r="AR203" s="9" t="s">
        <v>1233</v>
      </c>
      <c r="AS203" s="9" t="n">
        <v>4057</v>
      </c>
      <c r="AT203" s="10" t="n">
        <f aca="false">(AS203/Q203)*100</f>
        <v>2.27018376345771</v>
      </c>
    </row>
    <row r="204" customFormat="false" ht="12.8" hidden="false" customHeight="true" outlineLevel="0" collapsed="false">
      <c r="A204" s="7" t="n">
        <v>2021</v>
      </c>
      <c r="B204" s="8" t="n">
        <v>203</v>
      </c>
      <c r="C204" s="9" t="s">
        <v>1234</v>
      </c>
      <c r="D204" s="9" t="s">
        <v>1228</v>
      </c>
      <c r="E204" s="9" t="s">
        <v>192</v>
      </c>
      <c r="F204" s="9" t="s">
        <v>1144</v>
      </c>
      <c r="G204" s="9" t="s">
        <v>77</v>
      </c>
      <c r="H204" s="9" t="s">
        <v>65</v>
      </c>
      <c r="I204" s="9" t="s">
        <v>51</v>
      </c>
      <c r="J204" s="9" t="s">
        <v>51</v>
      </c>
      <c r="K204" s="9" t="s">
        <v>51</v>
      </c>
      <c r="L204" s="9" t="s">
        <v>68</v>
      </c>
      <c r="M204" s="9" t="s">
        <v>51</v>
      </c>
      <c r="N204" s="9" t="s">
        <v>51</v>
      </c>
      <c r="O204" s="9" t="s">
        <v>51</v>
      </c>
      <c r="P204" s="9" t="n">
        <v>250640</v>
      </c>
      <c r="Q204" s="9" t="n">
        <v>185039</v>
      </c>
      <c r="R204" s="10" t="n">
        <f aca="false">(Q204/P204)*100</f>
        <v>73.8266038940313</v>
      </c>
      <c r="S204" s="9" t="n">
        <f aca="false">Y204-AD204</f>
        <v>12738</v>
      </c>
      <c r="T204" s="10" t="n">
        <f aca="false">(S204/Q204)*100</f>
        <v>6.8839541934403</v>
      </c>
      <c r="U204" s="10" t="n">
        <f aca="false">Z204+AE204</f>
        <v>69.2891768762261</v>
      </c>
      <c r="V204" s="9" t="s">
        <v>55</v>
      </c>
      <c r="W204" s="9" t="s">
        <v>68</v>
      </c>
      <c r="X204" s="9" t="s">
        <v>1235</v>
      </c>
      <c r="Y204" s="9" t="n">
        <v>70475</v>
      </c>
      <c r="Z204" s="10" t="n">
        <f aca="false">(Y204/Q204)*100</f>
        <v>38.0865655348332</v>
      </c>
      <c r="AA204" s="9" t="s">
        <v>52</v>
      </c>
      <c r="AB204" s="9" t="s">
        <v>66</v>
      </c>
      <c r="AC204" s="9" t="s">
        <v>1236</v>
      </c>
      <c r="AD204" s="9" t="n">
        <v>57737</v>
      </c>
      <c r="AE204" s="10" t="n">
        <f aca="false">(AD204/Q204)*100</f>
        <v>31.2026113413929</v>
      </c>
      <c r="AF204" s="9" t="s">
        <v>60</v>
      </c>
      <c r="AG204" s="9" t="s">
        <v>74</v>
      </c>
      <c r="AH204" s="9" t="s">
        <v>1237</v>
      </c>
      <c r="AI204" s="9" t="n">
        <v>23682</v>
      </c>
      <c r="AJ204" s="10" t="n">
        <f aca="false">(AI204/Q204)*100</f>
        <v>12.7983830435746</v>
      </c>
      <c r="AK204" s="9" t="s">
        <v>58</v>
      </c>
      <c r="AL204" s="9" t="s">
        <v>58</v>
      </c>
      <c r="AM204" s="9" t="s">
        <v>1238</v>
      </c>
      <c r="AN204" s="9" t="n">
        <v>20348</v>
      </c>
      <c r="AO204" s="10" t="n">
        <f aca="false">(AN204/Q204)*100</f>
        <v>10.9966007166057</v>
      </c>
      <c r="AP204" s="30" t="s">
        <v>1059</v>
      </c>
      <c r="AQ204" s="30" t="s">
        <v>1059</v>
      </c>
      <c r="AR204" s="9" t="s">
        <v>1239</v>
      </c>
      <c r="AS204" s="9" t="n">
        <v>4985</v>
      </c>
      <c r="AT204" s="10" t="n">
        <f aca="false">(AS204/Q204)*100</f>
        <v>2.69402666464907</v>
      </c>
    </row>
    <row r="205" customFormat="false" ht="12.8" hidden="false" customHeight="true" outlineLevel="0" collapsed="false">
      <c r="A205" s="7" t="n">
        <v>2021</v>
      </c>
      <c r="B205" s="8" t="n">
        <v>204</v>
      </c>
      <c r="C205" s="9" t="s">
        <v>1240</v>
      </c>
      <c r="D205" s="9" t="s">
        <v>1228</v>
      </c>
      <c r="E205" s="9" t="s">
        <v>192</v>
      </c>
      <c r="F205" s="9" t="s">
        <v>1144</v>
      </c>
      <c r="G205" s="9" t="s">
        <v>77</v>
      </c>
      <c r="H205" s="9" t="s">
        <v>51</v>
      </c>
      <c r="I205" s="9" t="s">
        <v>526</v>
      </c>
      <c r="J205" s="9" t="s">
        <v>51</v>
      </c>
      <c r="K205" s="9" t="s">
        <v>51</v>
      </c>
      <c r="L205" s="9" t="s">
        <v>53</v>
      </c>
      <c r="M205" s="9" t="s">
        <v>51</v>
      </c>
      <c r="N205" s="9" t="s">
        <v>51</v>
      </c>
      <c r="O205" s="9" t="s">
        <v>334</v>
      </c>
      <c r="P205" s="9" t="n">
        <v>253363</v>
      </c>
      <c r="Q205" s="9" t="n">
        <v>191783</v>
      </c>
      <c r="R205" s="10" t="n">
        <f aca="false">(Q205/P205)*100</f>
        <v>75.6949515122571</v>
      </c>
      <c r="S205" s="9" t="n">
        <f aca="false">Y205-AD205</f>
        <v>11179</v>
      </c>
      <c r="T205" s="10" t="n">
        <f aca="false">(S205/Q205)*100</f>
        <v>5.82898379939828</v>
      </c>
      <c r="U205" s="10" t="n">
        <f aca="false">Z205+AE205</f>
        <v>71.5230234170912</v>
      </c>
      <c r="V205" s="9" t="s">
        <v>52</v>
      </c>
      <c r="W205" s="9" t="s">
        <v>271</v>
      </c>
      <c r="X205" s="9" t="s">
        <v>1241</v>
      </c>
      <c r="Y205" s="9" t="n">
        <v>74174</v>
      </c>
      <c r="Z205" s="10" t="n">
        <f aca="false">(Y205/Q205)*100</f>
        <v>38.6760036082447</v>
      </c>
      <c r="AA205" s="9" t="s">
        <v>55</v>
      </c>
      <c r="AB205" s="9" t="s">
        <v>68</v>
      </c>
      <c r="AC205" s="9" t="s">
        <v>1242</v>
      </c>
      <c r="AD205" s="9" t="n">
        <v>62995</v>
      </c>
      <c r="AE205" s="10" t="n">
        <f aca="false">(AD205/Q205)*100</f>
        <v>32.8470198088465</v>
      </c>
      <c r="AF205" s="9" t="s">
        <v>60</v>
      </c>
      <c r="AG205" s="9" t="s">
        <v>74</v>
      </c>
      <c r="AH205" s="9" t="s">
        <v>1243</v>
      </c>
      <c r="AI205" s="9" t="n">
        <v>32916</v>
      </c>
      <c r="AJ205" s="10" t="n">
        <f aca="false">(AI205/Q205)*100</f>
        <v>17.1631479328199</v>
      </c>
      <c r="AK205" s="9" t="s">
        <v>58</v>
      </c>
      <c r="AL205" s="9" t="s">
        <v>58</v>
      </c>
      <c r="AM205" s="9" t="s">
        <v>1244</v>
      </c>
      <c r="AN205" s="9" t="n">
        <v>12626</v>
      </c>
      <c r="AO205" s="10" t="n">
        <f aca="false">(AN205/Q205)*100</f>
        <v>6.58348237330733</v>
      </c>
      <c r="AP205" s="9" t="s">
        <v>71</v>
      </c>
      <c r="AQ205" s="15" t="s">
        <v>179</v>
      </c>
      <c r="AR205" s="9" t="s">
        <v>1245</v>
      </c>
      <c r="AS205" s="9" t="n">
        <v>1751</v>
      </c>
      <c r="AT205" s="10" t="n">
        <f aca="false">(AS205/Q205)*100</f>
        <v>0.913011059374397</v>
      </c>
    </row>
    <row r="206" customFormat="false" ht="12.8" hidden="false" customHeight="true" outlineLevel="0" collapsed="false">
      <c r="A206" s="7" t="n">
        <v>2021</v>
      </c>
      <c r="B206" s="8" t="n">
        <v>205</v>
      </c>
      <c r="C206" s="9" t="s">
        <v>1246</v>
      </c>
      <c r="D206" s="9" t="s">
        <v>1228</v>
      </c>
      <c r="E206" s="9" t="s">
        <v>192</v>
      </c>
      <c r="F206" s="9" t="s">
        <v>1144</v>
      </c>
      <c r="G206" s="9" t="s">
        <v>77</v>
      </c>
      <c r="H206" s="9" t="s">
        <v>51</v>
      </c>
      <c r="I206" s="9" t="s">
        <v>51</v>
      </c>
      <c r="J206" s="9" t="s">
        <v>51</v>
      </c>
      <c r="K206" s="9" t="s">
        <v>51</v>
      </c>
      <c r="L206" s="9" t="s">
        <v>51</v>
      </c>
      <c r="M206" s="9" t="s">
        <v>51</v>
      </c>
      <c r="N206" s="9" t="s">
        <v>51</v>
      </c>
      <c r="O206" s="9" t="s">
        <v>51</v>
      </c>
      <c r="P206" s="9" t="n">
        <v>261809</v>
      </c>
      <c r="Q206" s="9" t="n">
        <v>185047</v>
      </c>
      <c r="R206" s="10" t="n">
        <f aca="false">(Q206/P206)*100</f>
        <v>70.6801523247864</v>
      </c>
      <c r="S206" s="9" t="n">
        <f aca="false">Y206-AD206</f>
        <v>17319</v>
      </c>
      <c r="T206" s="10" t="n">
        <f aca="false">(S206/Q206)*100</f>
        <v>9.35924386777413</v>
      </c>
      <c r="U206" s="10" t="n">
        <f aca="false">Z206+AE206</f>
        <v>75.9671867147265</v>
      </c>
      <c r="V206" s="9" t="s">
        <v>52</v>
      </c>
      <c r="W206" s="9" t="s">
        <v>66</v>
      </c>
      <c r="X206" s="9" t="s">
        <v>1247</v>
      </c>
      <c r="Y206" s="9" t="n">
        <v>78947</v>
      </c>
      <c r="Z206" s="10" t="n">
        <f aca="false">(Y206/Q206)*100</f>
        <v>42.6632152912503</v>
      </c>
      <c r="AA206" s="9" t="s">
        <v>55</v>
      </c>
      <c r="AB206" s="9" t="s">
        <v>68</v>
      </c>
      <c r="AC206" s="9" t="s">
        <v>1248</v>
      </c>
      <c r="AD206" s="9" t="n">
        <v>61628</v>
      </c>
      <c r="AE206" s="10" t="n">
        <f aca="false">(AD206/Q206)*100</f>
        <v>33.3039714234762</v>
      </c>
      <c r="AF206" s="9" t="s">
        <v>58</v>
      </c>
      <c r="AG206" s="9" t="s">
        <v>58</v>
      </c>
      <c r="AH206" s="9" t="s">
        <v>1249</v>
      </c>
      <c r="AI206" s="9" t="n">
        <v>20865</v>
      </c>
      <c r="AJ206" s="10" t="n">
        <f aca="false">(AI206/Q206)*100</f>
        <v>11.2755137883889</v>
      </c>
      <c r="AK206" s="9" t="s">
        <v>60</v>
      </c>
      <c r="AL206" s="9" t="s">
        <v>74</v>
      </c>
      <c r="AM206" s="9" t="s">
        <v>1250</v>
      </c>
      <c r="AN206" s="9" t="n">
        <v>9893</v>
      </c>
      <c r="AO206" s="10" t="n">
        <f aca="false">(AN206/Q206)*100</f>
        <v>5.34620934141056</v>
      </c>
      <c r="AP206" s="9" t="s">
        <v>71</v>
      </c>
      <c r="AQ206" s="9" t="s">
        <v>72</v>
      </c>
      <c r="AR206" s="9" t="s">
        <v>1251</v>
      </c>
      <c r="AS206" s="9" t="n">
        <v>6090</v>
      </c>
      <c r="AT206" s="10" t="n">
        <f aca="false">(AS206/Q206)*100</f>
        <v>3.29105578582738</v>
      </c>
    </row>
    <row r="207" customFormat="false" ht="12.8" hidden="false" customHeight="true" outlineLevel="0" collapsed="false">
      <c r="A207" s="7" t="n">
        <v>2021</v>
      </c>
      <c r="B207" s="8" t="n">
        <v>206</v>
      </c>
      <c r="C207" s="9" t="s">
        <v>1228</v>
      </c>
      <c r="D207" s="9" t="s">
        <v>1228</v>
      </c>
      <c r="E207" s="9" t="s">
        <v>192</v>
      </c>
      <c r="F207" s="9" t="s">
        <v>1144</v>
      </c>
      <c r="G207" s="9" t="s">
        <v>77</v>
      </c>
      <c r="H207" s="9" t="s">
        <v>51</v>
      </c>
      <c r="I207" s="9" t="s">
        <v>51</v>
      </c>
      <c r="J207" s="9" t="s">
        <v>51</v>
      </c>
      <c r="K207" s="9" t="s">
        <v>53</v>
      </c>
      <c r="L207" s="9" t="s">
        <v>51</v>
      </c>
      <c r="M207" s="9" t="s">
        <v>51</v>
      </c>
      <c r="N207" s="9" t="s">
        <v>51</v>
      </c>
      <c r="O207" s="9" t="s">
        <v>334</v>
      </c>
      <c r="P207" s="9" t="n">
        <v>224099</v>
      </c>
      <c r="Q207" s="9" t="n">
        <v>161717</v>
      </c>
      <c r="R207" s="10" t="n">
        <f aca="false">(Q207/P207)*100</f>
        <v>72.1631957304584</v>
      </c>
      <c r="S207" s="9" t="n">
        <f aca="false">Y207-AD207</f>
        <v>21339</v>
      </c>
      <c r="T207" s="10" t="n">
        <f aca="false">(S207/Q207)*100</f>
        <v>13.1952732242127</v>
      </c>
      <c r="U207" s="10" t="n">
        <f aca="false">Z207+AE207</f>
        <v>77.4532052907239</v>
      </c>
      <c r="V207" s="9" t="s">
        <v>52</v>
      </c>
      <c r="W207" s="9" t="s">
        <v>53</v>
      </c>
      <c r="X207" s="9" t="s">
        <v>1252</v>
      </c>
      <c r="Y207" s="9" t="n">
        <v>73297</v>
      </c>
      <c r="Z207" s="10" t="n">
        <f aca="false">(Y207/Q207)*100</f>
        <v>45.3242392574683</v>
      </c>
      <c r="AA207" s="9" t="s">
        <v>55</v>
      </c>
      <c r="AB207" s="9" t="s">
        <v>171</v>
      </c>
      <c r="AC207" s="9" t="s">
        <v>1253</v>
      </c>
      <c r="AD207" s="9" t="n">
        <v>51958</v>
      </c>
      <c r="AE207" s="10" t="n">
        <f aca="false">(AD207/Q207)*100</f>
        <v>32.1289660332556</v>
      </c>
      <c r="AF207" s="9" t="s">
        <v>58</v>
      </c>
      <c r="AG207" s="9" t="s">
        <v>58</v>
      </c>
      <c r="AH207" s="9" t="s">
        <v>1254</v>
      </c>
      <c r="AI207" s="9" t="n">
        <v>14311</v>
      </c>
      <c r="AJ207" s="10" t="n">
        <f aca="false">(AI207/Q207)*100</f>
        <v>8.84940977139076</v>
      </c>
      <c r="AK207" s="9" t="s">
        <v>60</v>
      </c>
      <c r="AL207" s="9" t="s">
        <v>74</v>
      </c>
      <c r="AM207" s="9" t="s">
        <v>1255</v>
      </c>
      <c r="AN207" s="9" t="n">
        <v>10783</v>
      </c>
      <c r="AO207" s="10" t="n">
        <f aca="false">(AN207/Q207)*100</f>
        <v>6.66782094646821</v>
      </c>
      <c r="AP207" s="9" t="s">
        <v>71</v>
      </c>
      <c r="AQ207" s="22" t="s">
        <v>1256</v>
      </c>
      <c r="AR207" s="9" t="s">
        <v>1257</v>
      </c>
      <c r="AS207" s="9" t="n">
        <v>5054</v>
      </c>
      <c r="AT207" s="10" t="n">
        <f aca="false">(AS207/Q207)*100</f>
        <v>3.12521256268667</v>
      </c>
    </row>
    <row r="208" customFormat="false" ht="12.8" hidden="false" customHeight="true" outlineLevel="0" collapsed="false">
      <c r="A208" s="7" t="n">
        <v>2021</v>
      </c>
      <c r="B208" s="8" t="n">
        <v>207</v>
      </c>
      <c r="C208" s="9" t="s">
        <v>1258</v>
      </c>
      <c r="D208" s="9" t="s">
        <v>1228</v>
      </c>
      <c r="E208" s="9" t="s">
        <v>192</v>
      </c>
      <c r="F208" s="9" t="s">
        <v>1144</v>
      </c>
      <c r="G208" s="9" t="s">
        <v>77</v>
      </c>
      <c r="H208" s="9" t="s">
        <v>51</v>
      </c>
      <c r="I208" s="9" t="s">
        <v>51</v>
      </c>
      <c r="J208" s="9" t="s">
        <v>51</v>
      </c>
      <c r="K208" s="9" t="s">
        <v>51</v>
      </c>
      <c r="L208" s="9" t="s">
        <v>51</v>
      </c>
      <c r="M208" s="9" t="s">
        <v>51</v>
      </c>
      <c r="N208" s="9" t="s">
        <v>51</v>
      </c>
      <c r="O208" s="9" t="s">
        <v>228</v>
      </c>
      <c r="P208" s="9" t="n">
        <v>223820</v>
      </c>
      <c r="Q208" s="9" t="n">
        <v>171201</v>
      </c>
      <c r="R208" s="10" t="n">
        <f aca="false">(Q208/P208)*100</f>
        <v>76.4904834241801</v>
      </c>
      <c r="S208" s="9" t="n">
        <f aca="false">Y208-AD208</f>
        <v>39034</v>
      </c>
      <c r="T208" s="10" t="n">
        <f aca="false">(S208/Q208)*100</f>
        <v>22.8001004667029</v>
      </c>
      <c r="U208" s="10" t="n">
        <f aca="false">Z208+AE208</f>
        <v>83.5544184905462</v>
      </c>
      <c r="V208" s="9" t="s">
        <v>52</v>
      </c>
      <c r="W208" s="9" t="s">
        <v>53</v>
      </c>
      <c r="X208" s="9" t="s">
        <v>1259</v>
      </c>
      <c r="Y208" s="9" t="n">
        <v>91040</v>
      </c>
      <c r="Z208" s="10" t="n">
        <f aca="false">(Y208/Q208)*100</f>
        <v>53.1772594786245</v>
      </c>
      <c r="AA208" s="9" t="s">
        <v>55</v>
      </c>
      <c r="AB208" s="9" t="s">
        <v>68</v>
      </c>
      <c r="AC208" s="9" t="s">
        <v>1260</v>
      </c>
      <c r="AD208" s="9" t="n">
        <v>52006</v>
      </c>
      <c r="AE208" s="10" t="n">
        <f aca="false">(AD208/Q208)*100</f>
        <v>30.3771590119217</v>
      </c>
      <c r="AF208" s="9" t="s">
        <v>58</v>
      </c>
      <c r="AG208" s="9" t="s">
        <v>58</v>
      </c>
      <c r="AH208" s="9" t="s">
        <v>1261</v>
      </c>
      <c r="AI208" s="9" t="n">
        <v>12392</v>
      </c>
      <c r="AJ208" s="10" t="n">
        <f aca="false">(AI208/Q208)*100</f>
        <v>7.23827547736287</v>
      </c>
      <c r="AK208" s="9" t="s">
        <v>71</v>
      </c>
      <c r="AL208" s="9" t="s">
        <v>72</v>
      </c>
      <c r="AM208" s="9" t="s">
        <v>1262</v>
      </c>
      <c r="AN208" s="9" t="n">
        <v>7638</v>
      </c>
      <c r="AO208" s="10" t="n">
        <f aca="false">(AN208/Q208)*100</f>
        <v>4.46142253841975</v>
      </c>
      <c r="AP208" s="9" t="s">
        <v>60</v>
      </c>
      <c r="AQ208" s="9" t="s">
        <v>61</v>
      </c>
      <c r="AR208" s="9" t="s">
        <v>418</v>
      </c>
      <c r="AS208" s="9" t="n">
        <v>2532</v>
      </c>
      <c r="AT208" s="10" t="n">
        <f aca="false">(AS208/Q208)*100</f>
        <v>1.47896332381236</v>
      </c>
    </row>
    <row r="209" customFormat="false" ht="12.8" hidden="false" customHeight="true" outlineLevel="0" collapsed="false">
      <c r="A209" s="7" t="n">
        <v>2021</v>
      </c>
      <c r="B209" s="8" t="n">
        <v>208</v>
      </c>
      <c r="C209" s="9" t="s">
        <v>1263</v>
      </c>
      <c r="D209" s="9" t="s">
        <v>1228</v>
      </c>
      <c r="E209" s="9" t="s">
        <v>192</v>
      </c>
      <c r="F209" s="9" t="s">
        <v>1144</v>
      </c>
      <c r="G209" s="9" t="s">
        <v>50</v>
      </c>
      <c r="H209" s="9" t="s">
        <v>51</v>
      </c>
      <c r="I209" s="9" t="s">
        <v>51</v>
      </c>
      <c r="J209" s="9" t="s">
        <v>51</v>
      </c>
      <c r="K209" s="9" t="s">
        <v>53</v>
      </c>
      <c r="L209" s="9" t="s">
        <v>51</v>
      </c>
      <c r="M209" s="9" t="s">
        <v>53</v>
      </c>
      <c r="N209" s="9" t="s">
        <v>51</v>
      </c>
      <c r="O209" s="9" t="s">
        <v>51</v>
      </c>
      <c r="P209" s="9" t="n">
        <v>221421</v>
      </c>
      <c r="Q209" s="9" t="n">
        <v>172811</v>
      </c>
      <c r="R209" s="10" t="n">
        <f aca="false">(Q209/P209)*100</f>
        <v>78.0463461008667</v>
      </c>
      <c r="S209" s="9" t="n">
        <f aca="false">Y209-AD209</f>
        <v>60992</v>
      </c>
      <c r="T209" s="10" t="n">
        <f aca="false">(S209/Q209)*100</f>
        <v>35.2940495686039</v>
      </c>
      <c r="U209" s="10" t="n">
        <f aca="false">Z209+AE209</f>
        <v>83.014391444989</v>
      </c>
      <c r="V209" s="9" t="s">
        <v>52</v>
      </c>
      <c r="W209" s="9" t="s">
        <v>53</v>
      </c>
      <c r="X209" s="9" t="s">
        <v>1264</v>
      </c>
      <c r="Y209" s="9" t="n">
        <v>102225</v>
      </c>
      <c r="Z209" s="10" t="n">
        <f aca="false">(Y209/Q209)*100</f>
        <v>59.1542205067964</v>
      </c>
      <c r="AA209" s="9" t="s">
        <v>55</v>
      </c>
      <c r="AB209" s="9" t="s">
        <v>68</v>
      </c>
      <c r="AC209" s="9" t="s">
        <v>1265</v>
      </c>
      <c r="AD209" s="9" t="n">
        <v>41233</v>
      </c>
      <c r="AE209" s="10" t="n">
        <f aca="false">(AD209/Q209)*100</f>
        <v>23.8601709381926</v>
      </c>
      <c r="AF209" s="9" t="s">
        <v>58</v>
      </c>
      <c r="AG209" s="9" t="s">
        <v>58</v>
      </c>
      <c r="AH209" s="9" t="s">
        <v>1266</v>
      </c>
      <c r="AI209" s="9" t="n">
        <v>13787</v>
      </c>
      <c r="AJ209" s="10" t="n">
        <f aca="false">(AI209/Q209)*100</f>
        <v>7.97808009906777</v>
      </c>
      <c r="AK209" s="9" t="s">
        <v>60</v>
      </c>
      <c r="AL209" s="9" t="s">
        <v>74</v>
      </c>
      <c r="AM209" s="9" t="s">
        <v>1267</v>
      </c>
      <c r="AN209" s="9" t="n">
        <v>6441</v>
      </c>
      <c r="AO209" s="10" t="n">
        <f aca="false">(AN209/Q209)*100</f>
        <v>3.72719329209367</v>
      </c>
      <c r="AP209" s="9" t="s">
        <v>197</v>
      </c>
      <c r="AQ209" s="9" t="s">
        <v>197</v>
      </c>
      <c r="AR209" s="9" t="s">
        <v>1268</v>
      </c>
      <c r="AS209" s="9" t="n">
        <v>2492</v>
      </c>
      <c r="AT209" s="10" t="n">
        <f aca="false">(AS209/Q209)*100</f>
        <v>1.44203783323978</v>
      </c>
    </row>
    <row r="210" customFormat="false" ht="12.8" hidden="false" customHeight="true" outlineLevel="0" collapsed="false">
      <c r="A210" s="7" t="n">
        <v>2021</v>
      </c>
      <c r="B210" s="8" t="n">
        <v>209</v>
      </c>
      <c r="C210" s="9" t="s">
        <v>1269</v>
      </c>
      <c r="D210" s="9" t="s">
        <v>1270</v>
      </c>
      <c r="E210" s="9" t="s">
        <v>192</v>
      </c>
      <c r="F210" s="9" t="s">
        <v>1085</v>
      </c>
      <c r="G210" s="9" t="s">
        <v>77</v>
      </c>
      <c r="H210" s="9" t="s">
        <v>65</v>
      </c>
      <c r="I210" s="9" t="s">
        <v>51</v>
      </c>
      <c r="J210" s="9" t="s">
        <v>51</v>
      </c>
      <c r="K210" s="9" t="s">
        <v>51</v>
      </c>
      <c r="L210" s="9" t="s">
        <v>51</v>
      </c>
      <c r="M210" s="9" t="s">
        <v>51</v>
      </c>
      <c r="N210" s="9" t="s">
        <v>68</v>
      </c>
      <c r="O210" s="9" t="s">
        <v>51</v>
      </c>
      <c r="P210" s="9" t="n">
        <v>256158</v>
      </c>
      <c r="Q210" s="9" t="n">
        <v>182158</v>
      </c>
      <c r="R210" s="10" t="n">
        <f aca="false">(Q210/P210)*100</f>
        <v>71.1115795719829</v>
      </c>
      <c r="S210" s="9" t="n">
        <f aca="false">Y210-AD210</f>
        <v>13285</v>
      </c>
      <c r="T210" s="10" t="n">
        <f aca="false">(S210/Q210)*100</f>
        <v>7.29311916028942</v>
      </c>
      <c r="U210" s="10" t="n">
        <f aca="false">Z210+AE210</f>
        <v>85.8831344217657</v>
      </c>
      <c r="V210" s="9" t="s">
        <v>52</v>
      </c>
      <c r="W210" s="9" t="s">
        <v>53</v>
      </c>
      <c r="X210" s="9" t="s">
        <v>1271</v>
      </c>
      <c r="Y210" s="9" t="n">
        <v>84864</v>
      </c>
      <c r="Z210" s="10" t="n">
        <f aca="false">(Y210/Q210)*100</f>
        <v>46.5881267910276</v>
      </c>
      <c r="AA210" s="9" t="s">
        <v>55</v>
      </c>
      <c r="AB210" s="9" t="s">
        <v>68</v>
      </c>
      <c r="AC210" s="9" t="s">
        <v>1272</v>
      </c>
      <c r="AD210" s="9" t="n">
        <v>71579</v>
      </c>
      <c r="AE210" s="10" t="n">
        <f aca="false">(AD210/Q210)*100</f>
        <v>39.2950076307382</v>
      </c>
      <c r="AF210" s="9" t="s">
        <v>58</v>
      </c>
      <c r="AG210" s="9" t="s">
        <v>58</v>
      </c>
      <c r="AH210" s="9" t="s">
        <v>1273</v>
      </c>
      <c r="AI210" s="9" t="n">
        <v>16430</v>
      </c>
      <c r="AJ210" s="10" t="n">
        <f aca="false">(AI210/Q210)*100</f>
        <v>9.01964228856268</v>
      </c>
      <c r="AK210" s="9" t="s">
        <v>71</v>
      </c>
      <c r="AL210" s="9" t="s">
        <v>72</v>
      </c>
      <c r="AM210" s="9" t="s">
        <v>1274</v>
      </c>
      <c r="AN210" s="9" t="n">
        <v>3488</v>
      </c>
      <c r="AO210" s="10" t="n">
        <f aca="false">(AN210/Q210)*100</f>
        <v>1.91482119917874</v>
      </c>
      <c r="AP210" s="9" t="s">
        <v>60</v>
      </c>
      <c r="AQ210" s="9" t="s">
        <v>61</v>
      </c>
      <c r="AR210" s="9" t="s">
        <v>1275</v>
      </c>
      <c r="AS210" s="9" t="n">
        <v>2009</v>
      </c>
      <c r="AT210" s="10" t="n">
        <f aca="false">(AS210/Q210)*100</f>
        <v>1.1028887010178</v>
      </c>
    </row>
    <row r="211" customFormat="false" ht="12.8" hidden="false" customHeight="true" outlineLevel="0" collapsed="false">
      <c r="A211" s="7" t="n">
        <v>2021</v>
      </c>
      <c r="B211" s="8" t="n">
        <v>210</v>
      </c>
      <c r="C211" s="9" t="s">
        <v>1276</v>
      </c>
      <c r="D211" s="9" t="s">
        <v>1270</v>
      </c>
      <c r="E211" s="9" t="s">
        <v>192</v>
      </c>
      <c r="F211" s="9" t="s">
        <v>1085</v>
      </c>
      <c r="G211" s="9" t="s">
        <v>50</v>
      </c>
      <c r="H211" s="9" t="s">
        <v>51</v>
      </c>
      <c r="I211" s="9" t="s">
        <v>51</v>
      </c>
      <c r="J211" s="9" t="s">
        <v>51</v>
      </c>
      <c r="K211" s="9" t="s">
        <v>51</v>
      </c>
      <c r="L211" s="9" t="s">
        <v>66</v>
      </c>
      <c r="M211" s="9" t="s">
        <v>51</v>
      </c>
      <c r="N211" s="9" t="s">
        <v>66</v>
      </c>
      <c r="O211" s="9" t="s">
        <v>51</v>
      </c>
      <c r="P211" s="9" t="n">
        <v>291236</v>
      </c>
      <c r="Q211" s="9" t="n">
        <v>201815</v>
      </c>
      <c r="R211" s="10" t="n">
        <f aca="false">(Q211/P211)*100</f>
        <v>69.2960348308588</v>
      </c>
      <c r="S211" s="9" t="n">
        <f aca="false">Y211-AD211</f>
        <v>13852</v>
      </c>
      <c r="T211" s="10" t="n">
        <f aca="false">(S211/Q211)*100</f>
        <v>6.86371181527637</v>
      </c>
      <c r="U211" s="10" t="n">
        <f aca="false">Z211+AE211</f>
        <v>71.7865371751357</v>
      </c>
      <c r="V211" s="9" t="s">
        <v>52</v>
      </c>
      <c r="W211" s="9" t="s">
        <v>66</v>
      </c>
      <c r="X211" s="9" t="s">
        <v>1277</v>
      </c>
      <c r="Y211" s="9" t="n">
        <v>79364</v>
      </c>
      <c r="Z211" s="10" t="n">
        <f aca="false">(Y211/Q211)*100</f>
        <v>39.325124495206</v>
      </c>
      <c r="AA211" s="9" t="s">
        <v>55</v>
      </c>
      <c r="AB211" s="9" t="s">
        <v>68</v>
      </c>
      <c r="AC211" s="9" t="s">
        <v>1278</v>
      </c>
      <c r="AD211" s="9" t="n">
        <v>65512</v>
      </c>
      <c r="AE211" s="10" t="n">
        <f aca="false">(AD211/Q211)*100</f>
        <v>32.4614126799296</v>
      </c>
      <c r="AF211" s="9" t="s">
        <v>60</v>
      </c>
      <c r="AG211" s="9" t="s">
        <v>74</v>
      </c>
      <c r="AH211" s="9" t="s">
        <v>1279</v>
      </c>
      <c r="AI211" s="9" t="n">
        <v>33426</v>
      </c>
      <c r="AJ211" s="10" t="n">
        <f aca="false">(AI211/Q211)*100</f>
        <v>16.5626935559795</v>
      </c>
      <c r="AK211" s="9" t="s">
        <v>58</v>
      </c>
      <c r="AL211" s="9" t="s">
        <v>58</v>
      </c>
      <c r="AM211" s="9" t="s">
        <v>1280</v>
      </c>
      <c r="AN211" s="9" t="n">
        <v>16501</v>
      </c>
      <c r="AO211" s="10" t="n">
        <f aca="false">(AN211/Q211)*100</f>
        <v>8.17630007680301</v>
      </c>
      <c r="AP211" s="9" t="s">
        <v>71</v>
      </c>
      <c r="AQ211" s="9" t="s">
        <v>72</v>
      </c>
      <c r="AR211" s="9" t="s">
        <v>1281</v>
      </c>
      <c r="AS211" s="9" t="n">
        <v>2208</v>
      </c>
      <c r="AT211" s="10" t="n">
        <f aca="false">(AS211/Q211)*100</f>
        <v>1.09407130292595</v>
      </c>
    </row>
    <row r="212" customFormat="false" ht="12.8" hidden="false" customHeight="true" outlineLevel="0" collapsed="false">
      <c r="A212" s="7" t="n">
        <v>2021</v>
      </c>
      <c r="B212" s="8" t="n">
        <v>211</v>
      </c>
      <c r="C212" s="9" t="s">
        <v>1270</v>
      </c>
      <c r="D212" s="9" t="s">
        <v>1270</v>
      </c>
      <c r="E212" s="9" t="s">
        <v>192</v>
      </c>
      <c r="F212" s="9" t="s">
        <v>1085</v>
      </c>
      <c r="G212" s="9" t="s">
        <v>77</v>
      </c>
      <c r="H212" s="9" t="s">
        <v>51</v>
      </c>
      <c r="I212" s="9" t="s">
        <v>51</v>
      </c>
      <c r="J212" s="9" t="s">
        <v>51</v>
      </c>
      <c r="K212" s="9" t="s">
        <v>51</v>
      </c>
      <c r="L212" s="9" t="s">
        <v>68</v>
      </c>
      <c r="M212" s="9" t="s">
        <v>51</v>
      </c>
      <c r="N212" s="9" t="s">
        <v>51</v>
      </c>
      <c r="O212" s="9" t="s">
        <v>51</v>
      </c>
      <c r="P212" s="9" t="n">
        <v>308443</v>
      </c>
      <c r="Q212" s="9" t="n">
        <v>214098</v>
      </c>
      <c r="R212" s="10" t="n">
        <f aca="false">(Q212/P212)*100</f>
        <v>69.4125008510487</v>
      </c>
      <c r="S212" s="9" t="n">
        <f aca="false">Y212-AD212</f>
        <v>50312</v>
      </c>
      <c r="T212" s="10" t="n">
        <f aca="false">(S212/Q212)*100</f>
        <v>23.4995189119002</v>
      </c>
      <c r="U212" s="10" t="n">
        <f aca="false">Z212+AE212</f>
        <v>80.2613756317201</v>
      </c>
      <c r="V212" s="9" t="s">
        <v>52</v>
      </c>
      <c r="W212" s="9" t="s">
        <v>53</v>
      </c>
      <c r="X212" s="9" t="s">
        <v>1282</v>
      </c>
      <c r="Y212" s="9" t="n">
        <v>111075</v>
      </c>
      <c r="Z212" s="10" t="n">
        <f aca="false">(Y212/Q212)*100</f>
        <v>51.8804472718101</v>
      </c>
      <c r="AA212" s="9" t="s">
        <v>55</v>
      </c>
      <c r="AB212" s="9" t="s">
        <v>171</v>
      </c>
      <c r="AC212" s="9" t="s">
        <v>1283</v>
      </c>
      <c r="AD212" s="9" t="n">
        <v>60763</v>
      </c>
      <c r="AE212" s="10" t="n">
        <f aca="false">(AD212/Q212)*100</f>
        <v>28.3809283599099</v>
      </c>
      <c r="AF212" s="9" t="s">
        <v>58</v>
      </c>
      <c r="AG212" s="9" t="s">
        <v>58</v>
      </c>
      <c r="AH212" s="9" t="s">
        <v>1284</v>
      </c>
      <c r="AI212" s="9" t="n">
        <v>17062</v>
      </c>
      <c r="AJ212" s="10" t="n">
        <f aca="false">(AI212/Q212)*100</f>
        <v>7.96924772767611</v>
      </c>
      <c r="AK212" s="9" t="s">
        <v>197</v>
      </c>
      <c r="AL212" s="9" t="s">
        <v>197</v>
      </c>
      <c r="AM212" s="9" t="s">
        <v>1285</v>
      </c>
      <c r="AN212" s="9" t="n">
        <v>10845</v>
      </c>
      <c r="AO212" s="10" t="n">
        <f aca="false">(AN212/Q212)*100</f>
        <v>5.06543732309503</v>
      </c>
      <c r="AP212" s="9" t="s">
        <v>60</v>
      </c>
      <c r="AQ212" s="9" t="s">
        <v>74</v>
      </c>
      <c r="AR212" s="9" t="s">
        <v>1286</v>
      </c>
      <c r="AS212" s="9" t="n">
        <v>6776</v>
      </c>
      <c r="AT212" s="10" t="n">
        <f aca="false">(AS212/Q212)*100</f>
        <v>3.16490579080608</v>
      </c>
    </row>
    <row r="213" customFormat="false" ht="12.8" hidden="false" customHeight="true" outlineLevel="0" collapsed="false">
      <c r="A213" s="7" t="n">
        <v>2021</v>
      </c>
      <c r="B213" s="8" t="n">
        <v>212</v>
      </c>
      <c r="C213" s="9" t="s">
        <v>1287</v>
      </c>
      <c r="D213" s="9" t="s">
        <v>1270</v>
      </c>
      <c r="E213" s="9" t="s">
        <v>192</v>
      </c>
      <c r="F213" s="9" t="s">
        <v>1085</v>
      </c>
      <c r="G213" s="9" t="s">
        <v>50</v>
      </c>
      <c r="H213" s="9" t="s">
        <v>51</v>
      </c>
      <c r="I213" s="9" t="s">
        <v>526</v>
      </c>
      <c r="J213" s="9" t="s">
        <v>51</v>
      </c>
      <c r="K213" s="9" t="s">
        <v>51</v>
      </c>
      <c r="L213" s="9" t="s">
        <v>51</v>
      </c>
      <c r="M213" s="9" t="s">
        <v>51</v>
      </c>
      <c r="N213" s="9" t="s">
        <v>51</v>
      </c>
      <c r="O213" s="9" t="s">
        <v>51</v>
      </c>
      <c r="P213" s="9" t="n">
        <v>310954</v>
      </c>
      <c r="Q213" s="9" t="n">
        <v>221196</v>
      </c>
      <c r="R213" s="10" t="n">
        <f aca="false">(Q213/P213)*100</f>
        <v>71.1346372775395</v>
      </c>
      <c r="S213" s="9" t="n">
        <f aca="false">Y213-AD213</f>
        <v>20721</v>
      </c>
      <c r="T213" s="10" t="n">
        <f aca="false">(S213/Q213)*100</f>
        <v>9.36771008517333</v>
      </c>
      <c r="U213" s="10" t="n">
        <f aca="false">Z213+AE213</f>
        <v>82.7686757445885</v>
      </c>
      <c r="V213" s="9" t="s">
        <v>52</v>
      </c>
      <c r="W213" s="9" t="s">
        <v>53</v>
      </c>
      <c r="X213" s="9" t="s">
        <v>1288</v>
      </c>
      <c r="Y213" s="9" t="n">
        <v>101901</v>
      </c>
      <c r="Z213" s="10" t="n">
        <f aca="false">(Y213/Q213)*100</f>
        <v>46.0681929148809</v>
      </c>
      <c r="AA213" s="9" t="s">
        <v>55</v>
      </c>
      <c r="AB213" s="9" t="s">
        <v>68</v>
      </c>
      <c r="AC213" s="9" t="s">
        <v>1289</v>
      </c>
      <c r="AD213" s="9" t="n">
        <v>81180</v>
      </c>
      <c r="AE213" s="10" t="n">
        <f aca="false">(AD213/Q213)*100</f>
        <v>36.7004828297076</v>
      </c>
      <c r="AF213" s="9" t="s">
        <v>60</v>
      </c>
      <c r="AG213" s="9" t="s">
        <v>74</v>
      </c>
      <c r="AH213" s="9" t="s">
        <v>1211</v>
      </c>
      <c r="AI213" s="9" t="n">
        <v>19699</v>
      </c>
      <c r="AJ213" s="10" t="n">
        <f aca="false">(AI213/Q213)*100</f>
        <v>8.90567641367837</v>
      </c>
      <c r="AK213" s="9" t="s">
        <v>58</v>
      </c>
      <c r="AL213" s="9" t="s">
        <v>58</v>
      </c>
      <c r="AM213" s="9" t="s">
        <v>1290</v>
      </c>
      <c r="AN213" s="9" t="n">
        <v>11234</v>
      </c>
      <c r="AO213" s="10" t="n">
        <f aca="false">(AN213/Q213)*100</f>
        <v>5.07875368451509</v>
      </c>
      <c r="AP213" s="9" t="s">
        <v>71</v>
      </c>
      <c r="AQ213" s="9" t="s">
        <v>72</v>
      </c>
      <c r="AR213" s="9" t="s">
        <v>1291</v>
      </c>
      <c r="AS213" s="9" t="n">
        <v>943</v>
      </c>
      <c r="AT213" s="10" t="n">
        <f aca="false">(AS213/Q213)*100</f>
        <v>0.426318739941048</v>
      </c>
    </row>
    <row r="214" customFormat="false" ht="12.8" hidden="false" customHeight="true" outlineLevel="0" collapsed="false">
      <c r="A214" s="7" t="n">
        <v>2021</v>
      </c>
      <c r="B214" s="8" t="n">
        <v>213</v>
      </c>
      <c r="C214" s="9" t="s">
        <v>1292</v>
      </c>
      <c r="D214" s="9" t="s">
        <v>1293</v>
      </c>
      <c r="E214" s="9" t="s">
        <v>192</v>
      </c>
      <c r="F214" s="9" t="s">
        <v>1144</v>
      </c>
      <c r="G214" s="9" t="s">
        <v>50</v>
      </c>
      <c r="H214" s="9" t="s">
        <v>51</v>
      </c>
      <c r="I214" s="9" t="s">
        <v>51</v>
      </c>
      <c r="J214" s="9" t="s">
        <v>51</v>
      </c>
      <c r="K214" s="9" t="s">
        <v>51</v>
      </c>
      <c r="L214" s="9" t="s">
        <v>51</v>
      </c>
      <c r="M214" s="9" t="s">
        <v>51</v>
      </c>
      <c r="N214" s="9" t="s">
        <v>68</v>
      </c>
      <c r="O214" s="9" t="s">
        <v>51</v>
      </c>
      <c r="P214" s="9" t="n">
        <v>216923</v>
      </c>
      <c r="Q214" s="9" t="n">
        <v>167169</v>
      </c>
      <c r="R214" s="10" t="n">
        <f aca="false">(Q214/P214)*100</f>
        <v>77.0637507318265</v>
      </c>
      <c r="S214" s="9" t="n">
        <f aca="false">Y214-AD214</f>
        <v>38549</v>
      </c>
      <c r="T214" s="10" t="n">
        <f aca="false">(S214/Q214)*100</f>
        <v>23.0598974690284</v>
      </c>
      <c r="U214" s="10" t="n">
        <f aca="false">Z214+AE214</f>
        <v>85.0319138117713</v>
      </c>
      <c r="V214" s="9" t="s">
        <v>52</v>
      </c>
      <c r="W214" s="9" t="s">
        <v>53</v>
      </c>
      <c r="X214" s="9" t="s">
        <v>1294</v>
      </c>
      <c r="Y214" s="9" t="n">
        <v>90348</v>
      </c>
      <c r="Z214" s="10" t="n">
        <f aca="false">(Y214/Q214)*100</f>
        <v>54.0459056403998</v>
      </c>
      <c r="AA214" s="9" t="s">
        <v>55</v>
      </c>
      <c r="AB214" s="9" t="s">
        <v>68</v>
      </c>
      <c r="AC214" s="9" t="s">
        <v>1295</v>
      </c>
      <c r="AD214" s="9" t="n">
        <v>51799</v>
      </c>
      <c r="AE214" s="10" t="n">
        <f aca="false">(AD214/Q214)*100</f>
        <v>30.9860081713715</v>
      </c>
      <c r="AF214" s="9" t="s">
        <v>58</v>
      </c>
      <c r="AG214" s="9" t="s">
        <v>58</v>
      </c>
      <c r="AH214" s="9" t="s">
        <v>1296</v>
      </c>
      <c r="AI214" s="9" t="n">
        <v>11828</v>
      </c>
      <c r="AJ214" s="10" t="n">
        <f aca="false">(AI214/Q214)*100</f>
        <v>7.07547451979733</v>
      </c>
      <c r="AK214" s="9" t="s">
        <v>60</v>
      </c>
      <c r="AL214" s="9" t="s">
        <v>74</v>
      </c>
      <c r="AM214" s="9" t="s">
        <v>1297</v>
      </c>
      <c r="AN214" s="9" t="n">
        <v>6657</v>
      </c>
      <c r="AO214" s="10" t="n">
        <f aca="false">(AN214/Q214)*100</f>
        <v>3.98219765626402</v>
      </c>
      <c r="AP214" s="9" t="s">
        <v>71</v>
      </c>
      <c r="AQ214" s="9" t="s">
        <v>72</v>
      </c>
      <c r="AR214" s="9" t="s">
        <v>1298</v>
      </c>
      <c r="AS214" s="9" t="n">
        <v>1520</v>
      </c>
      <c r="AT214" s="10" t="n">
        <f aca="false">(AS214/Q214)*100</f>
        <v>0.909259491891439</v>
      </c>
    </row>
    <row r="215" customFormat="false" ht="12.8" hidden="false" customHeight="true" outlineLevel="0" collapsed="false">
      <c r="A215" s="7" t="n">
        <v>2021</v>
      </c>
      <c r="B215" s="8" t="n">
        <v>214</v>
      </c>
      <c r="C215" s="9" t="s">
        <v>1299</v>
      </c>
      <c r="D215" s="9" t="s">
        <v>1293</v>
      </c>
      <c r="E215" s="9" t="s">
        <v>192</v>
      </c>
      <c r="F215" s="9" t="s">
        <v>1144</v>
      </c>
      <c r="G215" s="9" t="s">
        <v>88</v>
      </c>
      <c r="H215" s="9" t="s">
        <v>51</v>
      </c>
      <c r="I215" s="9" t="s">
        <v>51</v>
      </c>
      <c r="J215" s="9" t="s">
        <v>51</v>
      </c>
      <c r="K215" s="9" t="s">
        <v>51</v>
      </c>
      <c r="L215" s="9" t="s">
        <v>51</v>
      </c>
      <c r="M215" s="9" t="s">
        <v>51</v>
      </c>
      <c r="N215" s="9" t="s">
        <v>51</v>
      </c>
      <c r="O215" s="9" t="s">
        <v>51</v>
      </c>
      <c r="P215" s="9" t="n">
        <v>285497</v>
      </c>
      <c r="Q215" s="9" t="n">
        <v>188407</v>
      </c>
      <c r="R215" s="10" t="n">
        <f aca="false">(Q215/P215)*100</f>
        <v>65.9926374007433</v>
      </c>
      <c r="S215" s="9" t="n">
        <f aca="false">Y215-AD215</f>
        <v>50310</v>
      </c>
      <c r="T215" s="10" t="n">
        <f aca="false">(S215/Q215)*100</f>
        <v>26.7028295127039</v>
      </c>
      <c r="U215" s="10" t="n">
        <f aca="false">Z215+AE215</f>
        <v>71.2914063702516</v>
      </c>
      <c r="V215" s="9" t="s">
        <v>52</v>
      </c>
      <c r="W215" s="9" t="s">
        <v>53</v>
      </c>
      <c r="X215" s="9" t="s">
        <v>1300</v>
      </c>
      <c r="Y215" s="9" t="n">
        <v>92314</v>
      </c>
      <c r="Z215" s="10" t="n">
        <f aca="false">(Y215/Q215)*100</f>
        <v>48.9971179414778</v>
      </c>
      <c r="AA215" s="9" t="s">
        <v>55</v>
      </c>
      <c r="AB215" s="9" t="s">
        <v>68</v>
      </c>
      <c r="AC215" s="9" t="s">
        <v>1301</v>
      </c>
      <c r="AD215" s="9" t="n">
        <v>42004</v>
      </c>
      <c r="AE215" s="10" t="n">
        <f aca="false">(AD215/Q215)*100</f>
        <v>22.2942884287739</v>
      </c>
      <c r="AF215" s="9" t="s">
        <v>58</v>
      </c>
      <c r="AG215" s="9" t="s">
        <v>58</v>
      </c>
      <c r="AH215" s="9" t="s">
        <v>1302</v>
      </c>
      <c r="AI215" s="9" t="n">
        <v>30937</v>
      </c>
      <c r="AJ215" s="10" t="n">
        <f aca="false">(AI215/Q215)*100</f>
        <v>16.4203028549895</v>
      </c>
      <c r="AK215" s="9" t="s">
        <v>71</v>
      </c>
      <c r="AL215" s="9" t="s">
        <v>72</v>
      </c>
      <c r="AM215" s="9" t="s">
        <v>1303</v>
      </c>
      <c r="AN215" s="9" t="n">
        <v>10534</v>
      </c>
      <c r="AO215" s="10" t="n">
        <f aca="false">(AN215/Q215)*100</f>
        <v>5.59108737998057</v>
      </c>
      <c r="AP215" s="9" t="s">
        <v>60</v>
      </c>
      <c r="AQ215" s="9" t="s">
        <v>61</v>
      </c>
      <c r="AR215" s="9" t="s">
        <v>1304</v>
      </c>
      <c r="AS215" s="9" t="n">
        <v>4040</v>
      </c>
      <c r="AT215" s="10" t="n">
        <f aca="false">(AS215/Q215)*100</f>
        <v>2.14429400181522</v>
      </c>
    </row>
    <row r="216" customFormat="false" ht="12.8" hidden="false" customHeight="true" outlineLevel="0" collapsed="false">
      <c r="A216" s="7" t="n">
        <v>2021</v>
      </c>
      <c r="B216" s="8" t="n">
        <v>215</v>
      </c>
      <c r="C216" s="9" t="s">
        <v>1305</v>
      </c>
      <c r="D216" s="9" t="s">
        <v>1293</v>
      </c>
      <c r="E216" s="9" t="s">
        <v>192</v>
      </c>
      <c r="F216" s="9" t="s">
        <v>1144</v>
      </c>
      <c r="G216" s="9" t="s">
        <v>50</v>
      </c>
      <c r="H216" s="9" t="s">
        <v>51</v>
      </c>
      <c r="I216" s="9" t="s">
        <v>51</v>
      </c>
      <c r="J216" s="9" t="s">
        <v>51</v>
      </c>
      <c r="K216" s="9" t="s">
        <v>53</v>
      </c>
      <c r="L216" s="9" t="s">
        <v>51</v>
      </c>
      <c r="M216" s="9" t="s">
        <v>53</v>
      </c>
      <c r="N216" s="9" t="s">
        <v>51</v>
      </c>
      <c r="O216" s="9" t="s">
        <v>51</v>
      </c>
      <c r="P216" s="9" t="n">
        <v>245144</v>
      </c>
      <c r="Q216" s="9" t="n">
        <v>174536</v>
      </c>
      <c r="R216" s="10" t="n">
        <f aca="false">(Q216/P216)*100</f>
        <v>71.1973370753516</v>
      </c>
      <c r="S216" s="9" t="n">
        <f aca="false">Y216-AD216</f>
        <v>25263</v>
      </c>
      <c r="T216" s="10" t="n">
        <f aca="false">(S216/Q216)*100</f>
        <v>14.4743777787964</v>
      </c>
      <c r="U216" s="10" t="n">
        <f aca="false">Z216+AE216</f>
        <v>86.6783929962873</v>
      </c>
      <c r="V216" s="9" t="s">
        <v>52</v>
      </c>
      <c r="W216" s="9" t="s">
        <v>53</v>
      </c>
      <c r="X216" s="9" t="s">
        <v>1306</v>
      </c>
      <c r="Y216" s="9" t="n">
        <v>88274</v>
      </c>
      <c r="Z216" s="10" t="n">
        <f aca="false">(Y216/Q216)*100</f>
        <v>50.5763853875418</v>
      </c>
      <c r="AA216" s="9" t="s">
        <v>55</v>
      </c>
      <c r="AB216" s="9" t="s">
        <v>68</v>
      </c>
      <c r="AC216" s="9" t="s">
        <v>1307</v>
      </c>
      <c r="AD216" s="9" t="n">
        <v>63011</v>
      </c>
      <c r="AE216" s="10" t="n">
        <f aca="false">(AD216/Q216)*100</f>
        <v>36.1020076087455</v>
      </c>
      <c r="AF216" s="9" t="s">
        <v>58</v>
      </c>
      <c r="AG216" s="9" t="s">
        <v>58</v>
      </c>
      <c r="AH216" s="9" t="s">
        <v>1308</v>
      </c>
      <c r="AI216" s="9" t="n">
        <v>15063</v>
      </c>
      <c r="AJ216" s="10" t="n">
        <f aca="false">(AI216/Q216)*100</f>
        <v>8.63031122519137</v>
      </c>
      <c r="AK216" s="9" t="s">
        <v>60</v>
      </c>
      <c r="AL216" s="9" t="s">
        <v>74</v>
      </c>
      <c r="AM216" s="9" t="s">
        <v>1309</v>
      </c>
      <c r="AN216" s="9" t="n">
        <v>3766</v>
      </c>
      <c r="AO216" s="10" t="n">
        <f aca="false">(AN216/Q216)*100</f>
        <v>2.15772104322318</v>
      </c>
      <c r="AP216" s="9" t="s">
        <v>71</v>
      </c>
      <c r="AQ216" s="9" t="s">
        <v>72</v>
      </c>
      <c r="AR216" s="9" t="s">
        <v>1310</v>
      </c>
      <c r="AS216" s="9" t="n">
        <v>1965</v>
      </c>
      <c r="AT216" s="10" t="n">
        <f aca="false">(AS216/Q216)*100</f>
        <v>1.12584223312096</v>
      </c>
    </row>
    <row r="217" customFormat="false" ht="12.8" hidden="false" customHeight="true" outlineLevel="0" collapsed="false">
      <c r="A217" s="7" t="n">
        <v>2021</v>
      </c>
      <c r="B217" s="8" t="n">
        <v>216</v>
      </c>
      <c r="C217" s="9" t="s">
        <v>1311</v>
      </c>
      <c r="D217" s="9" t="s">
        <v>1293</v>
      </c>
      <c r="E217" s="9" t="s">
        <v>192</v>
      </c>
      <c r="F217" s="9" t="s">
        <v>1144</v>
      </c>
      <c r="G217" s="9" t="s">
        <v>50</v>
      </c>
      <c r="H217" s="9" t="s">
        <v>51</v>
      </c>
      <c r="I217" s="9" t="s">
        <v>51</v>
      </c>
      <c r="J217" s="9" t="s">
        <v>51</v>
      </c>
      <c r="K217" s="9" t="s">
        <v>51</v>
      </c>
      <c r="L217" s="9" t="s">
        <v>66</v>
      </c>
      <c r="M217" s="9" t="s">
        <v>51</v>
      </c>
      <c r="N217" s="9" t="s">
        <v>66</v>
      </c>
      <c r="O217" s="9" t="s">
        <v>51</v>
      </c>
      <c r="P217" s="9" t="n">
        <v>224689</v>
      </c>
      <c r="Q217" s="9" t="n">
        <v>164386</v>
      </c>
      <c r="R217" s="10" t="n">
        <f aca="false">(Q217/P217)*100</f>
        <v>73.1615699923005</v>
      </c>
      <c r="S217" s="9" t="n">
        <f aca="false">Y217-AD217</f>
        <v>17372</v>
      </c>
      <c r="T217" s="10" t="n">
        <f aca="false">(S217/Q217)*100</f>
        <v>10.5678099108197</v>
      </c>
      <c r="U217" s="10" t="n">
        <f aca="false">Z217+AE217</f>
        <v>82.9231199737204</v>
      </c>
      <c r="V217" s="9" t="s">
        <v>52</v>
      </c>
      <c r="W217" s="9" t="s">
        <v>66</v>
      </c>
      <c r="X217" s="9" t="s">
        <v>1312</v>
      </c>
      <c r="Y217" s="9" t="n">
        <v>76843</v>
      </c>
      <c r="Z217" s="10" t="n">
        <f aca="false">(Y217/Q217)*100</f>
        <v>46.74546494227</v>
      </c>
      <c r="AA217" s="9" t="s">
        <v>55</v>
      </c>
      <c r="AB217" s="9" t="s">
        <v>68</v>
      </c>
      <c r="AC217" s="9" t="s">
        <v>1313</v>
      </c>
      <c r="AD217" s="9" t="n">
        <v>59471</v>
      </c>
      <c r="AE217" s="10" t="n">
        <f aca="false">(AD217/Q217)*100</f>
        <v>36.1776550314504</v>
      </c>
      <c r="AF217" s="9" t="s">
        <v>58</v>
      </c>
      <c r="AG217" s="9" t="s">
        <v>58</v>
      </c>
      <c r="AH217" s="9" t="s">
        <v>1314</v>
      </c>
      <c r="AI217" s="9" t="n">
        <v>12706</v>
      </c>
      <c r="AJ217" s="10" t="n">
        <f aca="false">(AI217/Q217)*100</f>
        <v>7.72936868103123</v>
      </c>
      <c r="AK217" s="9" t="s">
        <v>60</v>
      </c>
      <c r="AL217" s="9" t="s">
        <v>74</v>
      </c>
      <c r="AM217" s="9" t="s">
        <v>1315</v>
      </c>
      <c r="AN217" s="9" t="n">
        <v>10203</v>
      </c>
      <c r="AO217" s="10" t="n">
        <f aca="false">(AN217/Q217)*100</f>
        <v>6.20673293346149</v>
      </c>
      <c r="AP217" s="9" t="s">
        <v>71</v>
      </c>
      <c r="AQ217" s="9" t="s">
        <v>72</v>
      </c>
      <c r="AR217" s="9" t="s">
        <v>1316</v>
      </c>
      <c r="AS217" s="9" t="n">
        <v>1355</v>
      </c>
      <c r="AT217" s="10" t="n">
        <f aca="false">(AS217/Q217)*100</f>
        <v>0.824279439854976</v>
      </c>
    </row>
    <row r="218" customFormat="false" ht="12.8" hidden="false" customHeight="true" outlineLevel="0" collapsed="false">
      <c r="A218" s="7" t="n">
        <v>2021</v>
      </c>
      <c r="B218" s="8" t="n">
        <v>217</v>
      </c>
      <c r="C218" s="9" t="s">
        <v>1317</v>
      </c>
      <c r="D218" s="9" t="s">
        <v>1293</v>
      </c>
      <c r="E218" s="9" t="s">
        <v>192</v>
      </c>
      <c r="F218" s="9" t="s">
        <v>1144</v>
      </c>
      <c r="G218" s="9" t="s">
        <v>50</v>
      </c>
      <c r="H218" s="9" t="s">
        <v>65</v>
      </c>
      <c r="I218" s="9" t="s">
        <v>51</v>
      </c>
      <c r="J218" s="9" t="s">
        <v>51</v>
      </c>
      <c r="K218" s="9" t="s">
        <v>51</v>
      </c>
      <c r="L218" s="9" t="s">
        <v>51</v>
      </c>
      <c r="M218" s="9" t="s">
        <v>51</v>
      </c>
      <c r="N218" s="9" t="s">
        <v>51</v>
      </c>
      <c r="O218" s="9" t="s">
        <v>51</v>
      </c>
      <c r="P218" s="9" t="n">
        <v>251597</v>
      </c>
      <c r="Q218" s="9" t="n">
        <v>177840</v>
      </c>
      <c r="R218" s="10" t="n">
        <f aca="false">(Q218/P218)*100</f>
        <v>70.6844676208381</v>
      </c>
      <c r="S218" s="9" t="n">
        <f aca="false">Y218-AD218</f>
        <v>8510</v>
      </c>
      <c r="T218" s="10" t="n">
        <f aca="false">(S218/Q218)*100</f>
        <v>4.78520017993702</v>
      </c>
      <c r="U218" s="10" t="n">
        <f aca="false">Z218+AE218</f>
        <v>77.4347728295097</v>
      </c>
      <c r="V218" s="9" t="s">
        <v>52</v>
      </c>
      <c r="W218" s="9" t="s">
        <v>53</v>
      </c>
      <c r="X218" s="9" t="s">
        <v>1318</v>
      </c>
      <c r="Y218" s="9" t="n">
        <v>73110</v>
      </c>
      <c r="Z218" s="10" t="n">
        <f aca="false">(Y218/Q218)*100</f>
        <v>41.1099865047233</v>
      </c>
      <c r="AA218" s="9" t="s">
        <v>55</v>
      </c>
      <c r="AB218" s="9" t="s">
        <v>68</v>
      </c>
      <c r="AC218" s="9" t="s">
        <v>1319</v>
      </c>
      <c r="AD218" s="9" t="n">
        <v>64600</v>
      </c>
      <c r="AE218" s="10" t="n">
        <f aca="false">(AD218/Q218)*100</f>
        <v>36.3247863247863</v>
      </c>
      <c r="AF218" s="9" t="s">
        <v>58</v>
      </c>
      <c r="AG218" s="9" t="s">
        <v>58</v>
      </c>
      <c r="AH218" s="9" t="s">
        <v>1320</v>
      </c>
      <c r="AI218" s="9" t="n">
        <v>22413</v>
      </c>
      <c r="AJ218" s="10" t="n">
        <f aca="false">(AI218/Q218)*100</f>
        <v>12.6029014844804</v>
      </c>
      <c r="AK218" s="30" t="s">
        <v>1059</v>
      </c>
      <c r="AL218" s="30" t="s">
        <v>1059</v>
      </c>
      <c r="AM218" s="9" t="s">
        <v>1321</v>
      </c>
      <c r="AN218" s="9" t="n">
        <v>6544</v>
      </c>
      <c r="AO218" s="10" t="n">
        <f aca="false">(AN218/Q218)*100</f>
        <v>3.67971210076473</v>
      </c>
      <c r="AP218" s="9" t="s">
        <v>60</v>
      </c>
      <c r="AQ218" s="9" t="s">
        <v>61</v>
      </c>
      <c r="AR218" s="9" t="s">
        <v>1322</v>
      </c>
      <c r="AS218" s="9" t="n">
        <v>5327</v>
      </c>
      <c r="AT218" s="10" t="n">
        <f aca="false">(AS218/Q218)*100</f>
        <v>2.99538911381017</v>
      </c>
    </row>
    <row r="219" customFormat="false" ht="12.8" hidden="false" customHeight="true" outlineLevel="0" collapsed="false">
      <c r="A219" s="7" t="n">
        <v>2021</v>
      </c>
      <c r="B219" s="8" t="n">
        <v>218</v>
      </c>
      <c r="C219" s="9" t="s">
        <v>1323</v>
      </c>
      <c r="D219" s="9" t="s">
        <v>1293</v>
      </c>
      <c r="E219" s="9" t="s">
        <v>192</v>
      </c>
      <c r="F219" s="9" t="s">
        <v>1144</v>
      </c>
      <c r="G219" s="9" t="s">
        <v>50</v>
      </c>
      <c r="H219" s="9" t="s">
        <v>51</v>
      </c>
      <c r="I219" s="9" t="s">
        <v>526</v>
      </c>
      <c r="J219" s="9" t="s">
        <v>74</v>
      </c>
      <c r="K219" s="9" t="s">
        <v>68</v>
      </c>
      <c r="L219" s="9" t="s">
        <v>392</v>
      </c>
      <c r="M219" s="9" t="s">
        <v>68</v>
      </c>
      <c r="N219" s="9" t="s">
        <v>392</v>
      </c>
      <c r="O219" s="9" t="s">
        <v>51</v>
      </c>
      <c r="P219" s="9" t="n">
        <v>266625</v>
      </c>
      <c r="Q219" s="9" t="n">
        <v>180928</v>
      </c>
      <c r="R219" s="10" t="n">
        <f aca="false">(Q219/P219)*100</f>
        <v>67.8586029067042</v>
      </c>
      <c r="S219" s="9" t="n">
        <f aca="false">Y219-AD219</f>
        <v>12403</v>
      </c>
      <c r="T219" s="10" t="n">
        <f aca="false">(S219/Q219)*100</f>
        <v>6.85521312345242</v>
      </c>
      <c r="U219" s="10" t="n">
        <f aca="false">Z219+AJ219</f>
        <v>58.5514679872657</v>
      </c>
      <c r="V219" s="9" t="s">
        <v>55</v>
      </c>
      <c r="W219" s="9" t="s">
        <v>68</v>
      </c>
      <c r="X219" s="9" t="s">
        <v>1324</v>
      </c>
      <c r="Y219" s="9" t="n">
        <v>68556</v>
      </c>
      <c r="Z219" s="10" t="n">
        <f aca="false">(Y219/Q219)*100</f>
        <v>37.891315882561</v>
      </c>
      <c r="AA219" s="12" t="s">
        <v>1325</v>
      </c>
      <c r="AB219" s="9" t="s">
        <v>74</v>
      </c>
      <c r="AC219" s="9" t="s">
        <v>1326</v>
      </c>
      <c r="AD219" s="9" t="n">
        <v>56153</v>
      </c>
      <c r="AE219" s="10" t="n">
        <f aca="false">(AD219/Q219)*100</f>
        <v>31.0361027591086</v>
      </c>
      <c r="AF219" s="9" t="s">
        <v>52</v>
      </c>
      <c r="AG219" s="9" t="s">
        <v>422</v>
      </c>
      <c r="AH219" s="9" t="s">
        <v>1327</v>
      </c>
      <c r="AI219" s="9" t="n">
        <v>37380</v>
      </c>
      <c r="AJ219" s="10" t="n">
        <f aca="false">(AI219/Q219)*100</f>
        <v>20.6601521047046</v>
      </c>
      <c r="AK219" s="9" t="s">
        <v>58</v>
      </c>
      <c r="AL219" s="9" t="s">
        <v>58</v>
      </c>
      <c r="AM219" s="9" t="s">
        <v>1328</v>
      </c>
      <c r="AN219" s="9" t="n">
        <v>9213</v>
      </c>
      <c r="AO219" s="10" t="n">
        <f aca="false">(AN219/Q219)*100</f>
        <v>5.09208082773258</v>
      </c>
      <c r="AP219" s="9" t="s">
        <v>71</v>
      </c>
      <c r="AQ219" s="9" t="s">
        <v>72</v>
      </c>
      <c r="AR219" s="9" t="s">
        <v>1329</v>
      </c>
      <c r="AS219" s="9" t="n">
        <v>3667</v>
      </c>
      <c r="AT219" s="10" t="n">
        <f aca="false">(AS219/Q219)*100</f>
        <v>2.0267730810046</v>
      </c>
    </row>
    <row r="220" customFormat="false" ht="12.8" hidden="false" customHeight="true" outlineLevel="0" collapsed="false">
      <c r="A220" s="7" t="n">
        <v>2021</v>
      </c>
      <c r="B220" s="8" t="n">
        <v>219</v>
      </c>
      <c r="C220" s="9" t="s">
        <v>1330</v>
      </c>
      <c r="D220" s="9" t="s">
        <v>1331</v>
      </c>
      <c r="E220" s="9" t="s">
        <v>192</v>
      </c>
      <c r="F220" s="9" t="s">
        <v>1144</v>
      </c>
      <c r="G220" s="9" t="s">
        <v>50</v>
      </c>
      <c r="H220" s="9" t="s">
        <v>65</v>
      </c>
      <c r="I220" s="9" t="s">
        <v>526</v>
      </c>
      <c r="J220" s="9" t="s">
        <v>51</v>
      </c>
      <c r="K220" s="9" t="s">
        <v>51</v>
      </c>
      <c r="L220" s="9" t="s">
        <v>68</v>
      </c>
      <c r="M220" s="9" t="s">
        <v>51</v>
      </c>
      <c r="N220" s="9" t="s">
        <v>68</v>
      </c>
      <c r="O220" s="9" t="s">
        <v>51</v>
      </c>
      <c r="P220" s="9" t="n">
        <v>254243</v>
      </c>
      <c r="Q220" s="9" t="n">
        <v>183338</v>
      </c>
      <c r="R220" s="10" t="n">
        <f aca="false">(Q220/P220)*100</f>
        <v>72.1113265655298</v>
      </c>
      <c r="S220" s="9" t="n">
        <f aca="false">Y220-AD220</f>
        <v>5297</v>
      </c>
      <c r="T220" s="10" t="n">
        <f aca="false">(S220/Q220)*100</f>
        <v>2.88919918402077</v>
      </c>
      <c r="U220" s="10" t="n">
        <f aca="false">Z220+AE220</f>
        <v>74.9419105695491</v>
      </c>
      <c r="V220" s="9" t="s">
        <v>52</v>
      </c>
      <c r="W220" s="9" t="s">
        <v>53</v>
      </c>
      <c r="X220" s="9" t="s">
        <v>1332</v>
      </c>
      <c r="Y220" s="9" t="n">
        <v>71347</v>
      </c>
      <c r="Z220" s="10" t="n">
        <f aca="false">(Y220/Q220)*100</f>
        <v>38.915554876785</v>
      </c>
      <c r="AA220" s="9" t="s">
        <v>55</v>
      </c>
      <c r="AB220" s="9" t="s">
        <v>68</v>
      </c>
      <c r="AC220" s="9" t="s">
        <v>1333</v>
      </c>
      <c r="AD220" s="9" t="n">
        <v>66050</v>
      </c>
      <c r="AE220" s="10" t="n">
        <f aca="false">(AD220/Q220)*100</f>
        <v>36.0263556927642</v>
      </c>
      <c r="AF220" s="9" t="s">
        <v>60</v>
      </c>
      <c r="AG220" s="9" t="s">
        <v>74</v>
      </c>
      <c r="AH220" s="9" t="s">
        <v>1334</v>
      </c>
      <c r="AI220" s="9" t="n">
        <v>22682</v>
      </c>
      <c r="AJ220" s="10" t="n">
        <f aca="false">(AI220/Q220)*100</f>
        <v>12.3716850843797</v>
      </c>
      <c r="AK220" s="9" t="s">
        <v>58</v>
      </c>
      <c r="AL220" s="9" t="s">
        <v>58</v>
      </c>
      <c r="AM220" s="9" t="s">
        <v>1335</v>
      </c>
      <c r="AN220" s="9" t="n">
        <v>13851</v>
      </c>
      <c r="AO220" s="10" t="n">
        <f aca="false">(AN220/Q220)*100</f>
        <v>7.55489860258103</v>
      </c>
      <c r="AP220" s="9" t="s">
        <v>71</v>
      </c>
      <c r="AQ220" s="9" t="s">
        <v>72</v>
      </c>
      <c r="AR220" s="9" t="s">
        <v>1336</v>
      </c>
      <c r="AS220" s="9" t="n">
        <v>2338</v>
      </c>
      <c r="AT220" s="10" t="n">
        <f aca="false">(AS220/Q220)*100</f>
        <v>1.2752402666114</v>
      </c>
    </row>
    <row r="221" customFormat="false" ht="12.8" hidden="false" customHeight="true" outlineLevel="0" collapsed="false">
      <c r="A221" s="7" t="n">
        <v>2021</v>
      </c>
      <c r="B221" s="8" t="n">
        <v>220</v>
      </c>
      <c r="C221" s="9" t="s">
        <v>1337</v>
      </c>
      <c r="D221" s="9" t="s">
        <v>1331</v>
      </c>
      <c r="E221" s="9" t="s">
        <v>192</v>
      </c>
      <c r="F221" s="9" t="s">
        <v>1144</v>
      </c>
      <c r="G221" s="9" t="s">
        <v>50</v>
      </c>
      <c r="H221" s="9" t="s">
        <v>65</v>
      </c>
      <c r="I221" s="9" t="s">
        <v>51</v>
      </c>
      <c r="J221" s="9" t="s">
        <v>51</v>
      </c>
      <c r="K221" s="9" t="s">
        <v>51</v>
      </c>
      <c r="L221" s="31" t="s">
        <v>1338</v>
      </c>
      <c r="M221" s="9" t="s">
        <v>51</v>
      </c>
      <c r="N221" s="9" t="s">
        <v>51</v>
      </c>
      <c r="O221" s="9" t="s">
        <v>51</v>
      </c>
      <c r="P221" s="9" t="n">
        <v>241748</v>
      </c>
      <c r="Q221" s="9" t="n">
        <v>175881</v>
      </c>
      <c r="R221" s="10" t="n">
        <f aca="false">(Q221/P221)*100</f>
        <v>72.7538593907706</v>
      </c>
      <c r="S221" s="9" t="n">
        <f aca="false">Y221-AD221</f>
        <v>2367</v>
      </c>
      <c r="T221" s="10" t="n">
        <f aca="false">(S221/Q221)*100</f>
        <v>1.34579630545653</v>
      </c>
      <c r="U221" s="10" t="n">
        <f aca="false">Z221+AE221</f>
        <v>76.8093199379126</v>
      </c>
      <c r="V221" s="9" t="s">
        <v>52</v>
      </c>
      <c r="W221" s="9" t="s">
        <v>271</v>
      </c>
      <c r="X221" s="9" t="s">
        <v>1339</v>
      </c>
      <c r="Y221" s="9" t="n">
        <v>68730</v>
      </c>
      <c r="Z221" s="10" t="n">
        <f aca="false">(Y221/Q221)*100</f>
        <v>39.0775581216846</v>
      </c>
      <c r="AA221" s="9" t="s">
        <v>55</v>
      </c>
      <c r="AB221" s="9" t="s">
        <v>68</v>
      </c>
      <c r="AC221" s="9" t="s">
        <v>1340</v>
      </c>
      <c r="AD221" s="9" t="n">
        <v>66363</v>
      </c>
      <c r="AE221" s="10" t="n">
        <f aca="false">(AD221/Q221)*100</f>
        <v>37.731761816228</v>
      </c>
      <c r="AF221" s="9" t="s">
        <v>58</v>
      </c>
      <c r="AG221" s="9" t="s">
        <v>58</v>
      </c>
      <c r="AH221" s="9" t="s">
        <v>1341</v>
      </c>
      <c r="AI221" s="9" t="n">
        <v>16731</v>
      </c>
      <c r="AJ221" s="10" t="n">
        <f aca="false">(AI221/Q221)*100</f>
        <v>9.5126818701281</v>
      </c>
      <c r="AK221" s="9" t="s">
        <v>60</v>
      </c>
      <c r="AL221" s="9" t="s">
        <v>74</v>
      </c>
      <c r="AM221" s="9" t="s">
        <v>1342</v>
      </c>
      <c r="AN221" s="9" t="n">
        <v>13376</v>
      </c>
      <c r="AO221" s="10" t="n">
        <f aca="false">(AN221/Q221)*100</f>
        <v>7.60514211313331</v>
      </c>
      <c r="AP221" s="30" t="s">
        <v>1059</v>
      </c>
      <c r="AQ221" s="30" t="s">
        <v>1059</v>
      </c>
      <c r="AR221" s="9" t="s">
        <v>1343</v>
      </c>
      <c r="AS221" s="9" t="n">
        <v>3651</v>
      </c>
      <c r="AT221" s="10" t="n">
        <f aca="false">(AS221/Q221)*100</f>
        <v>2.07583536595766</v>
      </c>
    </row>
    <row r="222" customFormat="false" ht="12.8" hidden="false" customHeight="true" outlineLevel="0" collapsed="false">
      <c r="A222" s="7" t="n">
        <v>2021</v>
      </c>
      <c r="B222" s="8" t="n">
        <v>221</v>
      </c>
      <c r="C222" s="9" t="s">
        <v>1344</v>
      </c>
      <c r="D222" s="9" t="s">
        <v>1331</v>
      </c>
      <c r="E222" s="9" t="s">
        <v>192</v>
      </c>
      <c r="F222" s="9" t="s">
        <v>1144</v>
      </c>
      <c r="G222" s="9" t="s">
        <v>50</v>
      </c>
      <c r="H222" s="9" t="s">
        <v>51</v>
      </c>
      <c r="I222" s="9" t="s">
        <v>51</v>
      </c>
      <c r="J222" s="19" t="s">
        <v>342</v>
      </c>
      <c r="K222" s="9" t="s">
        <v>51</v>
      </c>
      <c r="L222" s="9" t="s">
        <v>51</v>
      </c>
      <c r="M222" s="9" t="s">
        <v>51</v>
      </c>
      <c r="N222" s="9" t="s">
        <v>51</v>
      </c>
      <c r="O222" s="9" t="s">
        <v>51</v>
      </c>
      <c r="P222" s="9" t="n">
        <v>290432</v>
      </c>
      <c r="Q222" s="9" t="n">
        <v>205374</v>
      </c>
      <c r="R222" s="10" t="n">
        <f aca="false">(Q222/P222)*100</f>
        <v>70.713282282944</v>
      </c>
      <c r="S222" s="9" t="n">
        <f aca="false">Y222-AD222</f>
        <v>24349</v>
      </c>
      <c r="T222" s="10" t="n">
        <f aca="false">(S222/Q222)*100</f>
        <v>11.8559311305229</v>
      </c>
      <c r="U222" s="10" t="n">
        <f aca="false">Z222+AE222</f>
        <v>74.3029789554666</v>
      </c>
      <c r="V222" s="9" t="s">
        <v>55</v>
      </c>
      <c r="W222" s="9" t="s">
        <v>68</v>
      </c>
      <c r="X222" s="9" t="s">
        <v>1345</v>
      </c>
      <c r="Y222" s="9" t="n">
        <v>88474</v>
      </c>
      <c r="Z222" s="10" t="n">
        <f aca="false">(Y222/Q222)*100</f>
        <v>43.0794550429947</v>
      </c>
      <c r="AA222" s="9" t="s">
        <v>52</v>
      </c>
      <c r="AB222" s="19" t="s">
        <v>342</v>
      </c>
      <c r="AC222" s="9" t="s">
        <v>1346</v>
      </c>
      <c r="AD222" s="9" t="n">
        <v>64125</v>
      </c>
      <c r="AE222" s="10" t="n">
        <f aca="false">(AD222/Q222)*100</f>
        <v>31.2235239124719</v>
      </c>
      <c r="AF222" s="9" t="s">
        <v>60</v>
      </c>
      <c r="AG222" s="9" t="s">
        <v>74</v>
      </c>
      <c r="AH222" s="9" t="s">
        <v>1347</v>
      </c>
      <c r="AI222" s="9" t="n">
        <v>34216</v>
      </c>
      <c r="AJ222" s="10" t="n">
        <f aca="false">(AI222/Q222)*100</f>
        <v>16.6603367514875</v>
      </c>
      <c r="AK222" s="9" t="s">
        <v>58</v>
      </c>
      <c r="AL222" s="9" t="s">
        <v>58</v>
      </c>
      <c r="AM222" s="9" t="s">
        <v>1348</v>
      </c>
      <c r="AN222" s="9" t="n">
        <v>10136</v>
      </c>
      <c r="AO222" s="10" t="n">
        <f aca="false">(AN222/Q222)*100</f>
        <v>4.93538617351758</v>
      </c>
      <c r="AP222" s="9" t="s">
        <v>71</v>
      </c>
      <c r="AQ222" s="9" t="s">
        <v>72</v>
      </c>
      <c r="AR222" s="9" t="s">
        <v>1349</v>
      </c>
      <c r="AS222" s="9" t="n">
        <v>1778</v>
      </c>
      <c r="AT222" s="10" t="n">
        <f aca="false">(AS222/Q222)*100</f>
        <v>0.86573762988499</v>
      </c>
    </row>
    <row r="223" customFormat="false" ht="12.8" hidden="false" customHeight="true" outlineLevel="0" collapsed="false">
      <c r="A223" s="7" t="n">
        <v>2021</v>
      </c>
      <c r="B223" s="8" t="n">
        <v>222</v>
      </c>
      <c r="C223" s="9" t="s">
        <v>1331</v>
      </c>
      <c r="D223" s="9" t="s">
        <v>1331</v>
      </c>
      <c r="E223" s="9" t="s">
        <v>192</v>
      </c>
      <c r="F223" s="9" t="s">
        <v>1144</v>
      </c>
      <c r="G223" s="9" t="s">
        <v>50</v>
      </c>
      <c r="H223" s="9" t="s">
        <v>51</v>
      </c>
      <c r="I223" s="9" t="s">
        <v>51</v>
      </c>
      <c r="J223" s="9" t="s">
        <v>51</v>
      </c>
      <c r="K223" s="9" t="s">
        <v>51</v>
      </c>
      <c r="L223" s="9" t="s">
        <v>51</v>
      </c>
      <c r="M223" s="9" t="s">
        <v>51</v>
      </c>
      <c r="N223" s="9" t="s">
        <v>51</v>
      </c>
      <c r="O223" s="9" t="s">
        <v>51</v>
      </c>
      <c r="P223" s="9" t="n">
        <v>292538</v>
      </c>
      <c r="Q223" s="9" t="n">
        <v>214108</v>
      </c>
      <c r="R223" s="10" t="n">
        <f aca="false">(Q223/P223)*100</f>
        <v>73.1898078198388</v>
      </c>
      <c r="S223" s="9" t="n">
        <f aca="false">Y223-AD223</f>
        <v>370</v>
      </c>
      <c r="T223" s="10" t="n">
        <f aca="false">(S223/Q223)*100</f>
        <v>0.17280998374652</v>
      </c>
      <c r="U223" s="10" t="n">
        <f aca="false">Z223+AE223</f>
        <v>83.2570478450128</v>
      </c>
      <c r="V223" s="9" t="s">
        <v>52</v>
      </c>
      <c r="W223" s="9" t="s">
        <v>66</v>
      </c>
      <c r="X223" s="9" t="s">
        <v>1350</v>
      </c>
      <c r="Y223" s="9" t="n">
        <v>89315</v>
      </c>
      <c r="Z223" s="10" t="n">
        <f aca="false">(Y223/Q223)*100</f>
        <v>41.7149289143797</v>
      </c>
      <c r="AA223" s="9" t="s">
        <v>55</v>
      </c>
      <c r="AB223" s="9" t="s">
        <v>68</v>
      </c>
      <c r="AC223" s="9" t="s">
        <v>1351</v>
      </c>
      <c r="AD223" s="9" t="n">
        <v>88945</v>
      </c>
      <c r="AE223" s="10" t="n">
        <f aca="false">(AD223/Q223)*100</f>
        <v>41.5421189306331</v>
      </c>
      <c r="AF223" s="9" t="s">
        <v>58</v>
      </c>
      <c r="AG223" s="9" t="s">
        <v>58</v>
      </c>
      <c r="AH223" s="9" t="s">
        <v>1352</v>
      </c>
      <c r="AI223" s="9" t="n">
        <v>15336</v>
      </c>
      <c r="AJ223" s="10" t="n">
        <f aca="false">(AI223/Q223)*100</f>
        <v>7.16274029928821</v>
      </c>
      <c r="AK223" s="9" t="s">
        <v>60</v>
      </c>
      <c r="AL223" s="9" t="s">
        <v>74</v>
      </c>
      <c r="AM223" s="9" t="s">
        <v>1353</v>
      </c>
      <c r="AN223" s="9" t="n">
        <v>9944</v>
      </c>
      <c r="AO223" s="10" t="n">
        <f aca="false">(AN223/Q223)*100</f>
        <v>4.64438507669027</v>
      </c>
      <c r="AP223" s="9" t="s">
        <v>71</v>
      </c>
      <c r="AQ223" s="9" t="s">
        <v>72</v>
      </c>
      <c r="AR223" s="9" t="s">
        <v>1354</v>
      </c>
      <c r="AS223" s="9" t="n">
        <v>2188</v>
      </c>
      <c r="AT223" s="10" t="n">
        <f aca="false">(AS223/Q223)*100</f>
        <v>1.0219141741551</v>
      </c>
    </row>
    <row r="224" customFormat="false" ht="12.8" hidden="false" customHeight="true" outlineLevel="0" collapsed="false">
      <c r="A224" s="7" t="n">
        <v>2021</v>
      </c>
      <c r="B224" s="8" t="n">
        <v>223</v>
      </c>
      <c r="C224" s="9" t="s">
        <v>1355</v>
      </c>
      <c r="D224" s="9" t="s">
        <v>1331</v>
      </c>
      <c r="E224" s="9" t="s">
        <v>192</v>
      </c>
      <c r="F224" s="9" t="s">
        <v>1144</v>
      </c>
      <c r="G224" s="9" t="s">
        <v>50</v>
      </c>
      <c r="H224" s="9" t="s">
        <v>51</v>
      </c>
      <c r="I224" s="9" t="s">
        <v>51</v>
      </c>
      <c r="J224" s="9" t="s">
        <v>51</v>
      </c>
      <c r="K224" s="9" t="s">
        <v>51</v>
      </c>
      <c r="L224" s="9" t="s">
        <v>51</v>
      </c>
      <c r="M224" s="9" t="s">
        <v>51</v>
      </c>
      <c r="N224" s="9" t="s">
        <v>51</v>
      </c>
      <c r="O224" s="9" t="s">
        <v>51</v>
      </c>
      <c r="P224" s="9" t="n">
        <v>260688</v>
      </c>
      <c r="Q224" s="9" t="n">
        <v>203478</v>
      </c>
      <c r="R224" s="10" t="n">
        <f aca="false">(Q224/P224)*100</f>
        <v>78.0542257411158</v>
      </c>
      <c r="S224" s="9" t="n">
        <f aca="false">Y224-AD224</f>
        <v>3539</v>
      </c>
      <c r="T224" s="10" t="n">
        <f aca="false">(S224/Q224)*100</f>
        <v>1.73925436656543</v>
      </c>
      <c r="U224" s="10" t="n">
        <f aca="false">Z224+AE224</f>
        <v>71.1462664268373</v>
      </c>
      <c r="V224" s="9" t="s">
        <v>55</v>
      </c>
      <c r="W224" s="9" t="s">
        <v>68</v>
      </c>
      <c r="X224" s="9" t="s">
        <v>1356</v>
      </c>
      <c r="Y224" s="9" t="n">
        <v>74153</v>
      </c>
      <c r="Z224" s="10" t="n">
        <f aca="false">(Y224/Q224)*100</f>
        <v>36.4427603967014</v>
      </c>
      <c r="AA224" s="9" t="s">
        <v>52</v>
      </c>
      <c r="AB224" s="9" t="s">
        <v>53</v>
      </c>
      <c r="AC224" s="9" t="s">
        <v>1357</v>
      </c>
      <c r="AD224" s="9" t="n">
        <v>70614</v>
      </c>
      <c r="AE224" s="10" t="n">
        <f aca="false">(AD224/Q224)*100</f>
        <v>34.7035060301359</v>
      </c>
      <c r="AF224" s="9" t="s">
        <v>197</v>
      </c>
      <c r="AG224" s="9" t="s">
        <v>197</v>
      </c>
      <c r="AH224" s="9" t="s">
        <v>1358</v>
      </c>
      <c r="AI224" s="9" t="n">
        <v>37727</v>
      </c>
      <c r="AJ224" s="10" t="n">
        <f aca="false">(AI224/Q224)*100</f>
        <v>18.5410707791506</v>
      </c>
      <c r="AK224" s="9" t="s">
        <v>58</v>
      </c>
      <c r="AL224" s="9" t="s">
        <v>58</v>
      </c>
      <c r="AM224" s="9" t="s">
        <v>1359</v>
      </c>
      <c r="AN224" s="9" t="n">
        <v>12519</v>
      </c>
      <c r="AO224" s="10" t="n">
        <f aca="false">(AN224/Q224)*100</f>
        <v>6.15250788783063</v>
      </c>
      <c r="AP224" s="9" t="s">
        <v>60</v>
      </c>
      <c r="AQ224" s="9" t="s">
        <v>61</v>
      </c>
      <c r="AR224" s="9" t="s">
        <v>1360</v>
      </c>
      <c r="AS224" s="9" t="n">
        <v>2816</v>
      </c>
      <c r="AT224" s="10" t="n">
        <f aca="false">(AS224/Q224)*100</f>
        <v>1.38393339820521</v>
      </c>
    </row>
    <row r="225" customFormat="false" ht="12.8" hidden="false" customHeight="true" outlineLevel="0" collapsed="false">
      <c r="A225" s="7" t="n">
        <v>2021</v>
      </c>
      <c r="B225" s="8" t="n">
        <v>224</v>
      </c>
      <c r="C225" s="9" t="s">
        <v>1361</v>
      </c>
      <c r="D225" s="9" t="s">
        <v>1361</v>
      </c>
      <c r="E225" s="9" t="s">
        <v>192</v>
      </c>
      <c r="F225" s="9" t="s">
        <v>1362</v>
      </c>
      <c r="G225" s="9" t="s">
        <v>88</v>
      </c>
      <c r="H225" s="9" t="s">
        <v>51</v>
      </c>
      <c r="I225" s="9" t="s">
        <v>51</v>
      </c>
      <c r="J225" s="9" t="s">
        <v>51</v>
      </c>
      <c r="K225" s="9" t="s">
        <v>51</v>
      </c>
      <c r="L225" s="9" t="s">
        <v>51</v>
      </c>
      <c r="M225" s="9" t="s">
        <v>51</v>
      </c>
      <c r="N225" s="9" t="s">
        <v>51</v>
      </c>
      <c r="O225" s="9" t="s">
        <v>51</v>
      </c>
      <c r="P225" s="9" t="n">
        <v>292411</v>
      </c>
      <c r="Q225" s="9" t="n">
        <v>197587</v>
      </c>
      <c r="R225" s="10" t="n">
        <f aca="false">(Q225/P225)*100</f>
        <v>67.5716713803516</v>
      </c>
      <c r="S225" s="9" t="n">
        <f aca="false">Y225-AD225</f>
        <v>23107</v>
      </c>
      <c r="T225" s="10" t="n">
        <f aca="false">(S225/Q225)*100</f>
        <v>11.6945952922004</v>
      </c>
      <c r="U225" s="10" t="n">
        <f aca="false">Z225+AE225</f>
        <v>81.7143840434846</v>
      </c>
      <c r="V225" s="9" t="s">
        <v>55</v>
      </c>
      <c r="W225" s="9" t="s">
        <v>171</v>
      </c>
      <c r="X225" s="9" t="s">
        <v>1363</v>
      </c>
      <c r="Y225" s="9" t="n">
        <v>92282</v>
      </c>
      <c r="Z225" s="10" t="n">
        <f aca="false">(Y225/Q225)*100</f>
        <v>46.7044896678425</v>
      </c>
      <c r="AA225" s="9" t="s">
        <v>52</v>
      </c>
      <c r="AB225" s="9" t="s">
        <v>53</v>
      </c>
      <c r="AC225" s="9" t="s">
        <v>1364</v>
      </c>
      <c r="AD225" s="9" t="n">
        <v>69175</v>
      </c>
      <c r="AE225" s="10" t="n">
        <f aca="false">(AD225/Q225)*100</f>
        <v>35.0098943756421</v>
      </c>
      <c r="AF225" s="9" t="s">
        <v>58</v>
      </c>
      <c r="AG225" s="9" t="s">
        <v>58</v>
      </c>
      <c r="AH225" s="9" t="s">
        <v>1365</v>
      </c>
      <c r="AI225" s="9" t="n">
        <v>19162</v>
      </c>
      <c r="AJ225" s="10" t="n">
        <f aca="false">(AI225/Q225)*100</f>
        <v>9.69800644779262</v>
      </c>
      <c r="AK225" s="9" t="s">
        <v>60</v>
      </c>
      <c r="AL225" s="9" t="s">
        <v>74</v>
      </c>
      <c r="AM225" s="9" t="s">
        <v>1366</v>
      </c>
      <c r="AN225" s="9" t="n">
        <v>8911</v>
      </c>
      <c r="AO225" s="10" t="n">
        <f aca="false">(AN225/Q225)*100</f>
        <v>4.50991208935811</v>
      </c>
      <c r="AP225" s="9" t="s">
        <v>63</v>
      </c>
      <c r="AQ225" s="9" t="s">
        <v>63</v>
      </c>
      <c r="AR225" s="9" t="s">
        <v>63</v>
      </c>
      <c r="AS225" s="9" t="n">
        <v>2091</v>
      </c>
      <c r="AT225" s="10" t="n">
        <f aca="false">(AS225/Q225)*100</f>
        <v>1.05826800346177</v>
      </c>
    </row>
    <row r="226" customFormat="false" ht="12.8" hidden="false" customHeight="true" outlineLevel="0" collapsed="false">
      <c r="A226" s="7" t="n">
        <v>2021</v>
      </c>
      <c r="B226" s="8" t="n">
        <v>225</v>
      </c>
      <c r="C226" s="9" t="s">
        <v>1367</v>
      </c>
      <c r="D226" s="9" t="s">
        <v>1361</v>
      </c>
      <c r="E226" s="9" t="s">
        <v>192</v>
      </c>
      <c r="F226" s="9" t="s">
        <v>1362</v>
      </c>
      <c r="G226" s="9" t="s">
        <v>77</v>
      </c>
      <c r="H226" s="9" t="s">
        <v>51</v>
      </c>
      <c r="I226" s="9" t="s">
        <v>51</v>
      </c>
      <c r="J226" s="9" t="s">
        <v>51</v>
      </c>
      <c r="K226" s="9" t="s">
        <v>51</v>
      </c>
      <c r="L226" s="9" t="s">
        <v>51</v>
      </c>
      <c r="M226" s="9" t="s">
        <v>68</v>
      </c>
      <c r="N226" s="9" t="s">
        <v>51</v>
      </c>
      <c r="O226" s="9" t="s">
        <v>51</v>
      </c>
      <c r="P226" s="9" t="n">
        <v>245003</v>
      </c>
      <c r="Q226" s="9" t="n">
        <v>177681</v>
      </c>
      <c r="R226" s="10" t="n">
        <f aca="false">(Q226/P226)*100</f>
        <v>72.5219691187455</v>
      </c>
      <c r="S226" s="9" t="n">
        <f aca="false">Y226-AD226</f>
        <v>16915</v>
      </c>
      <c r="T226" s="10" t="n">
        <f aca="false">(S226/Q226)*100</f>
        <v>9.51986987916547</v>
      </c>
      <c r="U226" s="10" t="n">
        <f aca="false">Z226+AE226</f>
        <v>86.3947186249515</v>
      </c>
      <c r="V226" s="9" t="s">
        <v>55</v>
      </c>
      <c r="W226" s="9" t="s">
        <v>68</v>
      </c>
      <c r="X226" s="9" t="s">
        <v>1368</v>
      </c>
      <c r="Y226" s="9" t="n">
        <v>85211</v>
      </c>
      <c r="Z226" s="10" t="n">
        <f aca="false">(Y226/Q226)*100</f>
        <v>47.9572942520585</v>
      </c>
      <c r="AA226" s="9" t="s">
        <v>52</v>
      </c>
      <c r="AB226" s="9" t="s">
        <v>53</v>
      </c>
      <c r="AC226" s="9" t="s">
        <v>1369</v>
      </c>
      <c r="AD226" s="9" t="n">
        <v>68296</v>
      </c>
      <c r="AE226" s="10" t="n">
        <f aca="false">(AD226/Q226)*100</f>
        <v>38.437424372893</v>
      </c>
      <c r="AF226" s="9" t="s">
        <v>58</v>
      </c>
      <c r="AG226" s="9" t="s">
        <v>58</v>
      </c>
      <c r="AH226" s="9" t="s">
        <v>1370</v>
      </c>
      <c r="AI226" s="9" t="n">
        <v>13735</v>
      </c>
      <c r="AJ226" s="10" t="n">
        <f aca="false">(AI226/Q226)*100</f>
        <v>7.73014559800992</v>
      </c>
      <c r="AK226" s="9" t="s">
        <v>60</v>
      </c>
      <c r="AL226" s="9" t="s">
        <v>74</v>
      </c>
      <c r="AM226" s="9" t="s">
        <v>1371</v>
      </c>
      <c r="AN226" s="9" t="n">
        <v>4194</v>
      </c>
      <c r="AO226" s="10" t="n">
        <f aca="false">(AN226/Q226)*100</f>
        <v>2.36040994816553</v>
      </c>
      <c r="AP226" s="9" t="s">
        <v>71</v>
      </c>
      <c r="AQ226" s="9" t="s">
        <v>72</v>
      </c>
      <c r="AR226" s="9" t="s">
        <v>1372</v>
      </c>
      <c r="AS226" s="9" t="n">
        <v>2807</v>
      </c>
      <c r="AT226" s="10" t="n">
        <f aca="false">(AS226/Q226)*100</f>
        <v>1.5797975022653</v>
      </c>
    </row>
    <row r="227" customFormat="false" ht="12.8" hidden="false" customHeight="true" outlineLevel="0" collapsed="false">
      <c r="A227" s="7" t="n">
        <v>2021</v>
      </c>
      <c r="B227" s="8" t="n">
        <v>226</v>
      </c>
      <c r="C227" s="9" t="s">
        <v>1373</v>
      </c>
      <c r="D227" s="9" t="s">
        <v>1361</v>
      </c>
      <c r="E227" s="9" t="s">
        <v>192</v>
      </c>
      <c r="F227" s="9" t="s">
        <v>1362</v>
      </c>
      <c r="G227" s="9" t="s">
        <v>77</v>
      </c>
      <c r="H227" s="9" t="s">
        <v>51</v>
      </c>
      <c r="I227" s="9" t="s">
        <v>51</v>
      </c>
      <c r="J227" s="9" t="s">
        <v>51</v>
      </c>
      <c r="K227" s="9" t="s">
        <v>51</v>
      </c>
      <c r="L227" s="9" t="s">
        <v>53</v>
      </c>
      <c r="M227" s="9" t="s">
        <v>53</v>
      </c>
      <c r="N227" s="9" t="s">
        <v>51</v>
      </c>
      <c r="O227" s="9" t="s">
        <v>51</v>
      </c>
      <c r="P227" s="9" t="n">
        <v>273557</v>
      </c>
      <c r="Q227" s="9" t="n">
        <v>161091</v>
      </c>
      <c r="R227" s="10" t="n">
        <f aca="false">(Q227/P227)*100</f>
        <v>58.8875444605695</v>
      </c>
      <c r="S227" s="9" t="n">
        <f aca="false">Y227-AD227</f>
        <v>52141</v>
      </c>
      <c r="T227" s="10" t="n">
        <f aca="false">(S227/Q227)*100</f>
        <v>32.3674196572124</v>
      </c>
      <c r="U227" s="10" t="n">
        <f aca="false">Z227+AE227</f>
        <v>78.2743914930071</v>
      </c>
      <c r="V227" s="9" t="s">
        <v>52</v>
      </c>
      <c r="W227" s="9" t="s">
        <v>53</v>
      </c>
      <c r="X227" s="9" t="s">
        <v>1374</v>
      </c>
      <c r="Y227" s="9" t="n">
        <v>89117</v>
      </c>
      <c r="Z227" s="10" t="n">
        <f aca="false">(Y227/Q227)*100</f>
        <v>55.3209055751097</v>
      </c>
      <c r="AA227" s="9" t="s">
        <v>55</v>
      </c>
      <c r="AB227" s="9" t="s">
        <v>68</v>
      </c>
      <c r="AC227" s="9" t="s">
        <v>1375</v>
      </c>
      <c r="AD227" s="9" t="n">
        <v>36976</v>
      </c>
      <c r="AE227" s="10" t="n">
        <f aca="false">(AD227/Q227)*100</f>
        <v>22.9534859178973</v>
      </c>
      <c r="AF227" s="9" t="s">
        <v>60</v>
      </c>
      <c r="AG227" s="27" t="s">
        <v>352</v>
      </c>
      <c r="AH227" s="9" t="s">
        <v>1376</v>
      </c>
      <c r="AI227" s="9" t="n">
        <v>12241</v>
      </c>
      <c r="AJ227" s="10" t="n">
        <f aca="false">(AI227/Q227)*100</f>
        <v>7.59881061015203</v>
      </c>
      <c r="AK227" s="9" t="s">
        <v>58</v>
      </c>
      <c r="AL227" s="9" t="s">
        <v>58</v>
      </c>
      <c r="AM227" s="9" t="s">
        <v>1377</v>
      </c>
      <c r="AN227" s="9" t="n">
        <v>11665</v>
      </c>
      <c r="AO227" s="10" t="n">
        <f aca="false">(AN227/Q227)*100</f>
        <v>7.24124873518694</v>
      </c>
      <c r="AP227" s="9" t="s">
        <v>71</v>
      </c>
      <c r="AQ227" s="9" t="s">
        <v>72</v>
      </c>
      <c r="AR227" s="9" t="s">
        <v>1378</v>
      </c>
      <c r="AS227" s="9" t="n">
        <v>8107</v>
      </c>
      <c r="AT227" s="10" t="n">
        <f aca="false">(AS227/Q227)*100</f>
        <v>5.03255923670472</v>
      </c>
    </row>
    <row r="228" customFormat="false" ht="12.8" hidden="false" customHeight="true" outlineLevel="0" collapsed="false">
      <c r="A228" s="7" t="n">
        <v>2021</v>
      </c>
      <c r="B228" s="8" t="n">
        <v>227</v>
      </c>
      <c r="C228" s="9" t="s">
        <v>1379</v>
      </c>
      <c r="D228" s="9" t="s">
        <v>1361</v>
      </c>
      <c r="E228" s="9" t="s">
        <v>192</v>
      </c>
      <c r="F228" s="9" t="s">
        <v>1362</v>
      </c>
      <c r="G228" s="9" t="s">
        <v>50</v>
      </c>
      <c r="H228" s="9" t="s">
        <v>51</v>
      </c>
      <c r="I228" s="9" t="s">
        <v>51</v>
      </c>
      <c r="J228" s="9" t="s">
        <v>51</v>
      </c>
      <c r="K228" s="9" t="s">
        <v>51</v>
      </c>
      <c r="L228" s="9" t="s">
        <v>68</v>
      </c>
      <c r="M228" s="9" t="s">
        <v>51</v>
      </c>
      <c r="N228" s="9" t="s">
        <v>51</v>
      </c>
      <c r="O228" s="9" t="s">
        <v>51</v>
      </c>
      <c r="P228" s="9" t="n">
        <v>277865</v>
      </c>
      <c r="Q228" s="9" t="n">
        <v>192522</v>
      </c>
      <c r="R228" s="10" t="n">
        <f aca="false">(Q228/P228)*100</f>
        <v>69.2861641444586</v>
      </c>
      <c r="S228" s="9" t="n">
        <f aca="false">Y228-AD228</f>
        <v>16486</v>
      </c>
      <c r="T228" s="10" t="n">
        <f aca="false">(S228/Q228)*100</f>
        <v>8.56317719533352</v>
      </c>
      <c r="U228" s="10" t="n">
        <f aca="false">Z228+AE228</f>
        <v>70.2870321313928</v>
      </c>
      <c r="V228" s="9" t="s">
        <v>52</v>
      </c>
      <c r="W228" s="9" t="s">
        <v>66</v>
      </c>
      <c r="X228" s="9" t="s">
        <v>1380</v>
      </c>
      <c r="Y228" s="9" t="n">
        <v>75902</v>
      </c>
      <c r="Z228" s="10" t="n">
        <f aca="false">(Y228/Q228)*100</f>
        <v>39.4251046633632</v>
      </c>
      <c r="AA228" s="9" t="s">
        <v>55</v>
      </c>
      <c r="AB228" s="9" t="s">
        <v>68</v>
      </c>
      <c r="AC228" s="9" t="s">
        <v>1381</v>
      </c>
      <c r="AD228" s="9" t="n">
        <v>59416</v>
      </c>
      <c r="AE228" s="10" t="n">
        <f aca="false">(AD228/Q228)*100</f>
        <v>30.8619274680296</v>
      </c>
      <c r="AF228" s="9" t="s">
        <v>60</v>
      </c>
      <c r="AG228" s="9" t="s">
        <v>74</v>
      </c>
      <c r="AH228" s="9" t="s">
        <v>1382</v>
      </c>
      <c r="AI228" s="9" t="n">
        <v>31870</v>
      </c>
      <c r="AJ228" s="10" t="n">
        <f aca="false">(AI228/Q228)*100</f>
        <v>16.5539522755841</v>
      </c>
      <c r="AK228" s="9" t="s">
        <v>58</v>
      </c>
      <c r="AL228" s="9" t="s">
        <v>58</v>
      </c>
      <c r="AM228" s="9" t="s">
        <v>1383</v>
      </c>
      <c r="AN228" s="9" t="n">
        <v>17654</v>
      </c>
      <c r="AO228" s="10" t="n">
        <f aca="false">(AN228/Q228)*100</f>
        <v>9.1698611067826</v>
      </c>
      <c r="AP228" s="9" t="s">
        <v>63</v>
      </c>
      <c r="AQ228" s="9" t="s">
        <v>63</v>
      </c>
      <c r="AR228" s="9" t="s">
        <v>63</v>
      </c>
      <c r="AS228" s="9" t="n">
        <v>1537</v>
      </c>
      <c r="AT228" s="10" t="n">
        <f aca="false">(AS228/Q228)*100</f>
        <v>0.798350318405169</v>
      </c>
    </row>
    <row r="229" customFormat="false" ht="12.8" hidden="false" customHeight="true" outlineLevel="0" collapsed="false">
      <c r="A229" s="7" t="n">
        <v>2021</v>
      </c>
      <c r="B229" s="8" t="n">
        <v>228</v>
      </c>
      <c r="C229" s="9" t="s">
        <v>1384</v>
      </c>
      <c r="D229" s="9" t="s">
        <v>1361</v>
      </c>
      <c r="E229" s="9" t="s">
        <v>192</v>
      </c>
      <c r="F229" s="9" t="s">
        <v>1362</v>
      </c>
      <c r="G229" s="9" t="s">
        <v>50</v>
      </c>
      <c r="H229" s="9" t="s">
        <v>51</v>
      </c>
      <c r="I229" s="9" t="s">
        <v>51</v>
      </c>
      <c r="J229" s="9" t="s">
        <v>51</v>
      </c>
      <c r="K229" s="9" t="s">
        <v>53</v>
      </c>
      <c r="L229" s="9" t="s">
        <v>51</v>
      </c>
      <c r="M229" s="9" t="s">
        <v>51</v>
      </c>
      <c r="N229" s="9" t="s">
        <v>51</v>
      </c>
      <c r="O229" s="9" t="s">
        <v>51</v>
      </c>
      <c r="P229" s="9" t="n">
        <v>270760</v>
      </c>
      <c r="Q229" s="9" t="n">
        <v>187310</v>
      </c>
      <c r="R229" s="10" t="n">
        <f aca="false">(Q229/P229)*100</f>
        <v>69.179347023194</v>
      </c>
      <c r="S229" s="9" t="n">
        <f aca="false">Y229-AD229</f>
        <v>5925</v>
      </c>
      <c r="T229" s="10" t="n">
        <f aca="false">(S229/Q229)*100</f>
        <v>3.16320538145321</v>
      </c>
      <c r="U229" s="10" t="n">
        <f aca="false">Z229+AE229</f>
        <v>84.7456088836688</v>
      </c>
      <c r="V229" s="9" t="s">
        <v>52</v>
      </c>
      <c r="W229" s="9" t="s">
        <v>53</v>
      </c>
      <c r="X229" s="9" t="s">
        <v>1385</v>
      </c>
      <c r="Y229" s="9" t="n">
        <v>82331</v>
      </c>
      <c r="Z229" s="10" t="n">
        <f aca="false">(Y229/Q229)*100</f>
        <v>43.954407132561</v>
      </c>
      <c r="AA229" s="9" t="s">
        <v>55</v>
      </c>
      <c r="AB229" s="9" t="s">
        <v>68</v>
      </c>
      <c r="AC229" s="9" t="s">
        <v>1386</v>
      </c>
      <c r="AD229" s="9" t="n">
        <v>76406</v>
      </c>
      <c r="AE229" s="10" t="n">
        <f aca="false">(AD229/Q229)*100</f>
        <v>40.7912017511078</v>
      </c>
      <c r="AF229" s="9" t="s">
        <v>58</v>
      </c>
      <c r="AG229" s="9" t="s">
        <v>58</v>
      </c>
      <c r="AH229" s="9" t="s">
        <v>1387</v>
      </c>
      <c r="AI229" s="9" t="n">
        <v>19371</v>
      </c>
      <c r="AJ229" s="10" t="n">
        <f aca="false">(AI229/Q229)*100</f>
        <v>10.3416795686295</v>
      </c>
      <c r="AK229" s="9" t="s">
        <v>60</v>
      </c>
      <c r="AL229" s="9" t="s">
        <v>61</v>
      </c>
      <c r="AM229" s="9" t="s">
        <v>1388</v>
      </c>
      <c r="AN229" s="9" t="n">
        <v>2432</v>
      </c>
      <c r="AO229" s="10" t="n">
        <f aca="false">(AN229/Q229)*100</f>
        <v>1.29838236079227</v>
      </c>
      <c r="AP229" s="9" t="s">
        <v>197</v>
      </c>
      <c r="AQ229" s="9" t="s">
        <v>197</v>
      </c>
      <c r="AR229" s="9" t="s">
        <v>1389</v>
      </c>
      <c r="AS229" s="9" t="n">
        <v>1224</v>
      </c>
      <c r="AT229" s="10" t="n">
        <f aca="false">(AS229/Q229)*100</f>
        <v>0.653462175004004</v>
      </c>
    </row>
    <row r="230" customFormat="false" ht="12.8" hidden="false" customHeight="true" outlineLevel="0" collapsed="false">
      <c r="A230" s="7" t="n">
        <v>2021</v>
      </c>
      <c r="B230" s="8" t="n">
        <v>229</v>
      </c>
      <c r="C230" s="9" t="s">
        <v>1390</v>
      </c>
      <c r="D230" s="9" t="s">
        <v>1390</v>
      </c>
      <c r="E230" s="9" t="s">
        <v>192</v>
      </c>
      <c r="F230" s="9" t="s">
        <v>1362</v>
      </c>
      <c r="G230" s="9" t="s">
        <v>50</v>
      </c>
      <c r="H230" s="9" t="s">
        <v>51</v>
      </c>
      <c r="I230" s="9" t="s">
        <v>526</v>
      </c>
      <c r="J230" s="9" t="s">
        <v>51</v>
      </c>
      <c r="K230" s="9" t="s">
        <v>51</v>
      </c>
      <c r="L230" s="9" t="s">
        <v>51</v>
      </c>
      <c r="M230" s="9" t="s">
        <v>51</v>
      </c>
      <c r="N230" s="9" t="s">
        <v>51</v>
      </c>
      <c r="O230" s="9" t="s">
        <v>51</v>
      </c>
      <c r="P230" s="9" t="n">
        <v>293657</v>
      </c>
      <c r="Q230" s="9" t="n">
        <v>225121</v>
      </c>
      <c r="R230" s="10" t="n">
        <f aca="false">(Q230/P230)*100</f>
        <v>76.6612067820621</v>
      </c>
      <c r="S230" s="9" t="n">
        <f aca="false">Y230-AD230</f>
        <v>16210</v>
      </c>
      <c r="T230" s="10" t="n">
        <f aca="false">(S230/Q230)*100</f>
        <v>7.20057213676201</v>
      </c>
      <c r="U230" s="10" t="n">
        <f aca="false">Z230+AE230</f>
        <v>90.3718444747491</v>
      </c>
      <c r="V230" s="9" t="s">
        <v>55</v>
      </c>
      <c r="W230" s="9" t="s">
        <v>68</v>
      </c>
      <c r="X230" s="9" t="s">
        <v>1391</v>
      </c>
      <c r="Y230" s="9" t="n">
        <v>109828</v>
      </c>
      <c r="Z230" s="10" t="n">
        <f aca="false">(Y230/Q230)*100</f>
        <v>48.7862083057556</v>
      </c>
      <c r="AA230" s="9" t="s">
        <v>52</v>
      </c>
      <c r="AB230" s="9" t="s">
        <v>53</v>
      </c>
      <c r="AC230" s="9" t="s">
        <v>1392</v>
      </c>
      <c r="AD230" s="9" t="n">
        <v>93618</v>
      </c>
      <c r="AE230" s="10" t="n">
        <f aca="false">(AD230/Q230)*100</f>
        <v>41.5856361689936</v>
      </c>
      <c r="AF230" s="9" t="s">
        <v>58</v>
      </c>
      <c r="AG230" s="9" t="s">
        <v>58</v>
      </c>
      <c r="AH230" s="9" t="s">
        <v>1393</v>
      </c>
      <c r="AI230" s="9" t="n">
        <v>14197</v>
      </c>
      <c r="AJ230" s="10" t="n">
        <f aca="false">(AI230/Q230)*100</f>
        <v>6.30638634334425</v>
      </c>
      <c r="AK230" s="9" t="s">
        <v>71</v>
      </c>
      <c r="AL230" s="9" t="s">
        <v>72</v>
      </c>
      <c r="AM230" s="9" t="s">
        <v>1394</v>
      </c>
      <c r="AN230" s="9" t="n">
        <v>3109</v>
      </c>
      <c r="AO230" s="10" t="n">
        <f aca="false">(AN230/Q230)*100</f>
        <v>1.38103508779723</v>
      </c>
      <c r="AP230" s="9" t="s">
        <v>60</v>
      </c>
      <c r="AQ230" s="9" t="s">
        <v>74</v>
      </c>
      <c r="AR230" s="9" t="s">
        <v>1395</v>
      </c>
      <c r="AS230" s="9" t="n">
        <v>1599</v>
      </c>
      <c r="AT230" s="10" t="n">
        <f aca="false">(AS230/Q230)*100</f>
        <v>0.710284691343766</v>
      </c>
    </row>
    <row r="231" customFormat="false" ht="12.8" hidden="false" customHeight="true" outlineLevel="0" collapsed="false">
      <c r="A231" s="7" t="n">
        <v>2021</v>
      </c>
      <c r="B231" s="8" t="n">
        <v>230</v>
      </c>
      <c r="C231" s="9" t="s">
        <v>1396</v>
      </c>
      <c r="D231" s="9" t="s">
        <v>1390</v>
      </c>
      <c r="E231" s="9" t="s">
        <v>192</v>
      </c>
      <c r="F231" s="9" t="s">
        <v>1362</v>
      </c>
      <c r="G231" s="9" t="s">
        <v>88</v>
      </c>
      <c r="H231" s="9" t="s">
        <v>51</v>
      </c>
      <c r="I231" s="9" t="s">
        <v>51</v>
      </c>
      <c r="J231" s="9" t="s">
        <v>51</v>
      </c>
      <c r="K231" s="9" t="s">
        <v>51</v>
      </c>
      <c r="L231" s="9" t="s">
        <v>66</v>
      </c>
      <c r="M231" s="9" t="s">
        <v>51</v>
      </c>
      <c r="N231" s="9" t="s">
        <v>51</v>
      </c>
      <c r="O231" s="9" t="s">
        <v>51</v>
      </c>
      <c r="P231" s="9" t="n">
        <v>270845</v>
      </c>
      <c r="Q231" s="9" t="n">
        <v>184185</v>
      </c>
      <c r="R231" s="10" t="n">
        <f aca="false">(Q231/P231)*100</f>
        <v>68.0038398345917</v>
      </c>
      <c r="S231" s="9" t="n">
        <f aca="false">Y231-AD231</f>
        <v>11669</v>
      </c>
      <c r="T231" s="10" t="n">
        <f aca="false">(S231/Q231)*100</f>
        <v>6.33547791622554</v>
      </c>
      <c r="U231" s="10" t="n">
        <f aca="false">Z231+AE231</f>
        <v>90.0936558351657</v>
      </c>
      <c r="V231" s="9" t="s">
        <v>55</v>
      </c>
      <c r="W231" s="9" t="s">
        <v>171</v>
      </c>
      <c r="X231" s="9" t="s">
        <v>1397</v>
      </c>
      <c r="Y231" s="9" t="n">
        <v>88804</v>
      </c>
      <c r="Z231" s="10" t="n">
        <f aca="false">(Y231/Q231)*100</f>
        <v>48.2145668756956</v>
      </c>
      <c r="AA231" s="9" t="s">
        <v>52</v>
      </c>
      <c r="AB231" s="9" t="s">
        <v>53</v>
      </c>
      <c r="AC231" s="9" t="s">
        <v>1398</v>
      </c>
      <c r="AD231" s="9" t="n">
        <v>77135</v>
      </c>
      <c r="AE231" s="10" t="n">
        <f aca="false">(AD231/Q231)*100</f>
        <v>41.8790889594701</v>
      </c>
      <c r="AF231" s="9" t="s">
        <v>58</v>
      </c>
      <c r="AG231" s="9" t="s">
        <v>58</v>
      </c>
      <c r="AH231" s="9" t="s">
        <v>1399</v>
      </c>
      <c r="AI231" s="9" t="n">
        <v>10753</v>
      </c>
      <c r="AJ231" s="10" t="n">
        <f aca="false">(AI231/Q231)*100</f>
        <v>5.83815185818606</v>
      </c>
      <c r="AK231" s="9" t="s">
        <v>71</v>
      </c>
      <c r="AL231" s="9" t="s">
        <v>72</v>
      </c>
      <c r="AM231" s="9" t="s">
        <v>1400</v>
      </c>
      <c r="AN231" s="9" t="n">
        <v>4037</v>
      </c>
      <c r="AO231" s="10" t="n">
        <f aca="false">(AN231/Q231)*100</f>
        <v>2.19181800906697</v>
      </c>
      <c r="AP231" s="9" t="s">
        <v>60</v>
      </c>
      <c r="AQ231" s="9" t="s">
        <v>74</v>
      </c>
      <c r="AR231" s="9" t="s">
        <v>1401</v>
      </c>
      <c r="AS231" s="9" t="n">
        <v>1094</v>
      </c>
      <c r="AT231" s="10" t="n">
        <f aca="false">(AS231/Q231)*100</f>
        <v>0.593968021282949</v>
      </c>
    </row>
    <row r="232" customFormat="false" ht="12.8" hidden="false" customHeight="true" outlineLevel="0" collapsed="false">
      <c r="A232" s="7" t="n">
        <v>2021</v>
      </c>
      <c r="B232" s="8" t="n">
        <v>231</v>
      </c>
      <c r="C232" s="9" t="s">
        <v>1402</v>
      </c>
      <c r="D232" s="9" t="s">
        <v>1390</v>
      </c>
      <c r="E232" s="9" t="s">
        <v>192</v>
      </c>
      <c r="F232" s="9" t="s">
        <v>1362</v>
      </c>
      <c r="G232" s="9" t="s">
        <v>77</v>
      </c>
      <c r="H232" s="9" t="s">
        <v>51</v>
      </c>
      <c r="I232" s="9" t="s">
        <v>51</v>
      </c>
      <c r="J232" s="9" t="s">
        <v>51</v>
      </c>
      <c r="K232" s="9" t="s">
        <v>66</v>
      </c>
      <c r="L232" s="9" t="s">
        <v>51</v>
      </c>
      <c r="M232" s="9" t="s">
        <v>66</v>
      </c>
      <c r="N232" s="9" t="s">
        <v>51</v>
      </c>
      <c r="O232" s="9" t="s">
        <v>51</v>
      </c>
      <c r="P232" s="9" t="n">
        <v>269287</v>
      </c>
      <c r="Q232" s="9" t="n">
        <v>182969</v>
      </c>
      <c r="R232" s="10" t="n">
        <f aca="false">(Q232/P232)*100</f>
        <v>67.945723336069</v>
      </c>
      <c r="S232" s="9" t="n">
        <f aca="false">Y232-AD232</f>
        <v>24832</v>
      </c>
      <c r="T232" s="10" t="n">
        <f aca="false">(S232/Q232)*100</f>
        <v>13.5716979379021</v>
      </c>
      <c r="U232" s="10" t="n">
        <f aca="false">Z232+AE232</f>
        <v>85.5500112040838</v>
      </c>
      <c r="V232" s="9" t="s">
        <v>52</v>
      </c>
      <c r="W232" s="9" t="s">
        <v>66</v>
      </c>
      <c r="X232" s="9" t="s">
        <v>1403</v>
      </c>
      <c r="Y232" s="9" t="n">
        <v>90681</v>
      </c>
      <c r="Z232" s="10" t="n">
        <f aca="false">(Y232/Q232)*100</f>
        <v>49.5608545709929</v>
      </c>
      <c r="AA232" s="9" t="s">
        <v>55</v>
      </c>
      <c r="AB232" s="9" t="s">
        <v>171</v>
      </c>
      <c r="AC232" s="9" t="s">
        <v>1404</v>
      </c>
      <c r="AD232" s="9" t="n">
        <v>65849</v>
      </c>
      <c r="AE232" s="10" t="n">
        <f aca="false">(AD232/Q232)*100</f>
        <v>35.9891566330909</v>
      </c>
      <c r="AF232" s="9" t="s">
        <v>58</v>
      </c>
      <c r="AG232" s="9" t="s">
        <v>58</v>
      </c>
      <c r="AH232" s="9" t="s">
        <v>1405</v>
      </c>
      <c r="AI232" s="9" t="n">
        <v>18202</v>
      </c>
      <c r="AJ232" s="10" t="n">
        <f aca="false">(AI232/Q232)*100</f>
        <v>9.9481332903388</v>
      </c>
      <c r="AK232" s="9" t="s">
        <v>71</v>
      </c>
      <c r="AL232" s="9" t="s">
        <v>72</v>
      </c>
      <c r="AM232" s="9" t="s">
        <v>1406</v>
      </c>
      <c r="AN232" s="9" t="n">
        <v>2127</v>
      </c>
      <c r="AO232" s="10" t="n">
        <f aca="false">(AN232/Q232)*100</f>
        <v>1.16249200684269</v>
      </c>
      <c r="AP232" s="9" t="s">
        <v>60</v>
      </c>
      <c r="AQ232" s="9" t="s">
        <v>61</v>
      </c>
      <c r="AR232" s="9" t="s">
        <v>1407</v>
      </c>
      <c r="AS232" s="9" t="n">
        <v>1332</v>
      </c>
      <c r="AT232" s="10" t="n">
        <f aca="false">(AS232/Q232)*100</f>
        <v>0.727992173537594</v>
      </c>
    </row>
    <row r="233" customFormat="false" ht="12.8" hidden="false" customHeight="true" outlineLevel="0" collapsed="false">
      <c r="A233" s="7" t="n">
        <v>2021</v>
      </c>
      <c r="B233" s="8" t="n">
        <v>232</v>
      </c>
      <c r="C233" s="9" t="s">
        <v>1408</v>
      </c>
      <c r="D233" s="9" t="s">
        <v>1390</v>
      </c>
      <c r="E233" s="9" t="s">
        <v>192</v>
      </c>
      <c r="F233" s="9" t="s">
        <v>1362</v>
      </c>
      <c r="G233" s="9" t="s">
        <v>77</v>
      </c>
      <c r="H233" s="9" t="s">
        <v>51</v>
      </c>
      <c r="I233" s="9" t="s">
        <v>51</v>
      </c>
      <c r="J233" s="9" t="s">
        <v>51</v>
      </c>
      <c r="K233" s="9" t="s">
        <v>51</v>
      </c>
      <c r="L233" s="9" t="s">
        <v>51</v>
      </c>
      <c r="M233" s="9" t="s">
        <v>53</v>
      </c>
      <c r="N233" s="9" t="s">
        <v>51</v>
      </c>
      <c r="O233" s="9" t="s">
        <v>51</v>
      </c>
      <c r="P233" s="9" t="n">
        <v>240853</v>
      </c>
      <c r="Q233" s="9" t="n">
        <v>170156</v>
      </c>
      <c r="R233" s="10" t="n">
        <f aca="false">(Q233/P233)*100</f>
        <v>70.6472412633432</v>
      </c>
      <c r="S233" s="9" t="n">
        <f aca="false">Y233-AD233</f>
        <v>26885</v>
      </c>
      <c r="T233" s="10" t="n">
        <f aca="false">(S233/Q233)*100</f>
        <v>15.8002068689908</v>
      </c>
      <c r="U233" s="10" t="n">
        <f aca="false">Z233+AE233</f>
        <v>87.3333881849597</v>
      </c>
      <c r="V233" s="9" t="s">
        <v>52</v>
      </c>
      <c r="W233" s="9" t="s">
        <v>53</v>
      </c>
      <c r="X233" s="9" t="s">
        <v>1409</v>
      </c>
      <c r="Y233" s="9" t="n">
        <v>87744</v>
      </c>
      <c r="Z233" s="10" t="n">
        <f aca="false">(Y233/Q233)*100</f>
        <v>51.5667975269753</v>
      </c>
      <c r="AA233" s="9" t="s">
        <v>55</v>
      </c>
      <c r="AB233" s="9" t="s">
        <v>68</v>
      </c>
      <c r="AC233" s="9" t="s">
        <v>1410</v>
      </c>
      <c r="AD233" s="9" t="n">
        <v>60859</v>
      </c>
      <c r="AE233" s="10" t="n">
        <f aca="false">(AD233/Q233)*100</f>
        <v>35.7665906579844</v>
      </c>
      <c r="AF233" s="9" t="s">
        <v>58</v>
      </c>
      <c r="AG233" s="9" t="s">
        <v>58</v>
      </c>
      <c r="AH233" s="9" t="s">
        <v>1411</v>
      </c>
      <c r="AI233" s="9" t="n">
        <v>13899</v>
      </c>
      <c r="AJ233" s="10" t="n">
        <f aca="false">(AI233/Q233)*100</f>
        <v>8.16838665695009</v>
      </c>
      <c r="AK233" s="9" t="s">
        <v>60</v>
      </c>
      <c r="AL233" s="9" t="s">
        <v>74</v>
      </c>
      <c r="AM233" s="9" t="s">
        <v>1412</v>
      </c>
      <c r="AN233" s="9" t="n">
        <v>3234</v>
      </c>
      <c r="AO233" s="10" t="n">
        <f aca="false">(AN233/Q233)*100</f>
        <v>1.90060885305249</v>
      </c>
      <c r="AP233" s="32" t="s">
        <v>85</v>
      </c>
      <c r="AQ233" s="32" t="s">
        <v>85</v>
      </c>
      <c r="AR233" s="9" t="s">
        <v>1413</v>
      </c>
      <c r="AS233" s="9" t="n">
        <v>1272</v>
      </c>
      <c r="AT233" s="10" t="n">
        <f aca="false">(AS233/Q233)*100</f>
        <v>0.747549307694116</v>
      </c>
    </row>
    <row r="234" customFormat="false" ht="12.8" hidden="false" customHeight="true" outlineLevel="0" collapsed="false">
      <c r="A234" s="7" t="n">
        <v>2021</v>
      </c>
      <c r="B234" s="8" t="n">
        <v>233</v>
      </c>
      <c r="C234" s="9" t="s">
        <v>1414</v>
      </c>
      <c r="D234" s="9" t="s">
        <v>1390</v>
      </c>
      <c r="E234" s="9" t="s">
        <v>192</v>
      </c>
      <c r="F234" s="9" t="s">
        <v>1362</v>
      </c>
      <c r="G234" s="9" t="s">
        <v>50</v>
      </c>
      <c r="H234" s="9" t="s">
        <v>51</v>
      </c>
      <c r="I234" s="9" t="s">
        <v>526</v>
      </c>
      <c r="J234" s="9" t="s">
        <v>51</v>
      </c>
      <c r="K234" s="9" t="s">
        <v>66</v>
      </c>
      <c r="L234" s="9" t="s">
        <v>66</v>
      </c>
      <c r="M234" s="9" t="s">
        <v>66</v>
      </c>
      <c r="N234" s="9" t="s">
        <v>51</v>
      </c>
      <c r="O234" s="9" t="s">
        <v>51</v>
      </c>
      <c r="P234" s="9" t="n">
        <v>250065</v>
      </c>
      <c r="Q234" s="9" t="n">
        <v>167836</v>
      </c>
      <c r="R234" s="10" t="n">
        <f aca="false">(Q234/P234)*100</f>
        <v>67.1169495931058</v>
      </c>
      <c r="S234" s="9" t="n">
        <f aca="false">Y234-AD234</f>
        <v>28669</v>
      </c>
      <c r="T234" s="10" t="n">
        <f aca="false">(S234/Q234)*100</f>
        <v>17.0815558044758</v>
      </c>
      <c r="U234" s="10" t="n">
        <f aca="false">Z234+AE234</f>
        <v>87.1547224671703</v>
      </c>
      <c r="V234" s="9" t="s">
        <v>52</v>
      </c>
      <c r="W234" s="9" t="s">
        <v>66</v>
      </c>
      <c r="X234" s="9" t="s">
        <v>1415</v>
      </c>
      <c r="Y234" s="9" t="n">
        <v>87473</v>
      </c>
      <c r="Z234" s="10" t="n">
        <f aca="false">(Y234/Q234)*100</f>
        <v>52.1181391358231</v>
      </c>
      <c r="AA234" s="9" t="s">
        <v>55</v>
      </c>
      <c r="AB234" s="9" t="s">
        <v>171</v>
      </c>
      <c r="AC234" s="9" t="s">
        <v>1416</v>
      </c>
      <c r="AD234" s="9" t="n">
        <v>58804</v>
      </c>
      <c r="AE234" s="10" t="n">
        <f aca="false">(AD234/Q234)*100</f>
        <v>35.0365833313473</v>
      </c>
      <c r="AF234" s="9" t="s">
        <v>58</v>
      </c>
      <c r="AG234" s="9" t="s">
        <v>58</v>
      </c>
      <c r="AH234" s="9" t="s">
        <v>1417</v>
      </c>
      <c r="AI234" s="9" t="n">
        <v>12292</v>
      </c>
      <c r="AJ234" s="10" t="n">
        <f aca="false">(AI234/Q234)*100</f>
        <v>7.32381610619891</v>
      </c>
      <c r="AK234" s="9" t="s">
        <v>197</v>
      </c>
      <c r="AL234" s="9" t="s">
        <v>197</v>
      </c>
      <c r="AM234" s="9" t="s">
        <v>1418</v>
      </c>
      <c r="AN234" s="9" t="n">
        <v>3541</v>
      </c>
      <c r="AO234" s="10" t="n">
        <f aca="false">(AN234/Q234)*100</f>
        <v>2.10979765962011</v>
      </c>
      <c r="AP234" s="9" t="s">
        <v>60</v>
      </c>
      <c r="AQ234" s="9" t="s">
        <v>61</v>
      </c>
      <c r="AR234" s="9" t="s">
        <v>1419</v>
      </c>
      <c r="AS234" s="9" t="n">
        <v>2447</v>
      </c>
      <c r="AT234" s="10" t="n">
        <f aca="false">(AS234/Q234)*100</f>
        <v>1.45797087633166</v>
      </c>
    </row>
    <row r="235" customFormat="false" ht="12.8" hidden="false" customHeight="true" outlineLevel="0" collapsed="false">
      <c r="A235" s="7" t="n">
        <v>2021</v>
      </c>
      <c r="B235" s="8" t="n">
        <v>234</v>
      </c>
      <c r="C235" s="9" t="s">
        <v>1420</v>
      </c>
      <c r="D235" s="9" t="s">
        <v>1390</v>
      </c>
      <c r="E235" s="9" t="s">
        <v>192</v>
      </c>
      <c r="F235" s="9" t="s">
        <v>1362</v>
      </c>
      <c r="G235" s="9" t="s">
        <v>50</v>
      </c>
      <c r="H235" s="9" t="s">
        <v>51</v>
      </c>
      <c r="I235" s="9" t="s">
        <v>51</v>
      </c>
      <c r="J235" s="9" t="s">
        <v>51</v>
      </c>
      <c r="K235" s="9" t="s">
        <v>51</v>
      </c>
      <c r="L235" s="31" t="s">
        <v>1338</v>
      </c>
      <c r="M235" s="9" t="s">
        <v>66</v>
      </c>
      <c r="N235" s="9" t="s">
        <v>51</v>
      </c>
      <c r="O235" s="9" t="s">
        <v>51</v>
      </c>
      <c r="P235" s="9" t="n">
        <v>255347</v>
      </c>
      <c r="Q235" s="9" t="n">
        <v>169918</v>
      </c>
      <c r="R235" s="10" t="n">
        <f aca="false">(Q235/P235)*100</f>
        <v>66.5439578299334</v>
      </c>
      <c r="S235" s="9" t="n">
        <f aca="false">Y235-AD235</f>
        <v>55400</v>
      </c>
      <c r="T235" s="10" t="n">
        <f aca="false">(S235/Q235)*100</f>
        <v>32.6039619110394</v>
      </c>
      <c r="U235" s="10" t="n">
        <f aca="false">Z235+AE235</f>
        <v>86.913687778811</v>
      </c>
      <c r="V235" s="9" t="s">
        <v>52</v>
      </c>
      <c r="W235" s="9" t="s">
        <v>66</v>
      </c>
      <c r="X235" s="9" t="s">
        <v>641</v>
      </c>
      <c r="Y235" s="9" t="n">
        <v>101541</v>
      </c>
      <c r="Z235" s="10" t="n">
        <f aca="false">(Y235/Q235)*100</f>
        <v>59.7588248449252</v>
      </c>
      <c r="AA235" s="9" t="s">
        <v>55</v>
      </c>
      <c r="AB235" s="9" t="s">
        <v>68</v>
      </c>
      <c r="AC235" s="9" t="s">
        <v>1421</v>
      </c>
      <c r="AD235" s="9" t="n">
        <v>46141</v>
      </c>
      <c r="AE235" s="10" t="n">
        <f aca="false">(AD235/Q235)*100</f>
        <v>27.1548629338858</v>
      </c>
      <c r="AF235" s="9" t="s">
        <v>58</v>
      </c>
      <c r="AG235" s="9" t="s">
        <v>58</v>
      </c>
      <c r="AH235" s="9" t="s">
        <v>1422</v>
      </c>
      <c r="AI235" s="9" t="n">
        <v>14571</v>
      </c>
      <c r="AJ235" s="10" t="n">
        <f aca="false">(AI235/Q235)*100</f>
        <v>8.57531279793783</v>
      </c>
      <c r="AK235" s="13" t="s">
        <v>85</v>
      </c>
      <c r="AL235" s="13" t="s">
        <v>85</v>
      </c>
      <c r="AM235" s="9" t="s">
        <v>1423</v>
      </c>
      <c r="AN235" s="9" t="n">
        <v>1596</v>
      </c>
      <c r="AO235" s="10" t="n">
        <f aca="false">(AN235/Q235)*100</f>
        <v>0.939276592238609</v>
      </c>
      <c r="AP235" s="9" t="s">
        <v>197</v>
      </c>
      <c r="AQ235" s="9" t="s">
        <v>197</v>
      </c>
      <c r="AR235" s="9" t="s">
        <v>1424</v>
      </c>
      <c r="AS235" s="9" t="n">
        <v>1444</v>
      </c>
      <c r="AT235" s="10" t="n">
        <f aca="false">(AS235/Q235)*100</f>
        <v>0.849821678692075</v>
      </c>
    </row>
    <row r="236" customFormat="false" ht="12.8" hidden="false" customHeight="true" outlineLevel="0" collapsed="false">
      <c r="A236" s="33" t="n">
        <v>2016</v>
      </c>
      <c r="B236" s="8" t="n">
        <v>1</v>
      </c>
      <c r="C236" s="9" t="s">
        <v>46</v>
      </c>
      <c r="D236" s="9" t="s">
        <v>47</v>
      </c>
      <c r="E236" s="9" t="s">
        <v>48</v>
      </c>
      <c r="F236" s="9" t="s">
        <v>49</v>
      </c>
      <c r="G236" s="9" t="s">
        <v>50</v>
      </c>
      <c r="H236" s="9" t="s">
        <v>51</v>
      </c>
      <c r="I236" s="9" t="s">
        <v>51</v>
      </c>
      <c r="J236" s="9" t="s">
        <v>51</v>
      </c>
      <c r="K236" s="9" t="s">
        <v>51</v>
      </c>
      <c r="L236" s="9" t="s">
        <v>51</v>
      </c>
      <c r="M236" s="9" t="s">
        <v>51</v>
      </c>
      <c r="N236" s="9" t="s">
        <v>51</v>
      </c>
      <c r="O236" s="9" t="s">
        <v>51</v>
      </c>
      <c r="P236" s="9" t="n">
        <v>260912</v>
      </c>
      <c r="Q236" s="9" t="n">
        <v>214348</v>
      </c>
      <c r="R236" s="10" t="n">
        <f aca="false">(Q236/P236)*100</f>
        <v>82.1533697185258</v>
      </c>
      <c r="S236" s="9" t="n">
        <f aca="false">Y236-AD236</f>
        <v>23395</v>
      </c>
      <c r="T236" s="10" t="n">
        <f aca="false">(S236/Q236)*100</f>
        <v>10.914494187023</v>
      </c>
      <c r="U236" s="10" t="n">
        <f aca="false">Z236+AE236</f>
        <v>72.4378114094836</v>
      </c>
      <c r="V236" s="9" t="s">
        <v>55</v>
      </c>
      <c r="W236" s="9" t="s">
        <v>68</v>
      </c>
      <c r="X236" s="9" t="s">
        <v>1425</v>
      </c>
      <c r="Y236" s="9" t="n">
        <v>89332</v>
      </c>
      <c r="Z236" s="10" t="n">
        <f aca="false">(Y236/Q236)*100</f>
        <v>41.6761527982533</v>
      </c>
      <c r="AA236" s="9" t="s">
        <v>52</v>
      </c>
      <c r="AB236" s="9" t="s">
        <v>53</v>
      </c>
      <c r="AC236" s="9" t="s">
        <v>1426</v>
      </c>
      <c r="AD236" s="9" t="n">
        <v>65937</v>
      </c>
      <c r="AE236" s="10" t="n">
        <f aca="false">(AD236/Q236)*100</f>
        <v>30.7616586112303</v>
      </c>
      <c r="AF236" s="9" t="s">
        <v>1427</v>
      </c>
      <c r="AG236" s="9" t="s">
        <v>56</v>
      </c>
      <c r="AH236" s="9" t="s">
        <v>1428</v>
      </c>
      <c r="AI236" s="9" t="n">
        <v>43055</v>
      </c>
      <c r="AJ236" s="10" t="n">
        <f aca="false">(AI236/Q236)*100</f>
        <v>20.0864948588277</v>
      </c>
      <c r="AK236" s="9" t="s">
        <v>1429</v>
      </c>
      <c r="AL236" s="9" t="s">
        <v>61</v>
      </c>
      <c r="AM236" s="9" t="s">
        <v>1430</v>
      </c>
      <c r="AN236" s="9" t="n">
        <v>6585</v>
      </c>
      <c r="AO236" s="10" t="n">
        <f aca="false">(AN236/Q236)*100</f>
        <v>3.07210704088678</v>
      </c>
      <c r="AP236" s="9" t="s">
        <v>1431</v>
      </c>
      <c r="AQ236" s="9" t="s">
        <v>171</v>
      </c>
      <c r="AR236" s="9" t="s">
        <v>1432</v>
      </c>
      <c r="AS236" s="9" t="n">
        <v>2092</v>
      </c>
      <c r="AT236" s="10" t="n">
        <f aca="false">(AS236/Q236)*100</f>
        <v>0.975982980946871</v>
      </c>
    </row>
    <row r="237" customFormat="false" ht="12.8" hidden="false" customHeight="true" outlineLevel="0" collapsed="false">
      <c r="A237" s="33" t="n">
        <v>2016</v>
      </c>
      <c r="B237" s="8" t="n">
        <v>2</v>
      </c>
      <c r="C237" s="9" t="s">
        <v>64</v>
      </c>
      <c r="D237" s="9" t="s">
        <v>47</v>
      </c>
      <c r="E237" s="9" t="s">
        <v>48</v>
      </c>
      <c r="F237" s="9" t="s">
        <v>49</v>
      </c>
      <c r="G237" s="9" t="s">
        <v>50</v>
      </c>
      <c r="H237" s="9" t="s">
        <v>65</v>
      </c>
      <c r="I237" s="9" t="s">
        <v>51</v>
      </c>
      <c r="J237" s="9" t="s">
        <v>51</v>
      </c>
      <c r="K237" s="9" t="s">
        <v>51</v>
      </c>
      <c r="L237" s="9" t="s">
        <v>51</v>
      </c>
      <c r="M237" s="9" t="s">
        <v>51</v>
      </c>
      <c r="N237" s="9" t="s">
        <v>51</v>
      </c>
      <c r="O237" s="9" t="s">
        <v>51</v>
      </c>
      <c r="P237" s="9" t="n">
        <v>250403</v>
      </c>
      <c r="Q237" s="9" t="n">
        <v>197648</v>
      </c>
      <c r="R237" s="10" t="n">
        <f aca="false">(Q237/P237)*100</f>
        <v>78.9319616777754</v>
      </c>
      <c r="S237" s="9" t="n">
        <f aca="false">Y237-AD237</f>
        <v>19336</v>
      </c>
      <c r="T237" s="10" t="n">
        <f aca="false">(S237/Q237)*100</f>
        <v>9.78304865214928</v>
      </c>
      <c r="U237" s="10" t="n">
        <f aca="false">Z237+AE237</f>
        <v>87.3380960090666</v>
      </c>
      <c r="V237" s="9" t="s">
        <v>55</v>
      </c>
      <c r="W237" s="9" t="s">
        <v>68</v>
      </c>
      <c r="X237" s="9" t="s">
        <v>1433</v>
      </c>
      <c r="Y237" s="9" t="n">
        <v>95979</v>
      </c>
      <c r="Z237" s="10" t="n">
        <f aca="false">(Y237/Q237)*100</f>
        <v>48.560572330608</v>
      </c>
      <c r="AA237" s="9" t="s">
        <v>52</v>
      </c>
      <c r="AB237" s="9" t="s">
        <v>53</v>
      </c>
      <c r="AC237" s="9" t="s">
        <v>1434</v>
      </c>
      <c r="AD237" s="9" t="n">
        <v>76643</v>
      </c>
      <c r="AE237" s="10" t="n">
        <f aca="false">(AD237/Q237)*100</f>
        <v>38.7775236784587</v>
      </c>
      <c r="AF237" s="9" t="s">
        <v>1427</v>
      </c>
      <c r="AG237" s="9" t="s">
        <v>56</v>
      </c>
      <c r="AH237" s="9" t="s">
        <v>1435</v>
      </c>
      <c r="AI237" s="9" t="n">
        <v>9586</v>
      </c>
      <c r="AJ237" s="10" t="n">
        <f aca="false">(AI237/Q237)*100</f>
        <v>4.85003642839796</v>
      </c>
      <c r="AK237" s="9" t="s">
        <v>1429</v>
      </c>
      <c r="AL237" s="9" t="s">
        <v>257</v>
      </c>
      <c r="AM237" s="9" t="s">
        <v>1436</v>
      </c>
      <c r="AN237" s="9" t="n">
        <v>5566</v>
      </c>
      <c r="AO237" s="10" t="n">
        <f aca="false">(AN237/Q237)*100</f>
        <v>2.81611754229742</v>
      </c>
      <c r="AP237" s="12" t="s">
        <v>63</v>
      </c>
      <c r="AQ237" s="9" t="s">
        <v>63</v>
      </c>
      <c r="AR237" s="9" t="s">
        <v>63</v>
      </c>
      <c r="AS237" s="9" t="n">
        <v>2284</v>
      </c>
      <c r="AT237" s="10" t="n">
        <f aca="false">(AS237/Q237)*100</f>
        <v>1.15558973528697</v>
      </c>
    </row>
    <row r="238" customFormat="false" ht="12.8" hidden="false" customHeight="true" outlineLevel="0" collapsed="false">
      <c r="A238" s="33" t="n">
        <v>2016</v>
      </c>
      <c r="B238" s="8" t="n">
        <v>3</v>
      </c>
      <c r="C238" s="9" t="s">
        <v>76</v>
      </c>
      <c r="D238" s="9" t="s">
        <v>47</v>
      </c>
      <c r="E238" s="9" t="s">
        <v>48</v>
      </c>
      <c r="F238" s="9" t="s">
        <v>49</v>
      </c>
      <c r="G238" s="9" t="s">
        <v>77</v>
      </c>
      <c r="H238" s="9" t="s">
        <v>51</v>
      </c>
      <c r="I238" s="9" t="s">
        <v>51</v>
      </c>
      <c r="J238" s="9" t="s">
        <v>51</v>
      </c>
      <c r="K238" s="9" t="s">
        <v>51</v>
      </c>
      <c r="L238" s="9" t="s">
        <v>68</v>
      </c>
      <c r="M238" s="9" t="s">
        <v>51</v>
      </c>
      <c r="N238" s="9" t="s">
        <v>51</v>
      </c>
      <c r="O238" s="9" t="s">
        <v>51</v>
      </c>
      <c r="P238" s="9" t="n">
        <v>274818</v>
      </c>
      <c r="Q238" s="9" t="n">
        <v>222409</v>
      </c>
      <c r="R238" s="10" t="n">
        <f aca="false">(Q238/P238)*100</f>
        <v>80.9295606546878</v>
      </c>
      <c r="S238" s="9" t="n">
        <f aca="false">Y238-AD238</f>
        <v>23141</v>
      </c>
      <c r="T238" s="10" t="n">
        <f aca="false">(S238/Q238)*100</f>
        <v>10.4047048455773</v>
      </c>
      <c r="U238" s="10" t="n">
        <f aca="false">Z238+AE238</f>
        <v>73.2654703721522</v>
      </c>
      <c r="V238" s="9" t="s">
        <v>55</v>
      </c>
      <c r="W238" s="9" t="s">
        <v>68</v>
      </c>
      <c r="X238" s="9" t="s">
        <v>1437</v>
      </c>
      <c r="Y238" s="9" t="n">
        <v>93045</v>
      </c>
      <c r="Z238" s="10" t="n">
        <f aca="false">(Y238/Q238)*100</f>
        <v>41.8350876088648</v>
      </c>
      <c r="AA238" s="9" t="s">
        <v>52</v>
      </c>
      <c r="AB238" s="9" t="s">
        <v>66</v>
      </c>
      <c r="AC238" s="9" t="s">
        <v>1438</v>
      </c>
      <c r="AD238" s="9" t="n">
        <v>69904</v>
      </c>
      <c r="AE238" s="10" t="n">
        <f aca="false">(AD238/Q238)*100</f>
        <v>31.4303827632875</v>
      </c>
      <c r="AF238" s="9" t="s">
        <v>1427</v>
      </c>
      <c r="AG238" s="9" t="s">
        <v>56</v>
      </c>
      <c r="AH238" s="9" t="s">
        <v>1439</v>
      </c>
      <c r="AI238" s="9" t="n">
        <v>29596</v>
      </c>
      <c r="AJ238" s="10" t="n">
        <f aca="false">(AI238/Q238)*100</f>
        <v>13.3070154535113</v>
      </c>
      <c r="AK238" s="9" t="s">
        <v>1429</v>
      </c>
      <c r="AL238" s="9" t="s">
        <v>61</v>
      </c>
      <c r="AM238" s="9" t="s">
        <v>1440</v>
      </c>
      <c r="AN238" s="9" t="n">
        <v>15648</v>
      </c>
      <c r="AO238" s="10" t="n">
        <f aca="false">(AN238/Q238)*100</f>
        <v>7.03568650549213</v>
      </c>
      <c r="AP238" s="9" t="s">
        <v>1431</v>
      </c>
      <c r="AQ238" s="9" t="s">
        <v>171</v>
      </c>
      <c r="AR238" s="9" t="s">
        <v>1441</v>
      </c>
      <c r="AS238" s="9" t="n">
        <v>5525</v>
      </c>
      <c r="AT238" s="10" t="n">
        <f aca="false">(AS238/Q238)*100</f>
        <v>2.48416206178707</v>
      </c>
    </row>
    <row r="239" customFormat="false" ht="12.8" hidden="false" customHeight="true" outlineLevel="0" collapsed="false">
      <c r="A239" s="33" t="n">
        <v>2016</v>
      </c>
      <c r="B239" s="8" t="n">
        <v>4</v>
      </c>
      <c r="C239" s="9" t="s">
        <v>47</v>
      </c>
      <c r="D239" s="9" t="s">
        <v>47</v>
      </c>
      <c r="E239" s="9" t="s">
        <v>48</v>
      </c>
      <c r="F239" s="9" t="s">
        <v>49</v>
      </c>
      <c r="G239" s="9" t="s">
        <v>77</v>
      </c>
      <c r="H239" s="9" t="s">
        <v>51</v>
      </c>
      <c r="I239" s="9" t="s">
        <v>51</v>
      </c>
      <c r="J239" s="9" t="s">
        <v>51</v>
      </c>
      <c r="K239" s="9" t="s">
        <v>51</v>
      </c>
      <c r="L239" s="9" t="s">
        <v>68</v>
      </c>
      <c r="M239" s="9" t="s">
        <v>51</v>
      </c>
      <c r="N239" s="9" t="s">
        <v>51</v>
      </c>
      <c r="O239" s="9" t="s">
        <v>51</v>
      </c>
      <c r="P239" s="9" t="n">
        <v>257558</v>
      </c>
      <c r="Q239" s="9" t="n">
        <v>206244</v>
      </c>
      <c r="R239" s="10" t="n">
        <f aca="false">(Q239/P239)*100</f>
        <v>80.0767205833249</v>
      </c>
      <c r="S239" s="9" t="n">
        <f aca="false">Y239-AD239</f>
        <v>5138</v>
      </c>
      <c r="T239" s="10" t="n">
        <f aca="false">(S239/Q239)*100</f>
        <v>2.49122398712205</v>
      </c>
      <c r="U239" s="10" t="n">
        <f aca="false">Z239+AE239</f>
        <v>75.5454704136848</v>
      </c>
      <c r="V239" s="9" t="s">
        <v>52</v>
      </c>
      <c r="W239" s="9" t="s">
        <v>53</v>
      </c>
      <c r="X239" s="9" t="s">
        <v>1442</v>
      </c>
      <c r="Y239" s="9" t="n">
        <v>80473</v>
      </c>
      <c r="Z239" s="10" t="n">
        <f aca="false">(Y239/Q239)*100</f>
        <v>39.0183472004034</v>
      </c>
      <c r="AA239" s="9" t="s">
        <v>55</v>
      </c>
      <c r="AB239" s="9" t="s">
        <v>68</v>
      </c>
      <c r="AC239" s="9" t="s">
        <v>1443</v>
      </c>
      <c r="AD239" s="9" t="n">
        <v>75335</v>
      </c>
      <c r="AE239" s="10" t="n">
        <f aca="false">(AD239/Q239)*100</f>
        <v>36.5271232132814</v>
      </c>
      <c r="AF239" s="9" t="s">
        <v>1427</v>
      </c>
      <c r="AG239" s="9" t="s">
        <v>56</v>
      </c>
      <c r="AH239" s="9" t="s">
        <v>1444</v>
      </c>
      <c r="AI239" s="9" t="n">
        <v>31935</v>
      </c>
      <c r="AJ239" s="10" t="n">
        <f aca="false">(AI239/Q239)*100</f>
        <v>15.4840868097981</v>
      </c>
      <c r="AK239" s="9" t="s">
        <v>1429</v>
      </c>
      <c r="AL239" s="13" t="s">
        <v>257</v>
      </c>
      <c r="AM239" s="9" t="s">
        <v>1445</v>
      </c>
      <c r="AN239" s="9" t="n">
        <v>7006</v>
      </c>
      <c r="AO239" s="10" t="n">
        <f aca="false">(AN239/Q239)*100</f>
        <v>3.39694730513373</v>
      </c>
      <c r="AP239" s="9" t="s">
        <v>85</v>
      </c>
      <c r="AQ239" s="9" t="s">
        <v>85</v>
      </c>
      <c r="AR239" s="9" t="s">
        <v>1446</v>
      </c>
      <c r="AS239" s="9" t="n">
        <v>2171</v>
      </c>
      <c r="AT239" s="10" t="n">
        <f aca="false">(AS239/Q239)*100</f>
        <v>1.0526366827641</v>
      </c>
    </row>
    <row r="240" customFormat="false" ht="12.8" hidden="false" customHeight="true" outlineLevel="0" collapsed="false">
      <c r="A240" s="33" t="n">
        <v>2016</v>
      </c>
      <c r="B240" s="8" t="n">
        <v>5</v>
      </c>
      <c r="C240" s="9" t="s">
        <v>87</v>
      </c>
      <c r="D240" s="9" t="s">
        <v>47</v>
      </c>
      <c r="E240" s="9" t="s">
        <v>48</v>
      </c>
      <c r="F240" s="9" t="s">
        <v>49</v>
      </c>
      <c r="G240" s="9" t="s">
        <v>88</v>
      </c>
      <c r="H240" s="9" t="s">
        <v>65</v>
      </c>
      <c r="I240" s="9" t="s">
        <v>51</v>
      </c>
      <c r="J240" s="9" t="s">
        <v>51</v>
      </c>
      <c r="K240" s="9" t="s">
        <v>51</v>
      </c>
      <c r="L240" s="9" t="s">
        <v>51</v>
      </c>
      <c r="M240" s="9" t="s">
        <v>51</v>
      </c>
      <c r="N240" s="9" t="s">
        <v>51</v>
      </c>
      <c r="O240" s="9" t="s">
        <v>51</v>
      </c>
      <c r="P240" s="9" t="n">
        <v>315718</v>
      </c>
      <c r="Q240" s="9" t="n">
        <v>239987</v>
      </c>
      <c r="R240" s="10" t="n">
        <f aca="false">(Q240/P240)*100</f>
        <v>76.0130876288333</v>
      </c>
      <c r="S240" s="9" t="n">
        <f aca="false">Y240-AD240</f>
        <v>11763</v>
      </c>
      <c r="T240" s="10" t="n">
        <f aca="false">(S240/Q240)*100</f>
        <v>4.90151549875618</v>
      </c>
      <c r="U240" s="10" t="n">
        <f aca="false">Z240+AE240</f>
        <v>81.7298436998671</v>
      </c>
      <c r="V240" s="9" t="s">
        <v>55</v>
      </c>
      <c r="W240" s="9" t="s">
        <v>68</v>
      </c>
      <c r="X240" s="9" t="s">
        <v>1447</v>
      </c>
      <c r="Y240" s="9" t="n">
        <v>103952</v>
      </c>
      <c r="Z240" s="10" t="n">
        <f aca="false">(Y240/Q240)*100</f>
        <v>43.3156795993116</v>
      </c>
      <c r="AA240" s="9" t="s">
        <v>52</v>
      </c>
      <c r="AB240" s="9" t="s">
        <v>53</v>
      </c>
      <c r="AC240" s="9" t="s">
        <v>1448</v>
      </c>
      <c r="AD240" s="9" t="n">
        <v>92189</v>
      </c>
      <c r="AE240" s="10" t="n">
        <f aca="false">(AD240/Q240)*100</f>
        <v>38.4141641005554</v>
      </c>
      <c r="AF240" s="9" t="s">
        <v>1427</v>
      </c>
      <c r="AG240" s="9" t="s">
        <v>56</v>
      </c>
      <c r="AH240" s="9" t="s">
        <v>1449</v>
      </c>
      <c r="AI240" s="9" t="n">
        <v>15827</v>
      </c>
      <c r="AJ240" s="10" t="n">
        <f aca="false">(AI240/Q240)*100</f>
        <v>6.5949405592803</v>
      </c>
      <c r="AK240" s="9" t="s">
        <v>1429</v>
      </c>
      <c r="AL240" s="9" t="s">
        <v>271</v>
      </c>
      <c r="AM240" s="9" t="s">
        <v>1450</v>
      </c>
      <c r="AN240" s="9" t="n">
        <v>15051</v>
      </c>
      <c r="AO240" s="10" t="n">
        <f aca="false">(AN240/Q240)*100</f>
        <v>6.27158971110935</v>
      </c>
      <c r="AP240" s="11" t="s">
        <v>1431</v>
      </c>
      <c r="AQ240" s="9" t="s">
        <v>171</v>
      </c>
      <c r="AR240" s="9" t="s">
        <v>1451</v>
      </c>
      <c r="AS240" s="9" t="n">
        <v>3456</v>
      </c>
      <c r="AT240" s="10" t="n">
        <f aca="false">(AS240/Q240)*100</f>
        <v>1.44007800422523</v>
      </c>
    </row>
    <row r="241" customFormat="false" ht="12.8" hidden="false" customHeight="true" outlineLevel="0" collapsed="false">
      <c r="A241" s="33" t="n">
        <v>2016</v>
      </c>
      <c r="B241" s="8" t="n">
        <v>6</v>
      </c>
      <c r="C241" s="9" t="s">
        <v>94</v>
      </c>
      <c r="D241" s="9" t="s">
        <v>47</v>
      </c>
      <c r="E241" s="9" t="s">
        <v>48</v>
      </c>
      <c r="F241" s="9" t="s">
        <v>49</v>
      </c>
      <c r="G241" s="9" t="s">
        <v>88</v>
      </c>
      <c r="H241" s="9" t="s">
        <v>51</v>
      </c>
      <c r="I241" s="9" t="s">
        <v>51</v>
      </c>
      <c r="J241" s="9" t="s">
        <v>51</v>
      </c>
      <c r="K241" s="9" t="s">
        <v>51</v>
      </c>
      <c r="L241" s="9" t="s">
        <v>51</v>
      </c>
      <c r="M241" s="9" t="s">
        <v>51</v>
      </c>
      <c r="N241" s="9" t="s">
        <v>51</v>
      </c>
      <c r="O241" s="9" t="s">
        <v>51</v>
      </c>
      <c r="P241" s="9" t="n">
        <v>398613</v>
      </c>
      <c r="Q241" s="9" t="n">
        <v>270732</v>
      </c>
      <c r="R241" s="10" t="n">
        <f aca="false">(Q241/P241)*100</f>
        <v>67.9185074244944</v>
      </c>
      <c r="S241" s="9" t="n">
        <f aca="false">Y241-AD241</f>
        <v>1395</v>
      </c>
      <c r="T241" s="10" t="n">
        <f aca="false">(S241/Q241)*100</f>
        <v>0.515269713221932</v>
      </c>
      <c r="U241" s="10" t="n">
        <f aca="false">Z241+AE241</f>
        <v>79.3157070460825</v>
      </c>
      <c r="V241" s="9" t="s">
        <v>55</v>
      </c>
      <c r="W241" s="9" t="s">
        <v>68</v>
      </c>
      <c r="X241" s="9" t="s">
        <v>1452</v>
      </c>
      <c r="Y241" s="9" t="n">
        <v>108064</v>
      </c>
      <c r="Z241" s="10" t="n">
        <f aca="false">(Y241/Q241)*100</f>
        <v>39.9154883796522</v>
      </c>
      <c r="AA241" s="9" t="s">
        <v>52</v>
      </c>
      <c r="AB241" s="9" t="s">
        <v>53</v>
      </c>
      <c r="AC241" s="9" t="s">
        <v>1453</v>
      </c>
      <c r="AD241" s="9" t="n">
        <v>106669</v>
      </c>
      <c r="AE241" s="10" t="n">
        <f aca="false">(AD241/Q241)*100</f>
        <v>39.4002186664303</v>
      </c>
      <c r="AF241" s="9" t="s">
        <v>1429</v>
      </c>
      <c r="AG241" s="9" t="s">
        <v>271</v>
      </c>
      <c r="AH241" s="9" t="s">
        <v>1454</v>
      </c>
      <c r="AI241" s="9" t="n">
        <v>22848</v>
      </c>
      <c r="AJ241" s="10" t="n">
        <f aca="false">(AI241/Q241)*100</f>
        <v>8.43934222773813</v>
      </c>
      <c r="AK241" s="9" t="s">
        <v>1427</v>
      </c>
      <c r="AL241" s="9" t="s">
        <v>56</v>
      </c>
      <c r="AM241" s="9" t="s">
        <v>1455</v>
      </c>
      <c r="AN241" s="9" t="n">
        <v>12428</v>
      </c>
      <c r="AO241" s="10" t="n">
        <f aca="false">(AN241/Q241)*100</f>
        <v>4.59051755980084</v>
      </c>
      <c r="AP241" s="9" t="s">
        <v>1431</v>
      </c>
      <c r="AQ241" s="9" t="s">
        <v>171</v>
      </c>
      <c r="AR241" s="9" t="s">
        <v>1456</v>
      </c>
      <c r="AS241" s="9" t="n">
        <v>7232</v>
      </c>
      <c r="AT241" s="10" t="n">
        <f aca="false">(AS241/Q241)*100</f>
        <v>2.67127639141291</v>
      </c>
    </row>
    <row r="242" customFormat="false" ht="12.8" hidden="false" customHeight="true" outlineLevel="0" collapsed="false">
      <c r="A242" s="33" t="n">
        <v>2016</v>
      </c>
      <c r="B242" s="8" t="n">
        <v>7</v>
      </c>
      <c r="C242" s="9" t="s">
        <v>99</v>
      </c>
      <c r="D242" s="9" t="s">
        <v>100</v>
      </c>
      <c r="E242" s="9" t="s">
        <v>100</v>
      </c>
      <c r="F242" s="9" t="s">
        <v>48</v>
      </c>
      <c r="G242" s="9" t="s">
        <v>88</v>
      </c>
      <c r="H242" s="9" t="s">
        <v>51</v>
      </c>
      <c r="I242" s="9" t="s">
        <v>51</v>
      </c>
      <c r="J242" s="9" t="s">
        <v>51</v>
      </c>
      <c r="K242" s="9" t="s">
        <v>51</v>
      </c>
      <c r="L242" s="9" t="s">
        <v>51</v>
      </c>
      <c r="M242" s="9" t="s">
        <v>51</v>
      </c>
      <c r="N242" s="9" t="s">
        <v>51</v>
      </c>
      <c r="O242" s="9" t="s">
        <v>51</v>
      </c>
      <c r="P242" s="9" t="n">
        <v>402205</v>
      </c>
      <c r="Q242" s="9" t="n">
        <v>248597</v>
      </c>
      <c r="R242" s="10" t="n">
        <f aca="false">(Q242/P242)*100</f>
        <v>61.8085304757524</v>
      </c>
      <c r="S242" s="9" t="n">
        <f aca="false">Y242-AD242</f>
        <v>8402</v>
      </c>
      <c r="T242" s="10" t="n">
        <f aca="false">(S242/Q242)*100</f>
        <v>3.37976725382849</v>
      </c>
      <c r="U242" s="10" t="n">
        <f aca="false">Z242+AE242</f>
        <v>76.8617481305084</v>
      </c>
      <c r="V242" s="9" t="s">
        <v>55</v>
      </c>
      <c r="W242" s="9" t="s">
        <v>68</v>
      </c>
      <c r="X242" s="9" t="s">
        <v>1457</v>
      </c>
      <c r="Y242" s="9" t="n">
        <v>99739</v>
      </c>
      <c r="Z242" s="10" t="n">
        <f aca="false">(Y242/Q242)*100</f>
        <v>40.1207576921685</v>
      </c>
      <c r="AA242" s="9" t="s">
        <v>52</v>
      </c>
      <c r="AB242" s="9" t="s">
        <v>66</v>
      </c>
      <c r="AC242" s="9" t="s">
        <v>1458</v>
      </c>
      <c r="AD242" s="9" t="n">
        <v>91337</v>
      </c>
      <c r="AE242" s="10" t="n">
        <f aca="false">(AD242/Q242)*100</f>
        <v>36.74099043834</v>
      </c>
      <c r="AF242" s="9" t="s">
        <v>1429</v>
      </c>
      <c r="AG242" s="9" t="s">
        <v>422</v>
      </c>
      <c r="AH242" s="9" t="s">
        <v>1459</v>
      </c>
      <c r="AI242" s="9" t="n">
        <v>19612</v>
      </c>
      <c r="AJ242" s="10" t="n">
        <f aca="false">(AI242/Q242)*100</f>
        <v>7.88907348037185</v>
      </c>
      <c r="AK242" s="9" t="s">
        <v>1427</v>
      </c>
      <c r="AL242" s="9" t="s">
        <v>56</v>
      </c>
      <c r="AM242" s="9" t="s">
        <v>1460</v>
      </c>
      <c r="AN242" s="9" t="n">
        <v>17328</v>
      </c>
      <c r="AO242" s="10" t="n">
        <f aca="false">(AN242/Q242)*100</f>
        <v>6.97031742136872</v>
      </c>
      <c r="AP242" s="12" t="s">
        <v>63</v>
      </c>
      <c r="AQ242" s="9" t="s">
        <v>63</v>
      </c>
      <c r="AR242" s="9" t="s">
        <v>63</v>
      </c>
      <c r="AS242" s="9" t="n">
        <v>6655</v>
      </c>
      <c r="AT242" s="10" t="n">
        <f aca="false">(AS242/Q242)*100</f>
        <v>2.67702345563301</v>
      </c>
    </row>
    <row r="243" customFormat="false" ht="12.8" hidden="false" customHeight="true" outlineLevel="0" collapsed="false">
      <c r="A243" s="33" t="n">
        <v>2016</v>
      </c>
      <c r="B243" s="8" t="n">
        <v>8</v>
      </c>
      <c r="C243" s="9" t="s">
        <v>106</v>
      </c>
      <c r="D243" s="9" t="s">
        <v>100</v>
      </c>
      <c r="E243" s="9" t="s">
        <v>100</v>
      </c>
      <c r="F243" s="9" t="s">
        <v>48</v>
      </c>
      <c r="G243" s="9" t="s">
        <v>88</v>
      </c>
      <c r="H243" s="9" t="s">
        <v>51</v>
      </c>
      <c r="I243" s="9" t="s">
        <v>51</v>
      </c>
      <c r="J243" s="9" t="s">
        <v>51</v>
      </c>
      <c r="K243" s="9" t="s">
        <v>51</v>
      </c>
      <c r="L243" s="9" t="s">
        <v>51</v>
      </c>
      <c r="M243" s="9" t="s">
        <v>51</v>
      </c>
      <c r="N243" s="9" t="s">
        <v>51</v>
      </c>
      <c r="O243" s="9" t="s">
        <v>51</v>
      </c>
      <c r="P243" s="9" t="n">
        <v>359345</v>
      </c>
      <c r="Q243" s="9" t="n">
        <v>229632</v>
      </c>
      <c r="R243" s="10" t="n">
        <f aca="false">(Q243/P243)*100</f>
        <v>63.902934505837</v>
      </c>
      <c r="S243" s="9" t="n">
        <f aca="false">Y243-AD243</f>
        <v>17498</v>
      </c>
      <c r="T243" s="10" t="n">
        <f aca="false">(S243/Q243)*100</f>
        <v>7.62001811594203</v>
      </c>
      <c r="U243" s="10" t="n">
        <f aca="false">Z243+AE243</f>
        <v>74.5767140468227</v>
      </c>
      <c r="V243" s="9" t="s">
        <v>55</v>
      </c>
      <c r="W243" s="9" t="s">
        <v>68</v>
      </c>
      <c r="X243" s="9" t="s">
        <v>1461</v>
      </c>
      <c r="Y243" s="9" t="n">
        <v>94375</v>
      </c>
      <c r="Z243" s="10" t="n">
        <f aca="false">(Y243/Q243)*100</f>
        <v>41.0983660813824</v>
      </c>
      <c r="AA243" s="9" t="s">
        <v>52</v>
      </c>
      <c r="AB243" s="9" t="s">
        <v>66</v>
      </c>
      <c r="AC243" s="9" t="s">
        <v>1462</v>
      </c>
      <c r="AD243" s="9" t="n">
        <v>76877</v>
      </c>
      <c r="AE243" s="10" t="n">
        <f aca="false">(AD243/Q243)*100</f>
        <v>33.4783479654404</v>
      </c>
      <c r="AF243" s="9" t="s">
        <v>1427</v>
      </c>
      <c r="AG243" s="9" t="s">
        <v>56</v>
      </c>
      <c r="AH243" s="9" t="s">
        <v>1463</v>
      </c>
      <c r="AI243" s="9" t="n">
        <v>16635</v>
      </c>
      <c r="AJ243" s="10" t="n">
        <f aca="false">(AI243/Q243)*100</f>
        <v>7.24419941471572</v>
      </c>
      <c r="AK243" s="9" t="s">
        <v>1429</v>
      </c>
      <c r="AL243" s="9" t="s">
        <v>61</v>
      </c>
      <c r="AM243" s="9" t="s">
        <v>1464</v>
      </c>
      <c r="AN243" s="9" t="n">
        <v>16631</v>
      </c>
      <c r="AO243" s="10" t="n">
        <f aca="false">(AN243/Q243)*100</f>
        <v>7.24245749721293</v>
      </c>
      <c r="AP243" s="12" t="s">
        <v>1431</v>
      </c>
      <c r="AQ243" s="9" t="s">
        <v>171</v>
      </c>
      <c r="AR243" s="9" t="s">
        <v>1465</v>
      </c>
      <c r="AS243" s="9" t="n">
        <v>9563</v>
      </c>
      <c r="AT243" s="10" t="n">
        <f aca="false">(AS243/Q243)*100</f>
        <v>4.16448926978818</v>
      </c>
    </row>
    <row r="244" customFormat="false" ht="12.8" hidden="false" customHeight="true" outlineLevel="0" collapsed="false">
      <c r="A244" s="33" t="n">
        <v>2016</v>
      </c>
      <c r="B244" s="8" t="n">
        <v>9</v>
      </c>
      <c r="C244" s="9" t="s">
        <v>112</v>
      </c>
      <c r="D244" s="9" t="s">
        <v>100</v>
      </c>
      <c r="E244" s="9" t="s">
        <v>100</v>
      </c>
      <c r="F244" s="9" t="s">
        <v>48</v>
      </c>
      <c r="G244" s="9" t="s">
        <v>88</v>
      </c>
      <c r="H244" s="9" t="s">
        <v>51</v>
      </c>
      <c r="I244" s="9" t="s">
        <v>51</v>
      </c>
      <c r="J244" s="9" t="s">
        <v>51</v>
      </c>
      <c r="K244" s="9" t="s">
        <v>51</v>
      </c>
      <c r="L244" s="9" t="s">
        <v>51</v>
      </c>
      <c r="M244" s="9" t="s">
        <v>51</v>
      </c>
      <c r="N244" s="9" t="s">
        <v>51</v>
      </c>
      <c r="O244" s="9" t="s">
        <v>51</v>
      </c>
      <c r="P244" s="9" t="n">
        <v>392299</v>
      </c>
      <c r="Q244" s="9" t="n">
        <v>268718</v>
      </c>
      <c r="R244" s="10" t="n">
        <f aca="false">(Q244/P244)*100</f>
        <v>68.4982628046465</v>
      </c>
      <c r="S244" s="9" t="n">
        <f aca="false">Y244-AD244</f>
        <v>15253</v>
      </c>
      <c r="T244" s="10" t="n">
        <f aca="false">(S244/Q244)*100</f>
        <v>5.67621074881474</v>
      </c>
      <c r="U244" s="10" t="n">
        <f aca="false">Z244+AE244</f>
        <v>85.1863291629143</v>
      </c>
      <c r="V244" s="9" t="s">
        <v>52</v>
      </c>
      <c r="W244" s="9" t="s">
        <v>53</v>
      </c>
      <c r="X244" s="9" t="s">
        <v>1466</v>
      </c>
      <c r="Y244" s="9" t="n">
        <v>122082</v>
      </c>
      <c r="Z244" s="10" t="n">
        <f aca="false">(Y244/Q244)*100</f>
        <v>45.4312699558645</v>
      </c>
      <c r="AA244" s="9" t="s">
        <v>55</v>
      </c>
      <c r="AB244" s="9" t="s">
        <v>68</v>
      </c>
      <c r="AC244" s="9" t="s">
        <v>1467</v>
      </c>
      <c r="AD244" s="9" t="n">
        <v>106829</v>
      </c>
      <c r="AE244" s="10" t="n">
        <f aca="false">(AD244/Q244)*100</f>
        <v>39.7550592070498</v>
      </c>
      <c r="AF244" s="9" t="s">
        <v>1427</v>
      </c>
      <c r="AG244" s="9" t="s">
        <v>56</v>
      </c>
      <c r="AH244" s="9" t="s">
        <v>1468</v>
      </c>
      <c r="AI244" s="9" t="n">
        <v>14245</v>
      </c>
      <c r="AJ244" s="10" t="n">
        <f aca="false">(AI244/Q244)*100</f>
        <v>5.30109631658467</v>
      </c>
      <c r="AK244" s="9" t="s">
        <v>1429</v>
      </c>
      <c r="AL244" s="9" t="s">
        <v>392</v>
      </c>
      <c r="AM244" s="9" t="s">
        <v>1469</v>
      </c>
      <c r="AN244" s="9" t="n">
        <v>9383</v>
      </c>
      <c r="AO244" s="10" t="n">
        <f aca="false">(AN244/Q244)*100</f>
        <v>3.49176460080828</v>
      </c>
      <c r="AP244" s="12" t="s">
        <v>1431</v>
      </c>
      <c r="AQ244" s="9" t="s">
        <v>171</v>
      </c>
      <c r="AR244" s="9" t="s">
        <v>1470</v>
      </c>
      <c r="AS244" s="9" t="n">
        <v>5161</v>
      </c>
      <c r="AT244" s="10" t="n">
        <f aca="false">(AS244/Q244)*100</f>
        <v>1.9206007785113</v>
      </c>
    </row>
    <row r="245" customFormat="false" ht="12.8" hidden="false" customHeight="true" outlineLevel="0" collapsed="false">
      <c r="A245" s="33" t="n">
        <v>2016</v>
      </c>
      <c r="B245" s="8" t="n">
        <v>10</v>
      </c>
      <c r="C245" s="9" t="s">
        <v>118</v>
      </c>
      <c r="D245" s="9" t="s">
        <v>100</v>
      </c>
      <c r="E245" s="9" t="s">
        <v>100</v>
      </c>
      <c r="F245" s="9" t="s">
        <v>48</v>
      </c>
      <c r="G245" s="9" t="s">
        <v>88</v>
      </c>
      <c r="H245" s="9" t="s">
        <v>51</v>
      </c>
      <c r="I245" s="9" t="s">
        <v>51</v>
      </c>
      <c r="J245" s="9" t="s">
        <v>51</v>
      </c>
      <c r="K245" s="9" t="s">
        <v>51</v>
      </c>
      <c r="L245" s="9" t="s">
        <v>51</v>
      </c>
      <c r="M245" s="9" t="s">
        <v>51</v>
      </c>
      <c r="N245" s="9" t="s">
        <v>51</v>
      </c>
      <c r="O245" s="9" t="s">
        <v>51</v>
      </c>
      <c r="P245" s="9" t="n">
        <v>284010</v>
      </c>
      <c r="Q245" s="9" t="n">
        <v>190061</v>
      </c>
      <c r="R245" s="10" t="n">
        <f aca="false">(Q245/P245)*100</f>
        <v>66.9205309672195</v>
      </c>
      <c r="S245" s="9" t="n">
        <f aca="false">Y245-AD245</f>
        <v>4863</v>
      </c>
      <c r="T245" s="10" t="n">
        <f aca="false">(S245/Q245)*100</f>
        <v>2.5586522221813</v>
      </c>
      <c r="U245" s="10" t="n">
        <f aca="false">Z245+AE245</f>
        <v>83.9451544504133</v>
      </c>
      <c r="V245" s="9" t="s">
        <v>52</v>
      </c>
      <c r="W245" s="9" t="s">
        <v>53</v>
      </c>
      <c r="X245" s="9" t="s">
        <v>1471</v>
      </c>
      <c r="Y245" s="9" t="n">
        <v>82205</v>
      </c>
      <c r="Z245" s="10" t="n">
        <f aca="false">(Y245/Q245)*100</f>
        <v>43.2519033362973</v>
      </c>
      <c r="AA245" s="9" t="s">
        <v>55</v>
      </c>
      <c r="AB245" s="9" t="s">
        <v>68</v>
      </c>
      <c r="AC245" s="9" t="s">
        <v>1472</v>
      </c>
      <c r="AD245" s="9" t="n">
        <v>77342</v>
      </c>
      <c r="AE245" s="10" t="n">
        <f aca="false">(AD245/Q245)*100</f>
        <v>40.693251114116</v>
      </c>
      <c r="AF245" s="9" t="s">
        <v>1429</v>
      </c>
      <c r="AG245" s="9" t="s">
        <v>61</v>
      </c>
      <c r="AH245" s="9" t="s">
        <v>1473</v>
      </c>
      <c r="AI245" s="9" t="n">
        <v>13463</v>
      </c>
      <c r="AJ245" s="10" t="n">
        <f aca="false">(AI245/Q245)*100</f>
        <v>7.08351529245874</v>
      </c>
      <c r="AK245" s="9" t="s">
        <v>1427</v>
      </c>
      <c r="AL245" s="9" t="s">
        <v>56</v>
      </c>
      <c r="AM245" s="9" t="s">
        <v>1474</v>
      </c>
      <c r="AN245" s="9" t="n">
        <v>4025</v>
      </c>
      <c r="AO245" s="10" t="n">
        <f aca="false">(AN245/Q245)*100</f>
        <v>2.11774114626357</v>
      </c>
      <c r="AP245" s="12" t="s">
        <v>58</v>
      </c>
      <c r="AQ245" s="9" t="s">
        <v>58</v>
      </c>
      <c r="AR245" s="9" t="s">
        <v>1475</v>
      </c>
      <c r="AS245" s="9" t="n">
        <v>3961</v>
      </c>
      <c r="AT245" s="10" t="n">
        <f aca="false">(AS245/Q245)*100</f>
        <v>2.08406774667081</v>
      </c>
    </row>
    <row r="246" customFormat="false" ht="12.8" hidden="false" customHeight="true" outlineLevel="0" collapsed="false">
      <c r="A246" s="33" t="n">
        <v>2016</v>
      </c>
      <c r="B246" s="8" t="n">
        <v>11</v>
      </c>
      <c r="C246" s="9" t="s">
        <v>124</v>
      </c>
      <c r="D246" s="9" t="s">
        <v>100</v>
      </c>
      <c r="E246" s="9" t="s">
        <v>100</v>
      </c>
      <c r="F246" s="9" t="s">
        <v>48</v>
      </c>
      <c r="G246" s="9" t="s">
        <v>125</v>
      </c>
      <c r="H246" s="9" t="s">
        <v>51</v>
      </c>
      <c r="I246" s="9" t="s">
        <v>51</v>
      </c>
      <c r="J246" s="9" t="s">
        <v>68</v>
      </c>
      <c r="K246" s="9" t="s">
        <v>51</v>
      </c>
      <c r="L246" s="9" t="s">
        <v>51</v>
      </c>
      <c r="M246" s="9" t="s">
        <v>51</v>
      </c>
      <c r="N246" s="9" t="s">
        <v>68</v>
      </c>
      <c r="O246" s="9" t="s">
        <v>126</v>
      </c>
      <c r="P246" s="9" t="n">
        <v>254558</v>
      </c>
      <c r="Q246" s="9" t="n">
        <v>174015</v>
      </c>
      <c r="R246" s="10" t="n">
        <f aca="false">(Q246/P246)*100</f>
        <v>68.359666559291</v>
      </c>
      <c r="S246" s="9" t="n">
        <f aca="false">Y246-AD246</f>
        <v>39545</v>
      </c>
      <c r="T246" s="10" t="n">
        <f aca="false">(S246/Q246)*100</f>
        <v>22.7250524380082</v>
      </c>
      <c r="U246" s="10" t="n">
        <f aca="false">Z246+AE246</f>
        <v>89.0101428037813</v>
      </c>
      <c r="V246" s="9" t="s">
        <v>55</v>
      </c>
      <c r="W246" s="9" t="s">
        <v>68</v>
      </c>
      <c r="X246" s="9" t="s">
        <v>1476</v>
      </c>
      <c r="Y246" s="9" t="n">
        <v>97218</v>
      </c>
      <c r="Z246" s="10" t="n">
        <f aca="false">(Y246/Q246)*100</f>
        <v>55.8675976208948</v>
      </c>
      <c r="AA246" s="9" t="s">
        <v>52</v>
      </c>
      <c r="AB246" s="9" t="s">
        <v>53</v>
      </c>
      <c r="AC246" s="9" t="s">
        <v>1477</v>
      </c>
      <c r="AD246" s="9" t="n">
        <v>57673</v>
      </c>
      <c r="AE246" s="10" t="n">
        <f aca="false">(AD246/Q246)*100</f>
        <v>33.1425451828865</v>
      </c>
      <c r="AF246" s="9" t="s">
        <v>1429</v>
      </c>
      <c r="AG246" s="9" t="s">
        <v>257</v>
      </c>
      <c r="AH246" s="9" t="s">
        <v>1478</v>
      </c>
      <c r="AI246" s="9" t="n">
        <v>4195</v>
      </c>
      <c r="AJ246" s="10" t="n">
        <f aca="false">(AI246/Q246)*100</f>
        <v>2.410711720254</v>
      </c>
      <c r="AK246" s="9" t="s">
        <v>1427</v>
      </c>
      <c r="AL246" s="9" t="s">
        <v>56</v>
      </c>
      <c r="AM246" s="9" t="s">
        <v>1479</v>
      </c>
      <c r="AN246" s="9" t="n">
        <v>3011</v>
      </c>
      <c r="AO246" s="10" t="n">
        <f aca="false">(AN246/Q246)*100</f>
        <v>1.73031060540758</v>
      </c>
      <c r="AP246" s="12" t="s">
        <v>1431</v>
      </c>
      <c r="AQ246" s="9" t="s">
        <v>171</v>
      </c>
      <c r="AR246" s="9" t="s">
        <v>1480</v>
      </c>
      <c r="AS246" s="9" t="n">
        <v>2928</v>
      </c>
      <c r="AT246" s="10" t="n">
        <f aca="false">(AS246/Q246)*100</f>
        <v>1.68261356779588</v>
      </c>
    </row>
    <row r="247" customFormat="false" ht="12.8" hidden="false" customHeight="true" outlineLevel="0" collapsed="false">
      <c r="A247" s="33" t="n">
        <v>2016</v>
      </c>
      <c r="B247" s="8" t="n">
        <v>12</v>
      </c>
      <c r="C247" s="9" t="s">
        <v>132</v>
      </c>
      <c r="D247" s="9" t="s">
        <v>100</v>
      </c>
      <c r="E247" s="9" t="s">
        <v>100</v>
      </c>
      <c r="F247" s="9" t="s">
        <v>48</v>
      </c>
      <c r="G247" s="9" t="s">
        <v>125</v>
      </c>
      <c r="H247" s="9" t="s">
        <v>51</v>
      </c>
      <c r="I247" s="9" t="s">
        <v>51</v>
      </c>
      <c r="J247" s="9" t="s">
        <v>51</v>
      </c>
      <c r="K247" s="9" t="s">
        <v>51</v>
      </c>
      <c r="L247" s="9" t="s">
        <v>51</v>
      </c>
      <c r="M247" s="9" t="s">
        <v>51</v>
      </c>
      <c r="N247" s="9" t="s">
        <v>53</v>
      </c>
      <c r="O247" s="9" t="s">
        <v>51</v>
      </c>
      <c r="P247" s="9" t="n">
        <v>290522</v>
      </c>
      <c r="Q247" s="9" t="n">
        <v>188681</v>
      </c>
      <c r="R247" s="10" t="n">
        <f aca="false">(Q247/P247)*100</f>
        <v>64.9455118717343</v>
      </c>
      <c r="S247" s="9" t="n">
        <f aca="false">Y247-AD247</f>
        <v>519</v>
      </c>
      <c r="T247" s="10" t="n">
        <f aca="false">(S247/Q247)*100</f>
        <v>0.275067441872791</v>
      </c>
      <c r="U247" s="10" t="n">
        <f aca="false">Z247+AE247</f>
        <v>84.4965841817671</v>
      </c>
      <c r="V247" s="9" t="s">
        <v>55</v>
      </c>
      <c r="W247" s="9" t="s">
        <v>68</v>
      </c>
      <c r="X247" s="9" t="s">
        <v>1481</v>
      </c>
      <c r="Y247" s="9" t="n">
        <v>79974</v>
      </c>
      <c r="Z247" s="10" t="n">
        <f aca="false">(Y247/Q247)*100</f>
        <v>42.38582581182</v>
      </c>
      <c r="AA247" s="9" t="s">
        <v>52</v>
      </c>
      <c r="AB247" s="9" t="s">
        <v>53</v>
      </c>
      <c r="AC247" s="9" t="s">
        <v>1482</v>
      </c>
      <c r="AD247" s="9" t="n">
        <v>79455</v>
      </c>
      <c r="AE247" s="10" t="n">
        <f aca="false">(AD247/Q247)*100</f>
        <v>42.1107583699472</v>
      </c>
      <c r="AF247" s="9" t="s">
        <v>1429</v>
      </c>
      <c r="AG247" s="9" t="s">
        <v>422</v>
      </c>
      <c r="AH247" s="9" t="s">
        <v>1483</v>
      </c>
      <c r="AI247" s="9" t="n">
        <v>10281</v>
      </c>
      <c r="AJ247" s="10" t="n">
        <f aca="false">(AI247/Q247)*100</f>
        <v>5.44887932542227</v>
      </c>
      <c r="AK247" s="9" t="s">
        <v>1431</v>
      </c>
      <c r="AL247" s="9" t="s">
        <v>171</v>
      </c>
      <c r="AM247" s="9" t="s">
        <v>1484</v>
      </c>
      <c r="AN247" s="9" t="n">
        <v>4582</v>
      </c>
      <c r="AO247" s="10" t="n">
        <f aca="false">(AN247/Q247)*100</f>
        <v>2.42843741553204</v>
      </c>
      <c r="AP247" s="12" t="s">
        <v>1427</v>
      </c>
      <c r="AQ247" s="9" t="s">
        <v>56</v>
      </c>
      <c r="AR247" s="9" t="s">
        <v>1485</v>
      </c>
      <c r="AS247" s="9" t="n">
        <v>3685</v>
      </c>
      <c r="AT247" s="10" t="n">
        <f aca="false">(AS247/Q247)*100</f>
        <v>1.95303183680392</v>
      </c>
    </row>
    <row r="248" customFormat="false" ht="12.8" hidden="false" customHeight="true" outlineLevel="0" collapsed="false">
      <c r="A248" s="33" t="n">
        <v>2016</v>
      </c>
      <c r="B248" s="8" t="n">
        <v>13</v>
      </c>
      <c r="C248" s="9" t="s">
        <v>138</v>
      </c>
      <c r="D248" s="9" t="s">
        <v>100</v>
      </c>
      <c r="E248" s="9" t="s">
        <v>100</v>
      </c>
      <c r="F248" s="9" t="s">
        <v>48</v>
      </c>
      <c r="G248" s="9" t="s">
        <v>125</v>
      </c>
      <c r="H248" s="9" t="s">
        <v>51</v>
      </c>
      <c r="I248" s="9" t="s">
        <v>51</v>
      </c>
      <c r="J248" s="9" t="s">
        <v>51</v>
      </c>
      <c r="K248" s="9" t="s">
        <v>53</v>
      </c>
      <c r="L248" s="9" t="s">
        <v>51</v>
      </c>
      <c r="M248" s="9" t="s">
        <v>53</v>
      </c>
      <c r="N248" s="9" t="s">
        <v>51</v>
      </c>
      <c r="O248" s="9" t="s">
        <v>51</v>
      </c>
      <c r="P248" s="9" t="n">
        <v>259843</v>
      </c>
      <c r="Q248" s="9" t="n">
        <v>168308</v>
      </c>
      <c r="R248" s="10" t="n">
        <f aca="false">(Q248/P248)*100</f>
        <v>64.7729590560454</v>
      </c>
      <c r="S248" s="9" t="n">
        <f aca="false">Y248-AD248</f>
        <v>37730</v>
      </c>
      <c r="T248" s="10" t="n">
        <f aca="false">(S248/Q248)*100</f>
        <v>22.4172350690401</v>
      </c>
      <c r="U248" s="10" t="n">
        <f aca="false">Z248+AE248</f>
        <v>86.0779047935927</v>
      </c>
      <c r="V248" s="9" t="s">
        <v>52</v>
      </c>
      <c r="W248" s="9" t="s">
        <v>53</v>
      </c>
      <c r="X248" s="9" t="s">
        <v>1486</v>
      </c>
      <c r="Y248" s="9" t="n">
        <v>91303</v>
      </c>
      <c r="Z248" s="10" t="n">
        <f aca="false">(Y248/Q248)*100</f>
        <v>54.2475699313164</v>
      </c>
      <c r="AA248" s="9" t="s">
        <v>55</v>
      </c>
      <c r="AB248" s="9" t="s">
        <v>68</v>
      </c>
      <c r="AC248" s="9" t="s">
        <v>1487</v>
      </c>
      <c r="AD248" s="9" t="n">
        <v>53573</v>
      </c>
      <c r="AE248" s="10" t="n">
        <f aca="false">(AD248/Q248)*100</f>
        <v>31.8303348622763</v>
      </c>
      <c r="AF248" s="9" t="s">
        <v>1429</v>
      </c>
      <c r="AG248" s="9" t="s">
        <v>61</v>
      </c>
      <c r="AH248" s="9" t="s">
        <v>1488</v>
      </c>
      <c r="AI248" s="9" t="n">
        <v>6276</v>
      </c>
      <c r="AJ248" s="10" t="n">
        <f aca="false">(AI248/Q248)*100</f>
        <v>3.72887800936379</v>
      </c>
      <c r="AK248" s="9" t="s">
        <v>1431</v>
      </c>
      <c r="AL248" s="9" t="s">
        <v>171</v>
      </c>
      <c r="AM248" s="9" t="s">
        <v>1489</v>
      </c>
      <c r="AN248" s="9" t="n">
        <v>5289</v>
      </c>
      <c r="AO248" s="10" t="n">
        <f aca="false">(AN248/Q248)*100</f>
        <v>3.14245312165791</v>
      </c>
      <c r="AP248" s="9" t="s">
        <v>63</v>
      </c>
      <c r="AQ248" s="9" t="s">
        <v>63</v>
      </c>
      <c r="AR248" s="9" t="s">
        <v>63</v>
      </c>
      <c r="AS248" s="9" t="n">
        <v>3554</v>
      </c>
      <c r="AT248" s="10" t="n">
        <f aca="false">(AS248/Q248)*100</f>
        <v>2.11160491479906</v>
      </c>
    </row>
    <row r="249" customFormat="false" ht="12.8" hidden="false" customHeight="true" outlineLevel="0" collapsed="false">
      <c r="A249" s="33" t="n">
        <v>2016</v>
      </c>
      <c r="B249" s="8" t="n">
        <v>14</v>
      </c>
      <c r="C249" s="9" t="s">
        <v>143</v>
      </c>
      <c r="D249" s="9" t="s">
        <v>100</v>
      </c>
      <c r="E249" s="9" t="s">
        <v>100</v>
      </c>
      <c r="F249" s="9" t="s">
        <v>144</v>
      </c>
      <c r="G249" s="9" t="s">
        <v>125</v>
      </c>
      <c r="H249" s="9" t="s">
        <v>51</v>
      </c>
      <c r="I249" s="9" t="s">
        <v>51</v>
      </c>
      <c r="J249" s="9" t="s">
        <v>51</v>
      </c>
      <c r="K249" s="9" t="s">
        <v>51</v>
      </c>
      <c r="L249" s="9" t="s">
        <v>51</v>
      </c>
      <c r="M249" s="9" t="s">
        <v>51</v>
      </c>
      <c r="N249" s="9" t="s">
        <v>51</v>
      </c>
      <c r="O249" s="9" t="s">
        <v>51</v>
      </c>
      <c r="P249" s="9" t="n">
        <v>250657</v>
      </c>
      <c r="Q249" s="9" t="n">
        <v>150084</v>
      </c>
      <c r="R249" s="10" t="n">
        <f aca="false">(Q249/P249)*100</f>
        <v>59.876245227542</v>
      </c>
      <c r="S249" s="9" t="n">
        <f aca="false">Y249-AD249</f>
        <v>9321</v>
      </c>
      <c r="T249" s="10" t="n">
        <f aca="false">(S249/Q249)*100</f>
        <v>6.21052210761973</v>
      </c>
      <c r="U249" s="10" t="n">
        <f aca="false">Z249+AE249</f>
        <v>81.7029130353669</v>
      </c>
      <c r="V249" s="9" t="s">
        <v>52</v>
      </c>
      <c r="W249" s="9" t="s">
        <v>53</v>
      </c>
      <c r="X249" s="9" t="s">
        <v>1490</v>
      </c>
      <c r="Y249" s="9" t="n">
        <v>65972</v>
      </c>
      <c r="Z249" s="10" t="n">
        <f aca="false">(Y249/Q249)*100</f>
        <v>43.9567175714933</v>
      </c>
      <c r="AA249" s="9" t="s">
        <v>55</v>
      </c>
      <c r="AB249" s="9" t="s">
        <v>68</v>
      </c>
      <c r="AC249" s="9" t="s">
        <v>1491</v>
      </c>
      <c r="AD249" s="9" t="n">
        <v>56651</v>
      </c>
      <c r="AE249" s="10" t="n">
        <f aca="false">(AD249/Q249)*100</f>
        <v>37.7461954638736</v>
      </c>
      <c r="AF249" s="9" t="s">
        <v>1429</v>
      </c>
      <c r="AG249" s="9" t="s">
        <v>61</v>
      </c>
      <c r="AH249" s="9" t="s">
        <v>1492</v>
      </c>
      <c r="AI249" s="9" t="n">
        <v>8234</v>
      </c>
      <c r="AJ249" s="10" t="n">
        <f aca="false">(AI249/Q249)*100</f>
        <v>5.48626102715813</v>
      </c>
      <c r="AK249" s="9" t="s">
        <v>1431</v>
      </c>
      <c r="AL249" s="9" t="s">
        <v>171</v>
      </c>
      <c r="AM249" s="9" t="s">
        <v>1493</v>
      </c>
      <c r="AN249" s="9" t="n">
        <v>6438</v>
      </c>
      <c r="AO249" s="10" t="n">
        <f aca="false">(AN249/Q249)*100</f>
        <v>4.28959782521788</v>
      </c>
      <c r="AP249" s="9" t="s">
        <v>1427</v>
      </c>
      <c r="AQ249" s="9" t="s">
        <v>56</v>
      </c>
      <c r="AR249" s="9" t="s">
        <v>1494</v>
      </c>
      <c r="AS249" s="9" t="n">
        <v>4193</v>
      </c>
      <c r="AT249" s="10" t="n">
        <f aca="false">(AS249/Q249)*100</f>
        <v>2.79376882279257</v>
      </c>
    </row>
    <row r="250" customFormat="false" ht="12.8" hidden="false" customHeight="true" outlineLevel="0" collapsed="false">
      <c r="A250" s="33" t="n">
        <v>2016</v>
      </c>
      <c r="B250" s="8" t="n">
        <v>15</v>
      </c>
      <c r="C250" s="9" t="s">
        <v>149</v>
      </c>
      <c r="D250" s="9" t="s">
        <v>100</v>
      </c>
      <c r="E250" s="9" t="s">
        <v>100</v>
      </c>
      <c r="F250" s="9" t="s">
        <v>48</v>
      </c>
      <c r="G250" s="9" t="s">
        <v>125</v>
      </c>
      <c r="H250" s="9" t="s">
        <v>65</v>
      </c>
      <c r="I250" s="9" t="s">
        <v>51</v>
      </c>
      <c r="J250" s="9" t="s">
        <v>51</v>
      </c>
      <c r="K250" s="9" t="s">
        <v>51</v>
      </c>
      <c r="L250" s="9" t="s">
        <v>51</v>
      </c>
      <c r="M250" s="9" t="s">
        <v>51</v>
      </c>
      <c r="N250" s="9" t="s">
        <v>51</v>
      </c>
      <c r="O250" s="9" t="s">
        <v>51</v>
      </c>
      <c r="P250" s="9" t="n">
        <v>214976</v>
      </c>
      <c r="Q250" s="9" t="n">
        <v>136450</v>
      </c>
      <c r="R250" s="10" t="n">
        <f aca="false">(Q250/P250)*100</f>
        <v>63.4722015480798</v>
      </c>
      <c r="S250" s="9" t="n">
        <f aca="false">Y250-AD250</f>
        <v>3322</v>
      </c>
      <c r="T250" s="10" t="n">
        <f aca="false">(S250/Q250)*100</f>
        <v>2.43459142543056</v>
      </c>
      <c r="U250" s="10" t="n">
        <f aca="false">Z250+AE250</f>
        <v>88.0659582264566</v>
      </c>
      <c r="V250" s="9" t="s">
        <v>52</v>
      </c>
      <c r="W250" s="9" t="s">
        <v>53</v>
      </c>
      <c r="X250" s="9" t="s">
        <v>150</v>
      </c>
      <c r="Y250" s="9" t="n">
        <v>61744</v>
      </c>
      <c r="Z250" s="10" t="n">
        <f aca="false">(Y250/Q250)*100</f>
        <v>45.2502748259436</v>
      </c>
      <c r="AA250" s="9" t="s">
        <v>55</v>
      </c>
      <c r="AB250" s="9" t="s">
        <v>68</v>
      </c>
      <c r="AC250" s="9" t="s">
        <v>1495</v>
      </c>
      <c r="AD250" s="9" t="n">
        <v>58422</v>
      </c>
      <c r="AE250" s="10" t="n">
        <f aca="false">(AD250/Q250)*100</f>
        <v>42.815683400513</v>
      </c>
      <c r="AF250" s="9" t="s">
        <v>1429</v>
      </c>
      <c r="AG250" s="9" t="s">
        <v>422</v>
      </c>
      <c r="AH250" s="9" t="s">
        <v>1496</v>
      </c>
      <c r="AI250" s="9" t="n">
        <v>5702</v>
      </c>
      <c r="AJ250" s="10" t="n">
        <f aca="false">(AI250/Q250)*100</f>
        <v>4.17882008061561</v>
      </c>
      <c r="AK250" s="9" t="s">
        <v>63</v>
      </c>
      <c r="AL250" s="9" t="s">
        <v>63</v>
      </c>
      <c r="AM250" s="9" t="s">
        <v>63</v>
      </c>
      <c r="AN250" s="9" t="n">
        <v>2685</v>
      </c>
      <c r="AO250" s="10" t="n">
        <f aca="false">(AN250/Q250)*100</f>
        <v>1.96775375595456</v>
      </c>
      <c r="AP250" s="12" t="s">
        <v>1427</v>
      </c>
      <c r="AQ250" s="9" t="s">
        <v>56</v>
      </c>
      <c r="AR250" s="9" t="s">
        <v>1497</v>
      </c>
      <c r="AS250" s="9" t="n">
        <v>2056</v>
      </c>
      <c r="AT250" s="10" t="n">
        <f aca="false">(AS250/Q250)*100</f>
        <v>1.50677903994137</v>
      </c>
    </row>
    <row r="251" customFormat="false" ht="12.8" hidden="false" customHeight="true" outlineLevel="0" collapsed="false">
      <c r="A251" s="33" t="n">
        <v>2016</v>
      </c>
      <c r="B251" s="8" t="n">
        <v>16</v>
      </c>
      <c r="C251" s="9" t="s">
        <v>155</v>
      </c>
      <c r="D251" s="9" t="s">
        <v>100</v>
      </c>
      <c r="E251" s="9" t="s">
        <v>100</v>
      </c>
      <c r="F251" s="9" t="s">
        <v>144</v>
      </c>
      <c r="G251" s="9" t="s">
        <v>125</v>
      </c>
      <c r="H251" s="9" t="s">
        <v>65</v>
      </c>
      <c r="I251" s="9" t="s">
        <v>51</v>
      </c>
      <c r="J251" s="9" t="s">
        <v>51</v>
      </c>
      <c r="K251" s="9" t="s">
        <v>51</v>
      </c>
      <c r="L251" s="9" t="s">
        <v>53</v>
      </c>
      <c r="M251" s="9" t="s">
        <v>51</v>
      </c>
      <c r="N251" s="9" t="s">
        <v>53</v>
      </c>
      <c r="O251" s="9" t="s">
        <v>51</v>
      </c>
      <c r="P251" s="9" t="n">
        <v>191494</v>
      </c>
      <c r="Q251" s="9" t="n">
        <v>120635</v>
      </c>
      <c r="R251" s="10" t="n">
        <f aca="false">(Q251/P251)*100</f>
        <v>62.996751856455</v>
      </c>
      <c r="S251" s="9" t="n">
        <f aca="false">Y251-AD251</f>
        <v>10679</v>
      </c>
      <c r="T251" s="10" t="n">
        <f aca="false">(S251/Q251)*100</f>
        <v>8.85232312347163</v>
      </c>
      <c r="U251" s="10" t="n">
        <f aca="false">Z251+AE251</f>
        <v>82.4313010320388</v>
      </c>
      <c r="V251" s="9" t="s">
        <v>52</v>
      </c>
      <c r="W251" s="9" t="s">
        <v>53</v>
      </c>
      <c r="X251" s="9" t="s">
        <v>1498</v>
      </c>
      <c r="Y251" s="9" t="n">
        <v>55060</v>
      </c>
      <c r="Z251" s="10" t="n">
        <f aca="false">(Y251/Q251)*100</f>
        <v>45.6418120777552</v>
      </c>
      <c r="AA251" s="9" t="s">
        <v>55</v>
      </c>
      <c r="AB251" s="9" t="s">
        <v>68</v>
      </c>
      <c r="AC251" s="9" t="s">
        <v>1499</v>
      </c>
      <c r="AD251" s="9" t="n">
        <v>44381</v>
      </c>
      <c r="AE251" s="10" t="n">
        <f aca="false">(AD251/Q251)*100</f>
        <v>36.7894889542836</v>
      </c>
      <c r="AF251" s="9" t="s">
        <v>1431</v>
      </c>
      <c r="AG251" s="9" t="s">
        <v>171</v>
      </c>
      <c r="AH251" s="9" t="s">
        <v>1500</v>
      </c>
      <c r="AI251" s="9" t="n">
        <v>7159</v>
      </c>
      <c r="AJ251" s="10" t="n">
        <f aca="false">(AI251/Q251)*100</f>
        <v>5.93443030629585</v>
      </c>
      <c r="AK251" s="9" t="s">
        <v>1429</v>
      </c>
      <c r="AL251" s="9" t="s">
        <v>61</v>
      </c>
      <c r="AM251" s="9" t="s">
        <v>1501</v>
      </c>
      <c r="AN251" s="9" t="n">
        <v>6321</v>
      </c>
      <c r="AO251" s="10" t="n">
        <f aca="false">(AN251/Q251)*100</f>
        <v>5.23977286857048</v>
      </c>
      <c r="AP251" s="12" t="s">
        <v>63</v>
      </c>
      <c r="AQ251" s="9" t="s">
        <v>63</v>
      </c>
      <c r="AR251" s="9" t="s">
        <v>63</v>
      </c>
      <c r="AS251" s="9" t="n">
        <v>2840</v>
      </c>
      <c r="AT251" s="10" t="n">
        <f aca="false">(AS251/Q251)*100</f>
        <v>2.35420897749409</v>
      </c>
    </row>
    <row r="252" customFormat="false" ht="12.8" hidden="false" customHeight="true" outlineLevel="0" collapsed="false">
      <c r="A252" s="33" t="n">
        <v>2016</v>
      </c>
      <c r="B252" s="8" t="n">
        <v>17</v>
      </c>
      <c r="C252" s="9" t="s">
        <v>161</v>
      </c>
      <c r="D252" s="9" t="s">
        <v>100</v>
      </c>
      <c r="E252" s="9" t="s">
        <v>100</v>
      </c>
      <c r="F252" s="9" t="s">
        <v>48</v>
      </c>
      <c r="G252" s="9" t="s">
        <v>125</v>
      </c>
      <c r="H252" s="9" t="s">
        <v>51</v>
      </c>
      <c r="I252" s="9" t="s">
        <v>51</v>
      </c>
      <c r="J252" s="9" t="s">
        <v>51</v>
      </c>
      <c r="K252" s="9" t="s">
        <v>51</v>
      </c>
      <c r="L252" s="9" t="s">
        <v>162</v>
      </c>
      <c r="M252" s="9" t="s">
        <v>51</v>
      </c>
      <c r="N252" s="9" t="s">
        <v>162</v>
      </c>
      <c r="O252" s="9" t="s">
        <v>51</v>
      </c>
      <c r="P252" s="9" t="n">
        <v>192283</v>
      </c>
      <c r="Q252" s="9" t="n">
        <v>122117</v>
      </c>
      <c r="R252" s="10" t="n">
        <f aca="false">(Q252/P252)*100</f>
        <v>63.5089945549008</v>
      </c>
      <c r="S252" s="9" t="n">
        <f aca="false">Y252-AD252</f>
        <v>8031</v>
      </c>
      <c r="T252" s="10" t="n">
        <f aca="false">(S252/Q252)*100</f>
        <v>6.57647993317884</v>
      </c>
      <c r="U252" s="10" t="n">
        <f aca="false">Z252+AE252</f>
        <v>83.8368122374444</v>
      </c>
      <c r="V252" s="9" t="s">
        <v>55</v>
      </c>
      <c r="W252" s="9" t="s">
        <v>68</v>
      </c>
      <c r="X252" s="9" t="s">
        <v>1502</v>
      </c>
      <c r="Y252" s="9" t="n">
        <v>55205</v>
      </c>
      <c r="Z252" s="10" t="n">
        <f aca="false">(Y252/Q252)*100</f>
        <v>45.2066460853116</v>
      </c>
      <c r="AA252" s="9" t="s">
        <v>52</v>
      </c>
      <c r="AB252" s="9" t="s">
        <v>66</v>
      </c>
      <c r="AC252" s="9" t="s">
        <v>1503</v>
      </c>
      <c r="AD252" s="9" t="n">
        <v>47174</v>
      </c>
      <c r="AE252" s="10" t="n">
        <f aca="false">(AD252/Q252)*100</f>
        <v>38.6301661521328</v>
      </c>
      <c r="AF252" s="9" t="s">
        <v>352</v>
      </c>
      <c r="AG252" s="9" t="s">
        <v>352</v>
      </c>
      <c r="AH252" s="9" t="s">
        <v>1504</v>
      </c>
      <c r="AI252" s="9" t="n">
        <v>4345</v>
      </c>
      <c r="AJ252" s="10" t="n">
        <f aca="false">(AI252/Q252)*100</f>
        <v>3.55806316892816</v>
      </c>
      <c r="AK252" s="9" t="s">
        <v>1431</v>
      </c>
      <c r="AL252" s="9" t="s">
        <v>171</v>
      </c>
      <c r="AM252" s="9" t="s">
        <v>1505</v>
      </c>
      <c r="AN252" s="9" t="n">
        <v>3562</v>
      </c>
      <c r="AO252" s="10" t="n">
        <f aca="false">(AN252/Q252)*100</f>
        <v>2.91687480039634</v>
      </c>
      <c r="AP252" s="12" t="s">
        <v>1429</v>
      </c>
      <c r="AQ252" s="9" t="s">
        <v>1338</v>
      </c>
      <c r="AR252" s="9" t="s">
        <v>1506</v>
      </c>
      <c r="AS252" s="9" t="n">
        <v>3191</v>
      </c>
      <c r="AT252" s="10" t="n">
        <f aca="false">(AS252/Q252)*100</f>
        <v>2.61306779563861</v>
      </c>
    </row>
    <row r="253" customFormat="false" ht="12.8" hidden="false" customHeight="true" outlineLevel="0" collapsed="false">
      <c r="A253" s="33" t="n">
        <v>2016</v>
      </c>
      <c r="B253" s="8" t="n">
        <v>18</v>
      </c>
      <c r="C253" s="9" t="s">
        <v>168</v>
      </c>
      <c r="D253" s="9" t="s">
        <v>100</v>
      </c>
      <c r="E253" s="9" t="s">
        <v>100</v>
      </c>
      <c r="F253" s="9" t="s">
        <v>144</v>
      </c>
      <c r="G253" s="9" t="s">
        <v>125</v>
      </c>
      <c r="H253" s="9" t="s">
        <v>51</v>
      </c>
      <c r="I253" s="9" t="s">
        <v>51</v>
      </c>
      <c r="J253" s="9" t="s">
        <v>51</v>
      </c>
      <c r="K253" s="9" t="s">
        <v>51</v>
      </c>
      <c r="L253" s="14" t="s">
        <v>53</v>
      </c>
      <c r="M253" s="9" t="s">
        <v>51</v>
      </c>
      <c r="N253" s="14" t="s">
        <v>53</v>
      </c>
      <c r="O253" s="9" t="s">
        <v>169</v>
      </c>
      <c r="P253" s="9" t="n">
        <v>188171</v>
      </c>
      <c r="Q253" s="9" t="n">
        <v>104238</v>
      </c>
      <c r="R253" s="10" t="n">
        <f aca="false">(Q253/P253)*100</f>
        <v>55.3953584771298</v>
      </c>
      <c r="S253" s="9" t="n">
        <f aca="false">Y253-AD253</f>
        <v>4836</v>
      </c>
      <c r="T253" s="10" t="n">
        <f aca="false">(S253/Q253)*100</f>
        <v>4.63938295055546</v>
      </c>
      <c r="U253" s="10" t="n">
        <f aca="false">Z253+AE253</f>
        <v>76.0816592797252</v>
      </c>
      <c r="V253" s="9" t="s">
        <v>52</v>
      </c>
      <c r="W253" s="9" t="s">
        <v>53</v>
      </c>
      <c r="X253" s="9" t="s">
        <v>1507</v>
      </c>
      <c r="Y253" s="9" t="n">
        <v>42071</v>
      </c>
      <c r="Z253" s="10" t="n">
        <f aca="false">(Y253/Q253)*100</f>
        <v>40.3605211151404</v>
      </c>
      <c r="AA253" s="9" t="s">
        <v>55</v>
      </c>
      <c r="AB253" s="9" t="s">
        <v>68</v>
      </c>
      <c r="AC253" s="9" t="s">
        <v>1508</v>
      </c>
      <c r="AD253" s="9" t="n">
        <v>37235</v>
      </c>
      <c r="AE253" s="10" t="n">
        <f aca="false">(AD253/Q253)*100</f>
        <v>35.7211381645849</v>
      </c>
      <c r="AF253" s="9" t="s">
        <v>1431</v>
      </c>
      <c r="AG253" s="9" t="s">
        <v>171</v>
      </c>
      <c r="AH253" s="9" t="s">
        <v>1509</v>
      </c>
      <c r="AI253" s="9" t="n">
        <v>13357</v>
      </c>
      <c r="AJ253" s="10" t="n">
        <f aca="false">(AI253/Q253)*100</f>
        <v>12.8139450104568</v>
      </c>
      <c r="AK253" s="9" t="s">
        <v>352</v>
      </c>
      <c r="AL253" s="9" t="s">
        <v>352</v>
      </c>
      <c r="AM253" s="9" t="s">
        <v>1510</v>
      </c>
      <c r="AN253" s="9" t="n">
        <v>4161</v>
      </c>
      <c r="AO253" s="10" t="n">
        <f aca="false">(AN253/Q253)*100</f>
        <v>3.99182639728314</v>
      </c>
      <c r="AP253" s="9" t="s">
        <v>63</v>
      </c>
      <c r="AQ253" s="9" t="s">
        <v>63</v>
      </c>
      <c r="AR253" s="9" t="s">
        <v>63</v>
      </c>
      <c r="AS253" s="9" t="n">
        <v>2101</v>
      </c>
      <c r="AT253" s="10" t="n">
        <f aca="false">(AS253/Q253)*100</f>
        <v>2.01557973100021</v>
      </c>
    </row>
    <row r="254" customFormat="false" ht="12.8" hidden="false" customHeight="true" outlineLevel="0" collapsed="false">
      <c r="A254" s="33" t="n">
        <v>2016</v>
      </c>
      <c r="B254" s="8" t="n">
        <v>19</v>
      </c>
      <c r="C254" s="9" t="s">
        <v>175</v>
      </c>
      <c r="D254" s="9" t="s">
        <v>100</v>
      </c>
      <c r="E254" s="9" t="s">
        <v>100</v>
      </c>
      <c r="F254" s="9" t="s">
        <v>144</v>
      </c>
      <c r="G254" s="9" t="s">
        <v>125</v>
      </c>
      <c r="H254" s="9" t="s">
        <v>51</v>
      </c>
      <c r="I254" s="9" t="s">
        <v>51</v>
      </c>
      <c r="J254" s="9" t="s">
        <v>51</v>
      </c>
      <c r="K254" s="9" t="s">
        <v>51</v>
      </c>
      <c r="L254" s="9" t="s">
        <v>51</v>
      </c>
      <c r="M254" s="9" t="s">
        <v>53</v>
      </c>
      <c r="N254" s="9" t="s">
        <v>51</v>
      </c>
      <c r="O254" s="9" t="s">
        <v>51</v>
      </c>
      <c r="P254" s="9" t="n">
        <v>230619</v>
      </c>
      <c r="Q254" s="9" t="n">
        <v>143665</v>
      </c>
      <c r="R254" s="10" t="n">
        <f aca="false">(Q254/P254)*100</f>
        <v>62.2953876306809</v>
      </c>
      <c r="S254" s="9" t="n">
        <f aca="false">Y254-AD254</f>
        <v>14164</v>
      </c>
      <c r="T254" s="10" t="n">
        <f aca="false">(S254/Q254)*100</f>
        <v>9.85904708871333</v>
      </c>
      <c r="U254" s="10" t="n">
        <f aca="false">Z254+AE254</f>
        <v>84.7805658998364</v>
      </c>
      <c r="V254" s="9" t="s">
        <v>52</v>
      </c>
      <c r="W254" s="9" t="s">
        <v>53</v>
      </c>
      <c r="X254" s="9" t="s">
        <v>1511</v>
      </c>
      <c r="Y254" s="9" t="n">
        <v>67982</v>
      </c>
      <c r="Z254" s="10" t="n">
        <f aca="false">(Y254/Q254)*100</f>
        <v>47.3198064942749</v>
      </c>
      <c r="AA254" s="9" t="s">
        <v>55</v>
      </c>
      <c r="AB254" s="9" t="s">
        <v>68</v>
      </c>
      <c r="AC254" s="9" t="s">
        <v>1512</v>
      </c>
      <c r="AD254" s="9" t="n">
        <v>53818</v>
      </c>
      <c r="AE254" s="10" t="n">
        <f aca="false">(AD254/Q254)*100</f>
        <v>37.4607594055616</v>
      </c>
      <c r="AF254" s="9" t="s">
        <v>1431</v>
      </c>
      <c r="AG254" s="9" t="s">
        <v>171</v>
      </c>
      <c r="AH254" s="9" t="s">
        <v>1513</v>
      </c>
      <c r="AI254" s="9" t="n">
        <v>6281</v>
      </c>
      <c r="AJ254" s="10" t="n">
        <f aca="false">(AI254/Q254)*100</f>
        <v>4.37197647304493</v>
      </c>
      <c r="AK254" s="9" t="s">
        <v>1429</v>
      </c>
      <c r="AL254" s="15" t="s">
        <v>61</v>
      </c>
      <c r="AM254" s="9" t="s">
        <v>1514</v>
      </c>
      <c r="AN254" s="9" t="n">
        <v>5507</v>
      </c>
      <c r="AO254" s="10" t="n">
        <f aca="false">(AN254/Q254)*100</f>
        <v>3.83322312323809</v>
      </c>
      <c r="AP254" s="9" t="s">
        <v>63</v>
      </c>
      <c r="AQ254" s="9" t="s">
        <v>63</v>
      </c>
      <c r="AR254" s="9" t="s">
        <v>63</v>
      </c>
      <c r="AS254" s="9" t="n">
        <v>3494</v>
      </c>
      <c r="AT254" s="10" t="n">
        <f aca="false">(AS254/Q254)*100</f>
        <v>2.43204677548463</v>
      </c>
    </row>
    <row r="255" customFormat="false" ht="12.8" hidden="false" customHeight="true" outlineLevel="0" collapsed="false">
      <c r="A255" s="33" t="n">
        <v>2016</v>
      </c>
      <c r="B255" s="8" t="n">
        <v>20</v>
      </c>
      <c r="C255" s="9" t="s">
        <v>181</v>
      </c>
      <c r="D255" s="9" t="s">
        <v>100</v>
      </c>
      <c r="E255" s="9" t="s">
        <v>100</v>
      </c>
      <c r="F255" s="9" t="s">
        <v>144</v>
      </c>
      <c r="G255" s="9" t="s">
        <v>125</v>
      </c>
      <c r="H255" s="9" t="s">
        <v>51</v>
      </c>
      <c r="I255" s="9" t="s">
        <v>51</v>
      </c>
      <c r="J255" s="9" t="s">
        <v>51</v>
      </c>
      <c r="K255" s="9" t="s">
        <v>51</v>
      </c>
      <c r="L255" s="14" t="s">
        <v>53</v>
      </c>
      <c r="M255" s="9" t="s">
        <v>51</v>
      </c>
      <c r="N255" s="9" t="s">
        <v>51</v>
      </c>
      <c r="O255" s="9" t="s">
        <v>51</v>
      </c>
      <c r="P255" s="9" t="n">
        <v>235724</v>
      </c>
      <c r="Q255" s="9" t="n">
        <v>142403</v>
      </c>
      <c r="R255" s="10" t="n">
        <f aca="false">(Q255/P255)*100</f>
        <v>60.4109042778843</v>
      </c>
      <c r="S255" s="9" t="n">
        <f aca="false">Y255-AD255</f>
        <v>8829</v>
      </c>
      <c r="T255" s="10" t="n">
        <f aca="false">(S255/Q255)*100</f>
        <v>6.20000983125355</v>
      </c>
      <c r="U255" s="10" t="n">
        <f aca="false">Z255+AE255</f>
        <v>80.4919840171907</v>
      </c>
      <c r="V255" s="9" t="s">
        <v>52</v>
      </c>
      <c r="W255" s="9" t="s">
        <v>53</v>
      </c>
      <c r="X255" s="9" t="s">
        <v>1515</v>
      </c>
      <c r="Y255" s="9" t="n">
        <v>61726</v>
      </c>
      <c r="Z255" s="10" t="n">
        <f aca="false">(Y255/Q255)*100</f>
        <v>43.3459969242221</v>
      </c>
      <c r="AA255" s="9" t="s">
        <v>55</v>
      </c>
      <c r="AB255" s="9" t="s">
        <v>68</v>
      </c>
      <c r="AC255" s="9" t="s">
        <v>1516</v>
      </c>
      <c r="AD255" s="9" t="n">
        <v>52897</v>
      </c>
      <c r="AE255" s="10" t="n">
        <f aca="false">(AD255/Q255)*100</f>
        <v>37.1459870929686</v>
      </c>
      <c r="AF255" s="9" t="s">
        <v>1431</v>
      </c>
      <c r="AG255" s="9" t="s">
        <v>171</v>
      </c>
      <c r="AH255" s="9" t="s">
        <v>1517</v>
      </c>
      <c r="AI255" s="9" t="n">
        <v>8516</v>
      </c>
      <c r="AJ255" s="10" t="n">
        <f aca="false">(AI255/Q255)*100</f>
        <v>5.98021109105848</v>
      </c>
      <c r="AK255" s="9" t="s">
        <v>1429</v>
      </c>
      <c r="AL255" s="9" t="s">
        <v>271</v>
      </c>
      <c r="AM255" s="9" t="s">
        <v>1518</v>
      </c>
      <c r="AN255" s="9" t="n">
        <v>7805</v>
      </c>
      <c r="AO255" s="10" t="n">
        <f aca="false">(AN255/Q255)*100</f>
        <v>5.48092385694122</v>
      </c>
      <c r="AP255" s="9" t="s">
        <v>1427</v>
      </c>
      <c r="AQ255" s="9" t="s">
        <v>56</v>
      </c>
      <c r="AR255" s="9" t="s">
        <v>1519</v>
      </c>
      <c r="AS255" s="9" t="n">
        <v>3968</v>
      </c>
      <c r="AT255" s="10" t="n">
        <f aca="false">(AS255/Q255)*100</f>
        <v>2.78645815046031</v>
      </c>
    </row>
    <row r="256" customFormat="false" ht="12.8" hidden="false" customHeight="true" outlineLevel="0" collapsed="false">
      <c r="A256" s="33" t="n">
        <v>2016</v>
      </c>
      <c r="B256" s="8" t="n">
        <v>21</v>
      </c>
      <c r="C256" s="9" t="s">
        <v>186</v>
      </c>
      <c r="D256" s="9" t="s">
        <v>100</v>
      </c>
      <c r="E256" s="9" t="s">
        <v>100</v>
      </c>
      <c r="F256" s="9" t="s">
        <v>144</v>
      </c>
      <c r="G256" s="9" t="s">
        <v>125</v>
      </c>
      <c r="H256" s="9" t="s">
        <v>51</v>
      </c>
      <c r="I256" s="9" t="s">
        <v>51</v>
      </c>
      <c r="J256" s="9" t="s">
        <v>51</v>
      </c>
      <c r="K256" s="9" t="s">
        <v>51</v>
      </c>
      <c r="L256" s="14" t="s">
        <v>53</v>
      </c>
      <c r="M256" s="9" t="s">
        <v>51</v>
      </c>
      <c r="N256" s="9" t="s">
        <v>53</v>
      </c>
      <c r="O256" s="9" t="s">
        <v>169</v>
      </c>
      <c r="P256" s="9" t="n">
        <v>283857</v>
      </c>
      <c r="Q256" s="9" t="n">
        <v>170281</v>
      </c>
      <c r="R256" s="10" t="n">
        <f aca="false">(Q256/P256)*100</f>
        <v>59.9883039699567</v>
      </c>
      <c r="S256" s="9" t="n">
        <f aca="false">Y256-AD256</f>
        <v>1086</v>
      </c>
      <c r="T256" s="10" t="n">
        <f aca="false">(S256/Q256)*100</f>
        <v>0.637769334218145</v>
      </c>
      <c r="U256" s="10" t="n">
        <f aca="false">Z256+AE256</f>
        <v>82.532989587799</v>
      </c>
      <c r="V256" s="9" t="s">
        <v>52</v>
      </c>
      <c r="W256" s="9" t="s">
        <v>53</v>
      </c>
      <c r="X256" s="9" t="s">
        <v>1520</v>
      </c>
      <c r="Y256" s="9" t="n">
        <v>70812</v>
      </c>
      <c r="Z256" s="10" t="n">
        <f aca="false">(Y256/Q256)*100</f>
        <v>41.5853794610086</v>
      </c>
      <c r="AA256" s="9" t="s">
        <v>55</v>
      </c>
      <c r="AB256" s="9" t="s">
        <v>68</v>
      </c>
      <c r="AC256" s="9" t="s">
        <v>1521</v>
      </c>
      <c r="AD256" s="9" t="n">
        <v>69726</v>
      </c>
      <c r="AE256" s="10" t="n">
        <f aca="false">(AD256/Q256)*100</f>
        <v>40.9476101267904</v>
      </c>
      <c r="AF256" s="9" t="s">
        <v>1431</v>
      </c>
      <c r="AG256" s="9" t="s">
        <v>171</v>
      </c>
      <c r="AH256" s="9" t="s">
        <v>1522</v>
      </c>
      <c r="AI256" s="9" t="n">
        <v>8832</v>
      </c>
      <c r="AJ256" s="10" t="n">
        <f aca="false">(AI256/Q256)*100</f>
        <v>5.18672077331</v>
      </c>
      <c r="AK256" s="9" t="s">
        <v>1429</v>
      </c>
      <c r="AL256" s="9" t="s">
        <v>271</v>
      </c>
      <c r="AM256" s="9" t="s">
        <v>1523</v>
      </c>
      <c r="AN256" s="9" t="n">
        <v>6384</v>
      </c>
      <c r="AO256" s="10" t="n">
        <f aca="false">(AN256/Q256)*100</f>
        <v>3.74909708070777</v>
      </c>
      <c r="AP256" s="9" t="s">
        <v>1427</v>
      </c>
      <c r="AQ256" s="9" t="s">
        <v>56</v>
      </c>
      <c r="AR256" s="9" t="s">
        <v>1524</v>
      </c>
      <c r="AS256" s="9" t="n">
        <v>5402</v>
      </c>
      <c r="AT256" s="10" t="n">
        <f aca="false">(AS256/Q256)*100</f>
        <v>3.17240326284201</v>
      </c>
    </row>
    <row r="257" customFormat="false" ht="12.8" hidden="false" customHeight="true" outlineLevel="0" collapsed="false">
      <c r="A257" s="33" t="n">
        <v>2016</v>
      </c>
      <c r="B257" s="8" t="n">
        <v>22</v>
      </c>
      <c r="C257" s="9" t="s">
        <v>191</v>
      </c>
      <c r="D257" s="9" t="s">
        <v>100</v>
      </c>
      <c r="E257" s="9" t="s">
        <v>100</v>
      </c>
      <c r="F257" s="9" t="s">
        <v>192</v>
      </c>
      <c r="G257" s="9" t="s">
        <v>125</v>
      </c>
      <c r="H257" s="9" t="s">
        <v>51</v>
      </c>
      <c r="I257" s="9" t="s">
        <v>51</v>
      </c>
      <c r="J257" s="9" t="s">
        <v>171</v>
      </c>
      <c r="K257" s="9" t="s">
        <v>51</v>
      </c>
      <c r="L257" s="9" t="s">
        <v>51</v>
      </c>
      <c r="M257" s="9" t="s">
        <v>51</v>
      </c>
      <c r="N257" s="9" t="s">
        <v>51</v>
      </c>
      <c r="O257" s="9" t="s">
        <v>51</v>
      </c>
      <c r="P257" s="9" t="n">
        <v>292248</v>
      </c>
      <c r="Q257" s="9" t="n">
        <v>171339</v>
      </c>
      <c r="R257" s="10" t="n">
        <f aca="false">(Q257/P257)*100</f>
        <v>58.6279461279461</v>
      </c>
      <c r="S257" s="9" t="n">
        <f aca="false">Y257-AD257</f>
        <v>2333</v>
      </c>
      <c r="T257" s="10" t="n">
        <f aca="false">(S257/Q257)*100</f>
        <v>1.36162811735799</v>
      </c>
      <c r="U257" s="10" t="n">
        <f aca="false">Z257+AE257</f>
        <v>75.6541126071706</v>
      </c>
      <c r="V257" s="9" t="s">
        <v>55</v>
      </c>
      <c r="W257" s="9" t="s">
        <v>68</v>
      </c>
      <c r="X257" s="9" t="s">
        <v>1525</v>
      </c>
      <c r="Y257" s="9" t="n">
        <v>65979</v>
      </c>
      <c r="Z257" s="10" t="n">
        <f aca="false">(Y257/Q257)*100</f>
        <v>38.5078703622643</v>
      </c>
      <c r="AA257" s="9" t="s">
        <v>52</v>
      </c>
      <c r="AB257" s="9" t="s">
        <v>53</v>
      </c>
      <c r="AC257" s="9" t="s">
        <v>1526</v>
      </c>
      <c r="AD257" s="9" t="n">
        <v>63646</v>
      </c>
      <c r="AE257" s="10" t="n">
        <f aca="false">(AD257/Q257)*100</f>
        <v>37.1462422449063</v>
      </c>
      <c r="AF257" s="9" t="s">
        <v>1431</v>
      </c>
      <c r="AG257" s="9" t="s">
        <v>171</v>
      </c>
      <c r="AH257" s="9" t="s">
        <v>1527</v>
      </c>
      <c r="AI257" s="9" t="n">
        <v>19167</v>
      </c>
      <c r="AJ257" s="10" t="n">
        <f aca="false">(AI257/Q257)*100</f>
        <v>11.1865949958854</v>
      </c>
      <c r="AK257" s="9" t="s">
        <v>1429</v>
      </c>
      <c r="AL257" s="9" t="s">
        <v>61</v>
      </c>
      <c r="AM257" s="9" t="s">
        <v>1528</v>
      </c>
      <c r="AN257" s="9" t="n">
        <v>9730</v>
      </c>
      <c r="AO257" s="10" t="n">
        <f aca="false">(AN257/Q257)*100</f>
        <v>5.67880050659803</v>
      </c>
      <c r="AP257" s="9" t="s">
        <v>1427</v>
      </c>
      <c r="AQ257" s="9" t="s">
        <v>56</v>
      </c>
      <c r="AR257" s="9" t="s">
        <v>1529</v>
      </c>
      <c r="AS257" s="9" t="n">
        <v>3945</v>
      </c>
      <c r="AT257" s="10" t="n">
        <f aca="false">(AS257/Q257)*100</f>
        <v>2.30245303170907</v>
      </c>
    </row>
    <row r="258" customFormat="false" ht="12.8" hidden="false" customHeight="true" outlineLevel="0" collapsed="false">
      <c r="A258" s="33" t="n">
        <v>2016</v>
      </c>
      <c r="B258" s="8" t="n">
        <v>23</v>
      </c>
      <c r="C258" s="9" t="s">
        <v>199</v>
      </c>
      <c r="D258" s="9" t="s">
        <v>100</v>
      </c>
      <c r="E258" s="9" t="s">
        <v>100</v>
      </c>
      <c r="F258" s="9" t="s">
        <v>192</v>
      </c>
      <c r="G258" s="9" t="s">
        <v>125</v>
      </c>
      <c r="H258" s="9" t="s">
        <v>51</v>
      </c>
      <c r="I258" s="9" t="s">
        <v>51</v>
      </c>
      <c r="J258" s="9" t="s">
        <v>51</v>
      </c>
      <c r="K258" s="9" t="s">
        <v>51</v>
      </c>
      <c r="L258" s="9" t="s">
        <v>51</v>
      </c>
      <c r="M258" s="9" t="s">
        <v>51</v>
      </c>
      <c r="N258" s="9" t="s">
        <v>53</v>
      </c>
      <c r="O258" s="9" t="s">
        <v>169</v>
      </c>
      <c r="P258" s="9" t="n">
        <v>282052</v>
      </c>
      <c r="Q258" s="9" t="n">
        <v>168018</v>
      </c>
      <c r="R258" s="10" t="n">
        <f aca="false">(Q258/P258)*100</f>
        <v>59.5698665494306</v>
      </c>
      <c r="S258" s="9" t="n">
        <f aca="false">Y258-AD258</f>
        <v>16255</v>
      </c>
      <c r="T258" s="10" t="n">
        <f aca="false">(S258/Q258)*100</f>
        <v>9.67455867823686</v>
      </c>
      <c r="U258" s="10" t="n">
        <f aca="false">Z258+AE258</f>
        <v>84.6950921925032</v>
      </c>
      <c r="V258" s="9" t="s">
        <v>52</v>
      </c>
      <c r="W258" s="9" t="s">
        <v>53</v>
      </c>
      <c r="X258" s="9" t="s">
        <v>1530</v>
      </c>
      <c r="Y258" s="9" t="n">
        <v>79279</v>
      </c>
      <c r="Z258" s="10" t="n">
        <f aca="false">(Y258/Q258)*100</f>
        <v>47.18482543537</v>
      </c>
      <c r="AA258" s="9" t="s">
        <v>55</v>
      </c>
      <c r="AB258" s="9" t="s">
        <v>68</v>
      </c>
      <c r="AC258" s="9" t="s">
        <v>1531</v>
      </c>
      <c r="AD258" s="9" t="n">
        <v>63024</v>
      </c>
      <c r="AE258" s="10" t="n">
        <f aca="false">(AD258/Q258)*100</f>
        <v>37.5102667571332</v>
      </c>
      <c r="AF258" s="9" t="s">
        <v>1431</v>
      </c>
      <c r="AG258" s="9" t="s">
        <v>171</v>
      </c>
      <c r="AH258" s="9" t="s">
        <v>1532</v>
      </c>
      <c r="AI258" s="9" t="n">
        <v>6000</v>
      </c>
      <c r="AJ258" s="10" t="n">
        <f aca="false">(AI258/Q258)*100</f>
        <v>3.5710459593615</v>
      </c>
      <c r="AK258" s="9" t="s">
        <v>1427</v>
      </c>
      <c r="AL258" s="9" t="s">
        <v>56</v>
      </c>
      <c r="AM258" s="9" t="s">
        <v>1533</v>
      </c>
      <c r="AN258" s="9" t="n">
        <v>5913</v>
      </c>
      <c r="AO258" s="10" t="n">
        <f aca="false">(AN258/Q258)*100</f>
        <v>3.51926579295076</v>
      </c>
      <c r="AP258" s="12" t="s">
        <v>1429</v>
      </c>
      <c r="AQ258" s="9" t="s">
        <v>392</v>
      </c>
      <c r="AR258" s="9" t="s">
        <v>1534</v>
      </c>
      <c r="AS258" s="9" t="n">
        <v>5221</v>
      </c>
      <c r="AT258" s="10" t="n">
        <f aca="false">(AS258/Q258)*100</f>
        <v>3.10740515897106</v>
      </c>
    </row>
    <row r="259" customFormat="false" ht="12.8" hidden="false" customHeight="true" outlineLevel="0" collapsed="false">
      <c r="A259" s="33" t="n">
        <v>2016</v>
      </c>
      <c r="B259" s="8" t="n">
        <v>24</v>
      </c>
      <c r="C259" s="9" t="s">
        <v>205</v>
      </c>
      <c r="D259" s="9" t="s">
        <v>100</v>
      </c>
      <c r="E259" s="9" t="s">
        <v>100</v>
      </c>
      <c r="F259" s="9" t="s">
        <v>192</v>
      </c>
      <c r="G259" s="9" t="s">
        <v>125</v>
      </c>
      <c r="H259" s="9" t="s">
        <v>51</v>
      </c>
      <c r="I259" s="9" t="s">
        <v>51</v>
      </c>
      <c r="J259" s="9" t="s">
        <v>51</v>
      </c>
      <c r="K259" s="9" t="s">
        <v>51</v>
      </c>
      <c r="L259" s="9" t="s">
        <v>51</v>
      </c>
      <c r="M259" s="9" t="s">
        <v>51</v>
      </c>
      <c r="N259" s="9" t="s">
        <v>51</v>
      </c>
      <c r="O259" s="9" t="s">
        <v>51</v>
      </c>
      <c r="P259" s="9" t="n">
        <v>245101</v>
      </c>
      <c r="Q259" s="9" t="n">
        <v>141982</v>
      </c>
      <c r="R259" s="10" t="n">
        <f aca="false">(Q259/P259)*100</f>
        <v>57.9279562302887</v>
      </c>
      <c r="S259" s="9" t="n">
        <f aca="false">Y259-AD259</f>
        <v>3155</v>
      </c>
      <c r="T259" s="10" t="n">
        <f aca="false">(S259/Q259)*100</f>
        <v>2.22211266216844</v>
      </c>
      <c r="U259" s="10" t="n">
        <f aca="false">Z259+AE259</f>
        <v>72.7268245270527</v>
      </c>
      <c r="V259" s="9" t="s">
        <v>55</v>
      </c>
      <c r="W259" s="9" t="s">
        <v>68</v>
      </c>
      <c r="X259" s="9" t="s">
        <v>1535</v>
      </c>
      <c r="Y259" s="9" t="n">
        <v>53207</v>
      </c>
      <c r="Z259" s="10" t="n">
        <f aca="false">(Y259/Q259)*100</f>
        <v>37.4744685946106</v>
      </c>
      <c r="AA259" s="9" t="s">
        <v>52</v>
      </c>
      <c r="AB259" s="9" t="s">
        <v>53</v>
      </c>
      <c r="AC259" s="9" t="s">
        <v>1536</v>
      </c>
      <c r="AD259" s="9" t="n">
        <v>50052</v>
      </c>
      <c r="AE259" s="10" t="n">
        <f aca="false">(AD259/Q259)*100</f>
        <v>35.2523559324421</v>
      </c>
      <c r="AF259" s="9" t="s">
        <v>1431</v>
      </c>
      <c r="AG259" s="9" t="s">
        <v>171</v>
      </c>
      <c r="AH259" s="9" t="s">
        <v>1537</v>
      </c>
      <c r="AI259" s="9" t="n">
        <v>19888</v>
      </c>
      <c r="AJ259" s="10" t="n">
        <f aca="false">(AI259/Q259)*100</f>
        <v>14.0074093899227</v>
      </c>
      <c r="AK259" s="9" t="s">
        <v>1429</v>
      </c>
      <c r="AL259" s="9" t="s">
        <v>61</v>
      </c>
      <c r="AM259" s="9" t="s">
        <v>1538</v>
      </c>
      <c r="AN259" s="9" t="n">
        <v>6210</v>
      </c>
      <c r="AO259" s="10" t="n">
        <f aca="false">(AN259/Q259)*100</f>
        <v>4.37379386119367</v>
      </c>
      <c r="AP259" s="9" t="s">
        <v>1427</v>
      </c>
      <c r="AQ259" s="9" t="s">
        <v>56</v>
      </c>
      <c r="AR259" s="9" t="s">
        <v>1539</v>
      </c>
      <c r="AS259" s="9" t="n">
        <v>5071</v>
      </c>
      <c r="AT259" s="10" t="n">
        <f aca="false">(AS259/Q259)*100</f>
        <v>3.57157949599245</v>
      </c>
    </row>
    <row r="260" customFormat="false" ht="12.8" hidden="false" customHeight="true" outlineLevel="0" collapsed="false">
      <c r="A260" s="33" t="n">
        <v>2016</v>
      </c>
      <c r="B260" s="8" t="n">
        <v>25</v>
      </c>
      <c r="C260" s="9" t="s">
        <v>210</v>
      </c>
      <c r="D260" s="9" t="s">
        <v>100</v>
      </c>
      <c r="E260" s="9" t="s">
        <v>100</v>
      </c>
      <c r="F260" s="9" t="s">
        <v>192</v>
      </c>
      <c r="G260" s="9" t="s">
        <v>125</v>
      </c>
      <c r="H260" s="9" t="s">
        <v>51</v>
      </c>
      <c r="I260" s="9" t="s">
        <v>51</v>
      </c>
      <c r="J260" s="9" t="s">
        <v>51</v>
      </c>
      <c r="K260" s="9" t="s">
        <v>51</v>
      </c>
      <c r="L260" s="9" t="s">
        <v>51</v>
      </c>
      <c r="M260" s="9" t="s">
        <v>51</v>
      </c>
      <c r="N260" s="9" t="s">
        <v>51</v>
      </c>
      <c r="O260" s="9" t="s">
        <v>51</v>
      </c>
      <c r="P260" s="9" t="n">
        <v>262980</v>
      </c>
      <c r="Q260" s="9" t="n">
        <v>156132</v>
      </c>
      <c r="R260" s="10" t="n">
        <f aca="false">(Q260/P260)*100</f>
        <v>59.3702943189596</v>
      </c>
      <c r="S260" s="9" t="n">
        <f aca="false">Y260-AD260</f>
        <v>14728</v>
      </c>
      <c r="T260" s="10" t="n">
        <f aca="false">(S260/Q260)*100</f>
        <v>9.43304383470397</v>
      </c>
      <c r="U260" s="10" t="n">
        <f aca="false">Z260+AE260</f>
        <v>77.8981887121154</v>
      </c>
      <c r="V260" s="9" t="s">
        <v>55</v>
      </c>
      <c r="W260" s="9" t="s">
        <v>68</v>
      </c>
      <c r="X260" s="9" t="s">
        <v>212</v>
      </c>
      <c r="Y260" s="9" t="n">
        <v>68176</v>
      </c>
      <c r="Z260" s="10" t="n">
        <f aca="false">(Y260/Q260)*100</f>
        <v>43.6656162734097</v>
      </c>
      <c r="AA260" s="9" t="s">
        <v>52</v>
      </c>
      <c r="AB260" s="9" t="s">
        <v>66</v>
      </c>
      <c r="AC260" s="9" t="s">
        <v>1540</v>
      </c>
      <c r="AD260" s="9" t="n">
        <v>53448</v>
      </c>
      <c r="AE260" s="10" t="n">
        <f aca="false">(AD260/Q260)*100</f>
        <v>34.2325724387057</v>
      </c>
      <c r="AF260" s="9" t="s">
        <v>1431</v>
      </c>
      <c r="AG260" s="9" t="s">
        <v>171</v>
      </c>
      <c r="AH260" s="9" t="s">
        <v>1541</v>
      </c>
      <c r="AI260" s="9" t="n">
        <v>11720</v>
      </c>
      <c r="AJ260" s="10" t="n">
        <f aca="false">(AI260/Q260)*100</f>
        <v>7.50646888530218</v>
      </c>
      <c r="AK260" s="9" t="s">
        <v>1427</v>
      </c>
      <c r="AL260" s="9" t="s">
        <v>56</v>
      </c>
      <c r="AM260" s="9" t="s">
        <v>1542</v>
      </c>
      <c r="AN260" s="9" t="n">
        <v>5806</v>
      </c>
      <c r="AO260" s="10" t="n">
        <f aca="false">(AN260/Q260)*100</f>
        <v>3.71864832321369</v>
      </c>
      <c r="AP260" s="9" t="s">
        <v>1429</v>
      </c>
      <c r="AQ260" s="9" t="s">
        <v>1338</v>
      </c>
      <c r="AR260" s="9" t="s">
        <v>1543</v>
      </c>
      <c r="AS260" s="9" t="n">
        <v>4753</v>
      </c>
      <c r="AT260" s="10" t="n">
        <f aca="false">(AS260/Q260)*100</f>
        <v>3.04421899418441</v>
      </c>
    </row>
    <row r="261" customFormat="false" ht="12.8" hidden="false" customHeight="true" outlineLevel="0" collapsed="false">
      <c r="A261" s="33" t="n">
        <v>2016</v>
      </c>
      <c r="B261" s="8" t="n">
        <v>26</v>
      </c>
      <c r="C261" s="9" t="s">
        <v>215</v>
      </c>
      <c r="D261" s="9" t="s">
        <v>100</v>
      </c>
      <c r="E261" s="9" t="s">
        <v>100</v>
      </c>
      <c r="F261" s="9" t="s">
        <v>192</v>
      </c>
      <c r="G261" s="9" t="s">
        <v>125</v>
      </c>
      <c r="H261" s="9" t="s">
        <v>51</v>
      </c>
      <c r="I261" s="9" t="s">
        <v>51</v>
      </c>
      <c r="J261" s="9" t="s">
        <v>51</v>
      </c>
      <c r="K261" s="9" t="s">
        <v>51</v>
      </c>
      <c r="L261" s="9" t="s">
        <v>51</v>
      </c>
      <c r="M261" s="9" t="s">
        <v>51</v>
      </c>
      <c r="N261" s="9" t="s">
        <v>51</v>
      </c>
      <c r="O261" s="9" t="s">
        <v>51</v>
      </c>
      <c r="P261" s="9" t="n">
        <v>300891</v>
      </c>
      <c r="Q261" s="9" t="n">
        <v>175522</v>
      </c>
      <c r="R261" s="10" t="n">
        <f aca="false">(Q261/P261)*100</f>
        <v>58.3340811124294</v>
      </c>
      <c r="S261" s="9" t="n">
        <f aca="false">Y261-AD261</f>
        <v>8872</v>
      </c>
      <c r="T261" s="10" t="n">
        <f aca="false">(S261/Q261)*100</f>
        <v>5.05463702555805</v>
      </c>
      <c r="U261" s="10" t="n">
        <f aca="false">Z261+AE261</f>
        <v>74.8658287849956</v>
      </c>
      <c r="V261" s="9" t="s">
        <v>52</v>
      </c>
      <c r="W261" s="9" t="s">
        <v>53</v>
      </c>
      <c r="X261" s="9" t="s">
        <v>1544</v>
      </c>
      <c r="Y261" s="9" t="n">
        <v>70139</v>
      </c>
      <c r="Z261" s="10" t="n">
        <f aca="false">(Y261/Q261)*100</f>
        <v>39.9602329052768</v>
      </c>
      <c r="AA261" s="9" t="s">
        <v>55</v>
      </c>
      <c r="AB261" s="9" t="s">
        <v>68</v>
      </c>
      <c r="AC261" s="9" t="s">
        <v>1545</v>
      </c>
      <c r="AD261" s="9" t="n">
        <v>61267</v>
      </c>
      <c r="AE261" s="10" t="n">
        <f aca="false">(AD261/Q261)*100</f>
        <v>34.9055958797188</v>
      </c>
      <c r="AF261" s="9" t="s">
        <v>1431</v>
      </c>
      <c r="AG261" s="9" t="s">
        <v>171</v>
      </c>
      <c r="AH261" s="9" t="s">
        <v>1546</v>
      </c>
      <c r="AI261" s="9" t="n">
        <v>14472</v>
      </c>
      <c r="AJ261" s="10" t="n">
        <f aca="false">(AI261/Q261)*100</f>
        <v>8.24512026982373</v>
      </c>
      <c r="AK261" s="9" t="s">
        <v>1429</v>
      </c>
      <c r="AL261" s="9" t="s">
        <v>61</v>
      </c>
      <c r="AM261" s="9" t="s">
        <v>1547</v>
      </c>
      <c r="AN261" s="9" t="n">
        <v>9654</v>
      </c>
      <c r="AO261" s="10" t="n">
        <f aca="false">(AN261/Q261)*100</f>
        <v>5.50016522145372</v>
      </c>
      <c r="AP261" s="12" t="s">
        <v>1429</v>
      </c>
      <c r="AQ261" s="9" t="s">
        <v>56</v>
      </c>
      <c r="AR261" s="9" t="s">
        <v>1548</v>
      </c>
      <c r="AS261" s="9" t="n">
        <v>6809</v>
      </c>
      <c r="AT261" s="10" t="n">
        <f aca="false">(AS261/Q261)*100</f>
        <v>3.87928578753661</v>
      </c>
    </row>
    <row r="262" customFormat="false" ht="12.8" hidden="false" customHeight="true" outlineLevel="0" collapsed="false">
      <c r="A262" s="33" t="n">
        <v>2016</v>
      </c>
      <c r="B262" s="8" t="n">
        <v>27</v>
      </c>
      <c r="C262" s="9" t="s">
        <v>221</v>
      </c>
      <c r="D262" s="9" t="s">
        <v>100</v>
      </c>
      <c r="E262" s="9" t="s">
        <v>100</v>
      </c>
      <c r="F262" s="9" t="s">
        <v>192</v>
      </c>
      <c r="G262" s="9" t="s">
        <v>88</v>
      </c>
      <c r="H262" s="9" t="s">
        <v>51</v>
      </c>
      <c r="I262" s="9" t="s">
        <v>51</v>
      </c>
      <c r="J262" s="9" t="s">
        <v>51</v>
      </c>
      <c r="K262" s="9" t="s">
        <v>51</v>
      </c>
      <c r="L262" s="9" t="s">
        <v>51</v>
      </c>
      <c r="M262" s="9" t="s">
        <v>51</v>
      </c>
      <c r="N262" s="9" t="s">
        <v>51</v>
      </c>
      <c r="O262" s="9" t="s">
        <v>51</v>
      </c>
      <c r="P262" s="9" t="n">
        <v>602472</v>
      </c>
      <c r="Q262" s="9" t="n">
        <v>345697</v>
      </c>
      <c r="R262" s="10" t="n">
        <f aca="false">(Q262/P262)*100</f>
        <v>57.3797620470329</v>
      </c>
      <c r="S262" s="9" t="n">
        <f aca="false">Y262-AD262</f>
        <v>14913</v>
      </c>
      <c r="T262" s="10" t="n">
        <f aca="false">(S262/Q262)*100</f>
        <v>4.31389338061945</v>
      </c>
      <c r="U262" s="10" t="n">
        <f aca="false">Z262+AE262</f>
        <v>80.7397807906924</v>
      </c>
      <c r="V262" s="9" t="s">
        <v>52</v>
      </c>
      <c r="W262" s="9" t="s">
        <v>53</v>
      </c>
      <c r="X262" s="9" t="s">
        <v>1549</v>
      </c>
      <c r="Y262" s="9" t="n">
        <v>147014</v>
      </c>
      <c r="Z262" s="10" t="n">
        <f aca="false">(Y262/Q262)*100</f>
        <v>42.5268370856559</v>
      </c>
      <c r="AA262" s="9" t="s">
        <v>55</v>
      </c>
      <c r="AB262" s="9" t="s">
        <v>68</v>
      </c>
      <c r="AC262" s="9" t="s">
        <v>1550</v>
      </c>
      <c r="AD262" s="9" t="n">
        <v>132101</v>
      </c>
      <c r="AE262" s="10" t="n">
        <f aca="false">(AD262/Q262)*100</f>
        <v>38.2129437050365</v>
      </c>
      <c r="AF262" s="9" t="s">
        <v>1427</v>
      </c>
      <c r="AG262" s="9" t="s">
        <v>56</v>
      </c>
      <c r="AH262" s="9" t="s">
        <v>1551</v>
      </c>
      <c r="AI262" s="9" t="n">
        <v>15595</v>
      </c>
      <c r="AJ262" s="10" t="n">
        <f aca="false">(AI262/Q262)*100</f>
        <v>4.51117597202174</v>
      </c>
      <c r="AK262" s="9" t="s">
        <v>1429</v>
      </c>
      <c r="AL262" s="9" t="s">
        <v>257</v>
      </c>
      <c r="AM262" s="9" t="s">
        <v>1552</v>
      </c>
      <c r="AN262" s="9" t="n">
        <v>15129</v>
      </c>
      <c r="AO262" s="10" t="n">
        <f aca="false">(AN262/Q262)*100</f>
        <v>4.37637584358557</v>
      </c>
      <c r="AP262" s="12" t="s">
        <v>1431</v>
      </c>
      <c r="AQ262" s="9" t="s">
        <v>171</v>
      </c>
      <c r="AR262" s="9" t="s">
        <v>1553</v>
      </c>
      <c r="AS262" s="9" t="n">
        <v>14915</v>
      </c>
      <c r="AT262" s="10" t="n">
        <f aca="false">(AS262/Q262)*100</f>
        <v>4.31447192194321</v>
      </c>
    </row>
    <row r="263" customFormat="false" ht="12.8" hidden="false" customHeight="true" outlineLevel="0" collapsed="false">
      <c r="A263" s="33" t="n">
        <v>2016</v>
      </c>
      <c r="B263" s="8" t="n">
        <v>28</v>
      </c>
      <c r="C263" s="9" t="s">
        <v>227</v>
      </c>
      <c r="D263" s="9" t="s">
        <v>100</v>
      </c>
      <c r="E263" s="9" t="s">
        <v>100</v>
      </c>
      <c r="F263" s="9" t="s">
        <v>192</v>
      </c>
      <c r="G263" s="9" t="s">
        <v>88</v>
      </c>
      <c r="H263" s="9" t="s">
        <v>51</v>
      </c>
      <c r="I263" s="9" t="s">
        <v>51</v>
      </c>
      <c r="J263" s="9" t="s">
        <v>51</v>
      </c>
      <c r="K263" s="9" t="s">
        <v>51</v>
      </c>
      <c r="L263" s="9" t="s">
        <v>51</v>
      </c>
      <c r="M263" s="9" t="s">
        <v>51</v>
      </c>
      <c r="N263" s="9" t="s">
        <v>51</v>
      </c>
      <c r="O263" s="9" t="s">
        <v>228</v>
      </c>
      <c r="P263" s="9" t="n">
        <v>351470</v>
      </c>
      <c r="Q263" s="9" t="n">
        <v>216997</v>
      </c>
      <c r="R263" s="10" t="n">
        <f aca="false">(Q263/P263)*100</f>
        <v>61.7398355478419</v>
      </c>
      <c r="S263" s="9" t="n">
        <f aca="false">Y263-AD263</f>
        <v>19169</v>
      </c>
      <c r="T263" s="10" t="n">
        <f aca="false">(S263/Q263)*100</f>
        <v>8.83376267874671</v>
      </c>
      <c r="U263" s="10" t="n">
        <f aca="false">Z263+AE263</f>
        <v>80.4550293322027</v>
      </c>
      <c r="V263" s="9" t="s">
        <v>52</v>
      </c>
      <c r="W263" s="9" t="s">
        <v>53</v>
      </c>
      <c r="X263" s="9" t="s">
        <v>1554</v>
      </c>
      <c r="Y263" s="9" t="n">
        <v>96877</v>
      </c>
      <c r="Z263" s="10" t="n">
        <f aca="false">(Y263/Q263)*100</f>
        <v>44.6443960054747</v>
      </c>
      <c r="AA263" s="9" t="s">
        <v>55</v>
      </c>
      <c r="AB263" s="9" t="s">
        <v>68</v>
      </c>
      <c r="AC263" s="9" t="s">
        <v>1555</v>
      </c>
      <c r="AD263" s="9" t="n">
        <v>77708</v>
      </c>
      <c r="AE263" s="10" t="n">
        <f aca="false">(AD263/Q263)*100</f>
        <v>35.810633326728</v>
      </c>
      <c r="AF263" s="9" t="s">
        <v>1431</v>
      </c>
      <c r="AG263" s="9" t="s">
        <v>171</v>
      </c>
      <c r="AH263" s="9" t="s">
        <v>1556</v>
      </c>
      <c r="AI263" s="9" t="n">
        <v>12806</v>
      </c>
      <c r="AJ263" s="10" t="n">
        <f aca="false">(AI263/Q263)*100</f>
        <v>5.90146407554022</v>
      </c>
      <c r="AK263" s="9" t="s">
        <v>1429</v>
      </c>
      <c r="AL263" s="9" t="s">
        <v>61</v>
      </c>
      <c r="AM263" s="9" t="s">
        <v>1557</v>
      </c>
      <c r="AN263" s="9" t="n">
        <v>12291</v>
      </c>
      <c r="AO263" s="10" t="n">
        <f aca="false">(AN263/Q263)*100</f>
        <v>5.66413360553372</v>
      </c>
      <c r="AP263" s="9" t="s">
        <v>1427</v>
      </c>
      <c r="AQ263" s="9" t="s">
        <v>56</v>
      </c>
      <c r="AR263" s="9" t="s">
        <v>1558</v>
      </c>
      <c r="AS263" s="9" t="n">
        <v>7194</v>
      </c>
      <c r="AT263" s="10" t="n">
        <f aca="false">(AS263/Q263)*100</f>
        <v>3.31525320626553</v>
      </c>
    </row>
    <row r="264" customFormat="false" ht="12.8" hidden="false" customHeight="true" outlineLevel="0" collapsed="false">
      <c r="A264" s="33" t="n">
        <v>2016</v>
      </c>
      <c r="B264" s="8" t="n">
        <v>29</v>
      </c>
      <c r="C264" s="9" t="s">
        <v>233</v>
      </c>
      <c r="D264" s="9" t="s">
        <v>234</v>
      </c>
      <c r="E264" s="9" t="s">
        <v>48</v>
      </c>
      <c r="F264" s="9" t="s">
        <v>49</v>
      </c>
      <c r="G264" s="9" t="s">
        <v>77</v>
      </c>
      <c r="H264" s="9" t="s">
        <v>65</v>
      </c>
      <c r="I264" s="9" t="s">
        <v>51</v>
      </c>
      <c r="J264" s="9" t="s">
        <v>51</v>
      </c>
      <c r="K264" s="9" t="s">
        <v>51</v>
      </c>
      <c r="L264" s="9" t="s">
        <v>51</v>
      </c>
      <c r="M264" s="9" t="s">
        <v>51</v>
      </c>
      <c r="N264" s="9" t="s">
        <v>51</v>
      </c>
      <c r="O264" s="9" t="s">
        <v>51</v>
      </c>
      <c r="P264" s="9" t="n">
        <v>306296</v>
      </c>
      <c r="Q264" s="9" t="n">
        <v>236142</v>
      </c>
      <c r="R264" s="10" t="n">
        <f aca="false">(Q264/P264)*100</f>
        <v>77.0960117010996</v>
      </c>
      <c r="S264" s="9" t="n">
        <f aca="false">Y264-AD264</f>
        <v>10716</v>
      </c>
      <c r="T264" s="10" t="n">
        <f aca="false">(S264/Q264)*100</f>
        <v>4.53794750616155</v>
      </c>
      <c r="U264" s="10" t="n">
        <f aca="false">Z264+AE264</f>
        <v>81.0046497446452</v>
      </c>
      <c r="V264" s="9" t="s">
        <v>55</v>
      </c>
      <c r="W264" s="9" t="s">
        <v>68</v>
      </c>
      <c r="X264" s="9" t="s">
        <v>1559</v>
      </c>
      <c r="Y264" s="9" t="n">
        <v>101001</v>
      </c>
      <c r="Z264" s="10" t="n">
        <f aca="false">(Y264/Q264)*100</f>
        <v>42.7712986254034</v>
      </c>
      <c r="AA264" s="9" t="s">
        <v>52</v>
      </c>
      <c r="AB264" s="9" t="s">
        <v>66</v>
      </c>
      <c r="AC264" s="9" t="s">
        <v>1560</v>
      </c>
      <c r="AD264" s="9" t="n">
        <v>90285</v>
      </c>
      <c r="AE264" s="10" t="n">
        <f aca="false">(AD264/Q264)*100</f>
        <v>38.2333511192418</v>
      </c>
      <c r="AF264" s="9" t="s">
        <v>1427</v>
      </c>
      <c r="AG264" s="9" t="s">
        <v>56</v>
      </c>
      <c r="AH264" s="9" t="s">
        <v>1561</v>
      </c>
      <c r="AI264" s="9" t="n">
        <v>18185</v>
      </c>
      <c r="AJ264" s="10" t="n">
        <f aca="false">(AI264/Q264)*100</f>
        <v>7.70087489730755</v>
      </c>
      <c r="AK264" s="9" t="s">
        <v>1429</v>
      </c>
      <c r="AL264" s="9" t="s">
        <v>257</v>
      </c>
      <c r="AM264" s="9" t="s">
        <v>1562</v>
      </c>
      <c r="AN264" s="9" t="n">
        <v>13679</v>
      </c>
      <c r="AO264" s="10" t="n">
        <f aca="false">(AN264/Q264)*100</f>
        <v>5.79270100193951</v>
      </c>
      <c r="AP264" s="9" t="s">
        <v>1431</v>
      </c>
      <c r="AQ264" s="9" t="s">
        <v>171</v>
      </c>
      <c r="AR264" s="9" t="s">
        <v>1563</v>
      </c>
      <c r="AS264" s="9" t="n">
        <v>3939</v>
      </c>
      <c r="AT264" s="10" t="n">
        <f aca="false">(AS264/Q264)*100</f>
        <v>1.66806413090429</v>
      </c>
    </row>
    <row r="265" customFormat="false" ht="12.8" hidden="false" customHeight="true" outlineLevel="0" collapsed="false">
      <c r="A265" s="33" t="n">
        <v>2016</v>
      </c>
      <c r="B265" s="8" t="n">
        <v>30</v>
      </c>
      <c r="C265" s="9" t="s">
        <v>240</v>
      </c>
      <c r="D265" s="9" t="s">
        <v>241</v>
      </c>
      <c r="E265" s="9" t="s">
        <v>48</v>
      </c>
      <c r="F265" s="9" t="s">
        <v>49</v>
      </c>
      <c r="G265" s="9" t="s">
        <v>88</v>
      </c>
      <c r="H265" s="9" t="s">
        <v>51</v>
      </c>
      <c r="I265" s="9" t="s">
        <v>51</v>
      </c>
      <c r="J265" s="9" t="s">
        <v>51</v>
      </c>
      <c r="K265" s="9" t="s">
        <v>51</v>
      </c>
      <c r="L265" s="9" t="s">
        <v>51</v>
      </c>
      <c r="M265" s="9" t="s">
        <v>51</v>
      </c>
      <c r="N265" s="9" t="s">
        <v>51</v>
      </c>
      <c r="O265" s="9" t="s">
        <v>51</v>
      </c>
      <c r="P265" s="9" t="n">
        <v>406839</v>
      </c>
      <c r="Q265" s="9" t="n">
        <v>251204</v>
      </c>
      <c r="R265" s="10" t="n">
        <f aca="false">(Q265/P265)*100</f>
        <v>61.7453095696332</v>
      </c>
      <c r="S265" s="9" t="n">
        <f aca="false">Y265-AD265</f>
        <v>22165</v>
      </c>
      <c r="T265" s="10" t="n">
        <f aca="false">(S265/Q265)*100</f>
        <v>8.82350599512747</v>
      </c>
      <c r="U265" s="10" t="n">
        <f aca="false">Z265+AE265</f>
        <v>81.0564322224168</v>
      </c>
      <c r="V265" s="9" t="s">
        <v>52</v>
      </c>
      <c r="W265" s="9" t="s">
        <v>53</v>
      </c>
      <c r="X265" s="9" t="s">
        <v>1564</v>
      </c>
      <c r="Y265" s="9" t="n">
        <v>112891</v>
      </c>
      <c r="Z265" s="10" t="n">
        <f aca="false">(Y265/Q265)*100</f>
        <v>44.9399691087722</v>
      </c>
      <c r="AA265" s="9" t="s">
        <v>55</v>
      </c>
      <c r="AB265" s="9" t="s">
        <v>68</v>
      </c>
      <c r="AC265" s="9" t="s">
        <v>1565</v>
      </c>
      <c r="AD265" s="9" t="n">
        <v>90726</v>
      </c>
      <c r="AE265" s="10" t="n">
        <f aca="false">(AD265/Q265)*100</f>
        <v>36.1164631136447</v>
      </c>
      <c r="AF265" s="9" t="s">
        <v>1429</v>
      </c>
      <c r="AG265" s="9" t="s">
        <v>271</v>
      </c>
      <c r="AH265" s="9" t="s">
        <v>1566</v>
      </c>
      <c r="AI265" s="9" t="n">
        <v>14083</v>
      </c>
      <c r="AJ265" s="10" t="n">
        <f aca="false">(AI265/Q265)*100</f>
        <v>5.60620053820799</v>
      </c>
      <c r="AK265" s="9" t="s">
        <v>1431</v>
      </c>
      <c r="AL265" s="9" t="s">
        <v>171</v>
      </c>
      <c r="AM265" s="9" t="s">
        <v>1567</v>
      </c>
      <c r="AN265" s="9" t="n">
        <v>11781</v>
      </c>
      <c r="AO265" s="10" t="n">
        <f aca="false">(AN265/Q265)*100</f>
        <v>4.68981385646725</v>
      </c>
      <c r="AP265" s="9" t="s">
        <v>1427</v>
      </c>
      <c r="AQ265" s="9" t="s">
        <v>56</v>
      </c>
      <c r="AR265" s="9" t="s">
        <v>1568</v>
      </c>
      <c r="AS265" s="9" t="n">
        <v>9339</v>
      </c>
      <c r="AT265" s="10" t="n">
        <f aca="false">(AS265/Q265)*100</f>
        <v>3.71769557809589</v>
      </c>
    </row>
    <row r="266" customFormat="false" ht="12.8" hidden="false" customHeight="true" outlineLevel="0" collapsed="false">
      <c r="A266" s="33" t="n">
        <v>2016</v>
      </c>
      <c r="B266" s="8" t="n">
        <v>31</v>
      </c>
      <c r="C266" s="9" t="s">
        <v>246</v>
      </c>
      <c r="D266" s="9" t="s">
        <v>241</v>
      </c>
      <c r="E266" s="9" t="s">
        <v>48</v>
      </c>
      <c r="F266" s="9" t="s">
        <v>49</v>
      </c>
      <c r="G266" s="9" t="s">
        <v>88</v>
      </c>
      <c r="H266" s="9" t="s">
        <v>51</v>
      </c>
      <c r="I266" s="9" t="s">
        <v>51</v>
      </c>
      <c r="J266" s="9" t="s">
        <v>51</v>
      </c>
      <c r="K266" s="9" t="s">
        <v>51</v>
      </c>
      <c r="L266" s="9" t="s">
        <v>51</v>
      </c>
      <c r="M266" s="9" t="s">
        <v>51</v>
      </c>
      <c r="N266" s="9" t="s">
        <v>51</v>
      </c>
      <c r="O266" s="9" t="s">
        <v>51</v>
      </c>
      <c r="P266" s="9" t="n">
        <v>381359</v>
      </c>
      <c r="Q266" s="9" t="n">
        <v>235355</v>
      </c>
      <c r="R266" s="10" t="n">
        <f aca="false">(Q266/P266)*100</f>
        <v>61.7148146497133</v>
      </c>
      <c r="S266" s="9" t="n">
        <f aca="false">Y266-AD266</f>
        <v>14445</v>
      </c>
      <c r="T266" s="10" t="n">
        <f aca="false">(S266/Q266)*100</f>
        <v>6.13753691232394</v>
      </c>
      <c r="U266" s="10" t="n">
        <f aca="false">Z266+AE266</f>
        <v>80.3998215461749</v>
      </c>
      <c r="V266" s="9" t="s">
        <v>52</v>
      </c>
      <c r="W266" s="9" t="s">
        <v>53</v>
      </c>
      <c r="X266" s="9" t="s">
        <v>1569</v>
      </c>
      <c r="Y266" s="9" t="n">
        <v>101835</v>
      </c>
      <c r="Z266" s="10" t="n">
        <f aca="false">(Y266/Q266)*100</f>
        <v>43.2686792292494</v>
      </c>
      <c r="AA266" s="9" t="s">
        <v>55</v>
      </c>
      <c r="AB266" s="9" t="s">
        <v>68</v>
      </c>
      <c r="AC266" s="9" t="s">
        <v>1570</v>
      </c>
      <c r="AD266" s="9" t="n">
        <v>87390</v>
      </c>
      <c r="AE266" s="10" t="n">
        <f aca="false">(AD266/Q266)*100</f>
        <v>37.1311423169255</v>
      </c>
      <c r="AF266" s="9" t="s">
        <v>1429</v>
      </c>
      <c r="AG266" s="9" t="s">
        <v>61</v>
      </c>
      <c r="AH266" s="9" t="s">
        <v>1571</v>
      </c>
      <c r="AI266" s="9" t="n">
        <v>14559</v>
      </c>
      <c r="AJ266" s="10" t="n">
        <f aca="false">(AI266/Q266)*100</f>
        <v>6.1859743791294</v>
      </c>
      <c r="AK266" s="9" t="s">
        <v>1431</v>
      </c>
      <c r="AL266" s="9" t="s">
        <v>171</v>
      </c>
      <c r="AM266" s="9" t="s">
        <v>1572</v>
      </c>
      <c r="AN266" s="9" t="n">
        <v>10327</v>
      </c>
      <c r="AO266" s="10" t="n">
        <f aca="false">(AN266/Q266)*100</f>
        <v>4.38783964649147</v>
      </c>
      <c r="AP266" s="12" t="s">
        <v>1427</v>
      </c>
      <c r="AQ266" s="9" t="s">
        <v>56</v>
      </c>
      <c r="AR266" s="9" t="s">
        <v>1573</v>
      </c>
      <c r="AS266" s="9" t="n">
        <v>7631</v>
      </c>
      <c r="AT266" s="10" t="n">
        <f aca="false">(AS266/Q266)*100</f>
        <v>3.24233604554821</v>
      </c>
    </row>
    <row r="267" customFormat="false" ht="12.8" hidden="false" customHeight="true" outlineLevel="0" collapsed="false">
      <c r="A267" s="33" t="n">
        <v>2016</v>
      </c>
      <c r="B267" s="8" t="n">
        <v>32</v>
      </c>
      <c r="C267" s="9" t="s">
        <v>241</v>
      </c>
      <c r="D267" s="9" t="s">
        <v>241</v>
      </c>
      <c r="E267" s="9" t="s">
        <v>48</v>
      </c>
      <c r="F267" s="9" t="s">
        <v>49</v>
      </c>
      <c r="G267" s="9" t="s">
        <v>77</v>
      </c>
      <c r="H267" s="9" t="s">
        <v>51</v>
      </c>
      <c r="I267" s="9" t="s">
        <v>51</v>
      </c>
      <c r="J267" s="9" t="s">
        <v>51</v>
      </c>
      <c r="K267" s="9" t="s">
        <v>51</v>
      </c>
      <c r="L267" s="9" t="s">
        <v>68</v>
      </c>
      <c r="M267" s="9" t="s">
        <v>51</v>
      </c>
      <c r="N267" s="9" t="s">
        <v>51</v>
      </c>
      <c r="O267" s="9" t="s">
        <v>51</v>
      </c>
      <c r="P267" s="9" t="n">
        <v>371109</v>
      </c>
      <c r="Q267" s="9" t="n">
        <v>249774</v>
      </c>
      <c r="R267" s="10" t="n">
        <f aca="false">(Q267/P267)*100</f>
        <v>67.3047541288409</v>
      </c>
      <c r="S267" s="9" t="n">
        <f aca="false">Y267-AD267</f>
        <v>26292</v>
      </c>
      <c r="T267" s="10" t="n">
        <f aca="false">(S267/Q267)*100</f>
        <v>10.5263157894737</v>
      </c>
      <c r="U267" s="10" t="n">
        <f aca="false">Z267+AE267</f>
        <v>79.6952445010289</v>
      </c>
      <c r="V267" s="9" t="s">
        <v>52</v>
      </c>
      <c r="W267" s="9" t="s">
        <v>53</v>
      </c>
      <c r="X267" s="9" t="s">
        <v>1574</v>
      </c>
      <c r="Y267" s="9" t="n">
        <v>112675</v>
      </c>
      <c r="Z267" s="10" t="n">
        <f aca="false">(Y267/Q267)*100</f>
        <v>45.1107801452513</v>
      </c>
      <c r="AA267" s="9" t="s">
        <v>55</v>
      </c>
      <c r="AB267" s="9" t="s">
        <v>68</v>
      </c>
      <c r="AC267" s="9" t="s">
        <v>1575</v>
      </c>
      <c r="AD267" s="9" t="n">
        <v>86383</v>
      </c>
      <c r="AE267" s="10" t="n">
        <f aca="false">(AD267/Q267)*100</f>
        <v>34.5844643557776</v>
      </c>
      <c r="AF267" s="9" t="s">
        <v>1427</v>
      </c>
      <c r="AG267" s="9" t="s">
        <v>56</v>
      </c>
      <c r="AH267" s="9" t="s">
        <v>1576</v>
      </c>
      <c r="AI267" s="9" t="n">
        <v>20899</v>
      </c>
      <c r="AJ267" s="10" t="n">
        <f aca="false">(AI267/Q267)*100</f>
        <v>8.36716391618023</v>
      </c>
      <c r="AK267" s="9" t="s">
        <v>1429</v>
      </c>
      <c r="AL267" s="15" t="s">
        <v>61</v>
      </c>
      <c r="AM267" s="9" t="s">
        <v>1577</v>
      </c>
      <c r="AN267" s="9" t="n">
        <v>17438</v>
      </c>
      <c r="AO267" s="10" t="n">
        <f aca="false">(AN267/Q267)*100</f>
        <v>6.98151128620273</v>
      </c>
      <c r="AP267" s="12" t="s">
        <v>58</v>
      </c>
      <c r="AQ267" s="9" t="s">
        <v>58</v>
      </c>
      <c r="AR267" s="9" t="s">
        <v>1578</v>
      </c>
      <c r="AS267" s="9" t="n">
        <v>4035</v>
      </c>
      <c r="AT267" s="10" t="n">
        <f aca="false">(AS267/Q267)*100</f>
        <v>1.61546037618007</v>
      </c>
    </row>
    <row r="268" customFormat="false" ht="12.8" hidden="false" customHeight="true" outlineLevel="0" collapsed="false">
      <c r="A268" s="33" t="n">
        <v>2016</v>
      </c>
      <c r="B268" s="8" t="n">
        <v>33</v>
      </c>
      <c r="C268" s="9" t="s">
        <v>256</v>
      </c>
      <c r="D268" s="9" t="s">
        <v>241</v>
      </c>
      <c r="E268" s="9" t="s">
        <v>48</v>
      </c>
      <c r="F268" s="9" t="s">
        <v>49</v>
      </c>
      <c r="G268" s="9" t="s">
        <v>50</v>
      </c>
      <c r="H268" s="9" t="s">
        <v>51</v>
      </c>
      <c r="I268" s="9" t="s">
        <v>51</v>
      </c>
      <c r="J268" s="9" t="s">
        <v>51</v>
      </c>
      <c r="K268" s="9" t="s">
        <v>51</v>
      </c>
      <c r="L268" s="9" t="s">
        <v>51</v>
      </c>
      <c r="M268" s="9" t="s">
        <v>51</v>
      </c>
      <c r="N268" s="9" t="s">
        <v>51</v>
      </c>
      <c r="O268" s="9" t="s">
        <v>51</v>
      </c>
      <c r="P268" s="9" t="n">
        <v>254307</v>
      </c>
      <c r="Q268" s="9" t="n">
        <v>201141</v>
      </c>
      <c r="R268" s="10" t="n">
        <f aca="false">(Q268/P268)*100</f>
        <v>79.0937724875839</v>
      </c>
      <c r="S268" s="9" t="n">
        <f aca="false">Y268-AD268</f>
        <v>950</v>
      </c>
      <c r="T268" s="10" t="n">
        <f aca="false">(S268/Q268)*100</f>
        <v>0.472305497138823</v>
      </c>
      <c r="U268" s="10" t="n">
        <f aca="false">Z268+AE268</f>
        <v>69.3443902536032</v>
      </c>
      <c r="V268" s="9" t="s">
        <v>55</v>
      </c>
      <c r="W268" s="9" t="s">
        <v>68</v>
      </c>
      <c r="X268" s="9" t="s">
        <v>262</v>
      </c>
      <c r="Y268" s="9" t="n">
        <v>70215</v>
      </c>
      <c r="Z268" s="10" t="n">
        <f aca="false">(Y268/Q268)*100</f>
        <v>34.908347875371</v>
      </c>
      <c r="AA268" s="9" t="s">
        <v>52</v>
      </c>
      <c r="AB268" s="9" t="s">
        <v>53</v>
      </c>
      <c r="AC268" s="9" t="s">
        <v>1579</v>
      </c>
      <c r="AD268" s="9" t="n">
        <v>69265</v>
      </c>
      <c r="AE268" s="10" t="n">
        <f aca="false">(AD268/Q268)*100</f>
        <v>34.4360423782322</v>
      </c>
      <c r="AF268" s="9" t="s">
        <v>1427</v>
      </c>
      <c r="AG268" s="9" t="s">
        <v>56</v>
      </c>
      <c r="AH268" s="9" t="s">
        <v>1580</v>
      </c>
      <c r="AI268" s="9" t="n">
        <v>28125</v>
      </c>
      <c r="AJ268" s="10" t="n">
        <f aca="false">(AI268/Q268)*100</f>
        <v>13.9827285337152</v>
      </c>
      <c r="AK268" s="9" t="s">
        <v>1429</v>
      </c>
      <c r="AL268" s="9" t="s">
        <v>271</v>
      </c>
      <c r="AM268" s="9" t="s">
        <v>1581</v>
      </c>
      <c r="AN268" s="9" t="n">
        <v>25539</v>
      </c>
      <c r="AO268" s="10" t="n">
        <f aca="false">(AN268/Q268)*100</f>
        <v>12.6970632541352</v>
      </c>
      <c r="AP268" s="12" t="s">
        <v>1431</v>
      </c>
      <c r="AQ268" s="9" t="s">
        <v>171</v>
      </c>
      <c r="AR268" s="9" t="s">
        <v>1582</v>
      </c>
      <c r="AS268" s="9" t="n">
        <v>2605</v>
      </c>
      <c r="AT268" s="10" t="n">
        <f aca="false">(AS268/Q268)*100</f>
        <v>1.29511138952277</v>
      </c>
    </row>
    <row r="269" customFormat="false" ht="12.8" hidden="false" customHeight="true" outlineLevel="0" collapsed="false">
      <c r="A269" s="33" t="n">
        <v>2016</v>
      </c>
      <c r="B269" s="8" t="n">
        <v>34</v>
      </c>
      <c r="C269" s="9" t="s">
        <v>263</v>
      </c>
      <c r="D269" s="9" t="s">
        <v>241</v>
      </c>
      <c r="E269" s="9" t="s">
        <v>48</v>
      </c>
      <c r="F269" s="9" t="s">
        <v>49</v>
      </c>
      <c r="G269" s="9" t="s">
        <v>50</v>
      </c>
      <c r="H269" s="9" t="s">
        <v>65</v>
      </c>
      <c r="I269" s="9" t="s">
        <v>51</v>
      </c>
      <c r="J269" s="9" t="s">
        <v>51</v>
      </c>
      <c r="K269" s="9" t="s">
        <v>51</v>
      </c>
      <c r="L269" s="9" t="s">
        <v>51</v>
      </c>
      <c r="M269" s="9" t="s">
        <v>51</v>
      </c>
      <c r="N269" s="9" t="s">
        <v>51</v>
      </c>
      <c r="O269" s="9" t="s">
        <v>51</v>
      </c>
      <c r="P269" s="9" t="n">
        <v>211135</v>
      </c>
      <c r="Q269" s="9" t="n">
        <v>169134</v>
      </c>
      <c r="R269" s="10" t="n">
        <f aca="false">(Q269/P269)*100</f>
        <v>80.1070405190992</v>
      </c>
      <c r="S269" s="9" t="n">
        <f aca="false">Y269-AD269</f>
        <v>304</v>
      </c>
      <c r="T269" s="10" t="n">
        <f aca="false">(S269/Q269)*100</f>
        <v>0.179739141745598</v>
      </c>
      <c r="U269" s="10" t="n">
        <f aca="false">Z269+AE269</f>
        <v>74.8447976160914</v>
      </c>
      <c r="V269" s="9" t="s">
        <v>52</v>
      </c>
      <c r="W269" s="9" t="s">
        <v>53</v>
      </c>
      <c r="X269" s="9" t="s">
        <v>1583</v>
      </c>
      <c r="Y269" s="9" t="n">
        <v>63446</v>
      </c>
      <c r="Z269" s="10" t="n">
        <f aca="false">(Y269/Q269)*100</f>
        <v>37.5122683789185</v>
      </c>
      <c r="AA269" s="9" t="s">
        <v>55</v>
      </c>
      <c r="AB269" s="9" t="s">
        <v>68</v>
      </c>
      <c r="AC269" s="9" t="s">
        <v>1584</v>
      </c>
      <c r="AD269" s="9" t="n">
        <v>63142</v>
      </c>
      <c r="AE269" s="10" t="n">
        <f aca="false">(AD269/Q269)*100</f>
        <v>37.3325292371729</v>
      </c>
      <c r="AF269" s="9" t="s">
        <v>1429</v>
      </c>
      <c r="AG269" s="9" t="s">
        <v>257</v>
      </c>
      <c r="AH269" s="9" t="s">
        <v>1585</v>
      </c>
      <c r="AI269" s="9" t="n">
        <v>17927</v>
      </c>
      <c r="AJ269" s="10" t="n">
        <f aca="false">(AI269/Q269)*100</f>
        <v>10.5992881383991</v>
      </c>
      <c r="AK269" s="9" t="s">
        <v>1427</v>
      </c>
      <c r="AL269" s="9" t="s">
        <v>56</v>
      </c>
      <c r="AM269" s="9" t="s">
        <v>1586</v>
      </c>
      <c r="AN269" s="9" t="n">
        <v>17892</v>
      </c>
      <c r="AO269" s="10" t="n">
        <f aca="false">(AN269/Q269)*100</f>
        <v>10.5785944872113</v>
      </c>
      <c r="AP269" s="9" t="s">
        <v>63</v>
      </c>
      <c r="AQ269" s="9" t="s">
        <v>63</v>
      </c>
      <c r="AR269" s="9" t="s">
        <v>63</v>
      </c>
      <c r="AS269" s="9" t="n">
        <v>1827</v>
      </c>
      <c r="AT269" s="10" t="n">
        <f aca="false">(AS269/Q269)*100</f>
        <v>1.08020859200397</v>
      </c>
    </row>
    <row r="270" customFormat="false" ht="12.8" hidden="false" customHeight="true" outlineLevel="0" collapsed="false">
      <c r="A270" s="33" t="n">
        <v>2016</v>
      </c>
      <c r="B270" s="8" t="n">
        <v>35</v>
      </c>
      <c r="C270" s="9" t="s">
        <v>269</v>
      </c>
      <c r="D270" s="9" t="s">
        <v>241</v>
      </c>
      <c r="E270" s="9" t="s">
        <v>48</v>
      </c>
      <c r="F270" s="9" t="s">
        <v>49</v>
      </c>
      <c r="G270" s="9" t="s">
        <v>77</v>
      </c>
      <c r="H270" s="9" t="s">
        <v>65</v>
      </c>
      <c r="I270" s="9" t="s">
        <v>51</v>
      </c>
      <c r="J270" s="9" t="s">
        <v>51</v>
      </c>
      <c r="K270" s="9" t="s">
        <v>51</v>
      </c>
      <c r="L270" s="9" t="s">
        <v>51</v>
      </c>
      <c r="M270" s="9" t="s">
        <v>51</v>
      </c>
      <c r="N270" s="9" t="s">
        <v>51</v>
      </c>
      <c r="O270" s="9" t="s">
        <v>51</v>
      </c>
      <c r="P270" s="9" t="n">
        <v>218831</v>
      </c>
      <c r="Q270" s="9" t="n">
        <v>177879</v>
      </c>
      <c r="R270" s="10" t="n">
        <f aca="false">(Q270/P270)*100</f>
        <v>81.2860152355014</v>
      </c>
      <c r="S270" s="9" t="n">
        <f aca="false">Y270-AD270</f>
        <v>2957</v>
      </c>
      <c r="T270" s="10" t="n">
        <f aca="false">(S270/Q270)*100</f>
        <v>1.66236599036424</v>
      </c>
      <c r="U270" s="10" t="n">
        <f aca="false">Z270+AE270</f>
        <v>81.1950820501577</v>
      </c>
      <c r="V270" s="9" t="s">
        <v>52</v>
      </c>
      <c r="W270" s="9" t="s">
        <v>53</v>
      </c>
      <c r="X270" s="9" t="s">
        <v>1587</v>
      </c>
      <c r="Y270" s="9" t="n">
        <v>73693</v>
      </c>
      <c r="Z270" s="10" t="n">
        <f aca="false">(Y270/Q270)*100</f>
        <v>41.428724020261</v>
      </c>
      <c r="AA270" s="9" t="s">
        <v>55</v>
      </c>
      <c r="AB270" s="9" t="s">
        <v>68</v>
      </c>
      <c r="AC270" s="9" t="s">
        <v>1588</v>
      </c>
      <c r="AD270" s="9" t="n">
        <v>70736</v>
      </c>
      <c r="AE270" s="10" t="n">
        <f aca="false">(AD270/Q270)*100</f>
        <v>39.7663580298967</v>
      </c>
      <c r="AF270" s="9" t="s">
        <v>1427</v>
      </c>
      <c r="AG270" s="9" t="s">
        <v>56</v>
      </c>
      <c r="AH270" s="9" t="s">
        <v>1589</v>
      </c>
      <c r="AI270" s="9" t="n">
        <v>16215</v>
      </c>
      <c r="AJ270" s="10" t="n">
        <f aca="false">(AI270/Q270)*100</f>
        <v>9.1157472214258</v>
      </c>
      <c r="AK270" s="9" t="s">
        <v>1429</v>
      </c>
      <c r="AL270" s="9" t="s">
        <v>61</v>
      </c>
      <c r="AM270" s="9" t="s">
        <v>1590</v>
      </c>
      <c r="AN270" s="9" t="n">
        <v>11773</v>
      </c>
      <c r="AO270" s="10" t="n">
        <f aca="false">(AN270/Q270)*100</f>
        <v>6.61854406647215</v>
      </c>
      <c r="AP270" s="9" t="s">
        <v>63</v>
      </c>
      <c r="AQ270" s="9" t="s">
        <v>63</v>
      </c>
      <c r="AR270" s="9" t="s">
        <v>63</v>
      </c>
      <c r="AS270" s="9" t="n">
        <v>1525</v>
      </c>
      <c r="AT270" s="10" t="n">
        <f aca="false">(AS270/Q270)*100</f>
        <v>0.857324360941989</v>
      </c>
    </row>
    <row r="271" customFormat="false" ht="12.8" hidden="false" customHeight="true" outlineLevel="0" collapsed="false">
      <c r="A271" s="33" t="n">
        <v>2016</v>
      </c>
      <c r="B271" s="8" t="n">
        <v>36</v>
      </c>
      <c r="C271" s="9" t="s">
        <v>276</v>
      </c>
      <c r="D271" s="9" t="s">
        <v>234</v>
      </c>
      <c r="E271" s="9" t="s">
        <v>48</v>
      </c>
      <c r="F271" s="9" t="s">
        <v>49</v>
      </c>
      <c r="G271" s="9" t="s">
        <v>50</v>
      </c>
      <c r="H271" s="9" t="s">
        <v>51</v>
      </c>
      <c r="I271" s="9" t="s">
        <v>51</v>
      </c>
      <c r="J271" s="9" t="s">
        <v>51</v>
      </c>
      <c r="K271" s="9" t="s">
        <v>53</v>
      </c>
      <c r="L271" s="9" t="s">
        <v>51</v>
      </c>
      <c r="M271" s="9" t="s">
        <v>51</v>
      </c>
      <c r="N271" s="9" t="s">
        <v>51</v>
      </c>
      <c r="O271" s="9" t="s">
        <v>51</v>
      </c>
      <c r="P271" s="9" t="n">
        <v>239472</v>
      </c>
      <c r="Q271" s="9" t="n">
        <v>198773</v>
      </c>
      <c r="R271" s="10" t="n">
        <f aca="false">(Q271/P271)*100</f>
        <v>83.004693659384</v>
      </c>
      <c r="S271" s="9" t="n">
        <f aca="false">Y271-AD271</f>
        <v>12156</v>
      </c>
      <c r="T271" s="10" t="n">
        <f aca="false">(S271/Q271)*100</f>
        <v>6.1155187072691</v>
      </c>
      <c r="U271" s="10" t="n">
        <f aca="false">Z271+AE271</f>
        <v>79.9253419730044</v>
      </c>
      <c r="V271" s="9" t="s">
        <v>52</v>
      </c>
      <c r="W271" s="9" t="s">
        <v>53</v>
      </c>
      <c r="X271" s="9" t="s">
        <v>1591</v>
      </c>
      <c r="Y271" s="9" t="n">
        <v>85513</v>
      </c>
      <c r="Z271" s="10" t="n">
        <f aca="false">(Y271/Q271)*100</f>
        <v>43.0204303401367</v>
      </c>
      <c r="AA271" s="9" t="s">
        <v>55</v>
      </c>
      <c r="AB271" s="9" t="s">
        <v>68</v>
      </c>
      <c r="AC271" s="9" t="s">
        <v>1592</v>
      </c>
      <c r="AD271" s="9" t="n">
        <v>73357</v>
      </c>
      <c r="AE271" s="10" t="n">
        <f aca="false">(AD271/Q271)*100</f>
        <v>36.9049116328676</v>
      </c>
      <c r="AF271" s="9" t="s">
        <v>1427</v>
      </c>
      <c r="AG271" s="9" t="s">
        <v>56</v>
      </c>
      <c r="AH271" s="9" t="s">
        <v>1593</v>
      </c>
      <c r="AI271" s="9" t="n">
        <v>24221</v>
      </c>
      <c r="AJ271" s="10" t="n">
        <f aca="false">(AI271/Q271)*100</f>
        <v>12.1852565489277</v>
      </c>
      <c r="AK271" s="9" t="s">
        <v>1429</v>
      </c>
      <c r="AL271" s="9" t="s">
        <v>61</v>
      </c>
      <c r="AM271" s="9" t="s">
        <v>1594</v>
      </c>
      <c r="AN271" s="9" t="n">
        <v>9184</v>
      </c>
      <c r="AO271" s="10" t="n">
        <f aca="false">(AN271/Q271)*100</f>
        <v>4.62034582161561</v>
      </c>
      <c r="AP271" s="9" t="s">
        <v>63</v>
      </c>
      <c r="AQ271" s="9" t="s">
        <v>63</v>
      </c>
      <c r="AR271" s="9" t="s">
        <v>63</v>
      </c>
      <c r="AS271" s="9" t="n">
        <v>1647</v>
      </c>
      <c r="AT271" s="10" t="n">
        <f aca="false">(AS271/Q271)*100</f>
        <v>0.828583358906894</v>
      </c>
    </row>
    <row r="272" customFormat="false" ht="12.8" hidden="false" customHeight="true" outlineLevel="0" collapsed="false">
      <c r="A272" s="33" t="n">
        <v>2016</v>
      </c>
      <c r="B272" s="8" t="n">
        <v>37</v>
      </c>
      <c r="C272" s="9" t="s">
        <v>234</v>
      </c>
      <c r="D272" s="9" t="s">
        <v>234</v>
      </c>
      <c r="E272" s="9" t="s">
        <v>48</v>
      </c>
      <c r="F272" s="9" t="s">
        <v>49</v>
      </c>
      <c r="G272" s="9" t="s">
        <v>88</v>
      </c>
      <c r="H272" s="9" t="s">
        <v>51</v>
      </c>
      <c r="I272" s="9" t="s">
        <v>51</v>
      </c>
      <c r="J272" s="9" t="s">
        <v>51</v>
      </c>
      <c r="K272" s="9" t="s">
        <v>51</v>
      </c>
      <c r="L272" s="9" t="s">
        <v>51</v>
      </c>
      <c r="M272" s="9" t="s">
        <v>51</v>
      </c>
      <c r="N272" s="9" t="s">
        <v>51</v>
      </c>
      <c r="O272" s="9" t="s">
        <v>282</v>
      </c>
      <c r="P272" s="9" t="n">
        <v>296893</v>
      </c>
      <c r="Q272" s="9" t="n">
        <v>224112</v>
      </c>
      <c r="R272" s="10" t="n">
        <f aca="false">(Q272/P272)*100</f>
        <v>75.4857810726423</v>
      </c>
      <c r="S272" s="9" t="n">
        <f aca="false">Y272-AD272</f>
        <v>7548</v>
      </c>
      <c r="T272" s="10" t="n">
        <f aca="false">(S272/Q272)*100</f>
        <v>3.36795887770401</v>
      </c>
      <c r="U272" s="10" t="n">
        <f aca="false">Z272+AE272</f>
        <v>77.4246805168844</v>
      </c>
      <c r="V272" s="9" t="s">
        <v>52</v>
      </c>
      <c r="W272" s="9" t="s">
        <v>53</v>
      </c>
      <c r="X272" s="9" t="s">
        <v>1595</v>
      </c>
      <c r="Y272" s="9" t="n">
        <v>90533</v>
      </c>
      <c r="Z272" s="10" t="n">
        <f aca="false">(Y272/Q272)*100</f>
        <v>40.3963196972942</v>
      </c>
      <c r="AA272" s="9" t="s">
        <v>55</v>
      </c>
      <c r="AB272" s="9" t="s">
        <v>68</v>
      </c>
      <c r="AC272" s="9" t="s">
        <v>1596</v>
      </c>
      <c r="AD272" s="9" t="n">
        <v>82985</v>
      </c>
      <c r="AE272" s="10" t="n">
        <f aca="false">(AD272/Q272)*100</f>
        <v>37.0283608195902</v>
      </c>
      <c r="AF272" s="9" t="s">
        <v>1427</v>
      </c>
      <c r="AG272" s="9" t="s">
        <v>56</v>
      </c>
      <c r="AH272" s="9" t="s">
        <v>1597</v>
      </c>
      <c r="AI272" s="9" t="n">
        <v>30102</v>
      </c>
      <c r="AJ272" s="10" t="n">
        <f aca="false">(AI272/Q272)*100</f>
        <v>13.4316770186335</v>
      </c>
      <c r="AK272" s="9" t="s">
        <v>1429</v>
      </c>
      <c r="AL272" s="9" t="s">
        <v>61</v>
      </c>
      <c r="AM272" s="9" t="s">
        <v>1598</v>
      </c>
      <c r="AN272" s="9" t="n">
        <v>8986</v>
      </c>
      <c r="AO272" s="10" t="n">
        <f aca="false">(AN272/Q272)*100</f>
        <v>4.0096023416863</v>
      </c>
      <c r="AP272" s="9" t="s">
        <v>1431</v>
      </c>
      <c r="AQ272" s="9" t="s">
        <v>171</v>
      </c>
      <c r="AR272" s="9" t="s">
        <v>1599</v>
      </c>
      <c r="AS272" s="9" t="n">
        <v>3646</v>
      </c>
      <c r="AT272" s="10" t="n">
        <f aca="false">(AS272/Q272)*100</f>
        <v>1.62686513885914</v>
      </c>
    </row>
    <row r="273" customFormat="false" ht="12.8" hidden="false" customHeight="true" outlineLevel="0" collapsed="false">
      <c r="A273" s="33" t="n">
        <v>2016</v>
      </c>
      <c r="B273" s="8" t="n">
        <v>38</v>
      </c>
      <c r="C273" s="9" t="s">
        <v>287</v>
      </c>
      <c r="D273" s="9" t="s">
        <v>288</v>
      </c>
      <c r="E273" s="9" t="s">
        <v>48</v>
      </c>
      <c r="F273" s="9" t="s">
        <v>289</v>
      </c>
      <c r="G273" s="9" t="s">
        <v>77</v>
      </c>
      <c r="H273" s="9" t="s">
        <v>65</v>
      </c>
      <c r="I273" s="9" t="s">
        <v>51</v>
      </c>
      <c r="J273" s="9" t="s">
        <v>51</v>
      </c>
      <c r="K273" s="9" t="s">
        <v>68</v>
      </c>
      <c r="L273" s="9" t="s">
        <v>51</v>
      </c>
      <c r="M273" s="9" t="s">
        <v>68</v>
      </c>
      <c r="N273" s="9" t="s">
        <v>51</v>
      </c>
      <c r="O273" s="9" t="s">
        <v>51</v>
      </c>
      <c r="P273" s="9" t="n">
        <v>219621</v>
      </c>
      <c r="Q273" s="9" t="n">
        <v>165441</v>
      </c>
      <c r="R273" s="10" t="n">
        <f aca="false">(Q273/P273)*100</f>
        <v>75.3302279836628</v>
      </c>
      <c r="S273" s="9" t="n">
        <f aca="false">Y273-AD273</f>
        <v>4161</v>
      </c>
      <c r="T273" s="10" t="n">
        <f aca="false">(S273/Q273)*100</f>
        <v>2.51509601610242</v>
      </c>
      <c r="U273" s="10" t="n">
        <f aca="false">Z273+AE273</f>
        <v>79.9022007845697</v>
      </c>
      <c r="V273" s="9" t="s">
        <v>55</v>
      </c>
      <c r="W273" s="9" t="s">
        <v>68</v>
      </c>
      <c r="X273" s="9" t="s">
        <v>1600</v>
      </c>
      <c r="Y273" s="9" t="n">
        <v>68176</v>
      </c>
      <c r="Z273" s="10" t="n">
        <f aca="false">(Y273/Q273)*100</f>
        <v>41.2086484003361</v>
      </c>
      <c r="AA273" s="9" t="s">
        <v>52</v>
      </c>
      <c r="AB273" s="9" t="s">
        <v>53</v>
      </c>
      <c r="AC273" s="9" t="s">
        <v>1601</v>
      </c>
      <c r="AD273" s="9" t="n">
        <v>64015</v>
      </c>
      <c r="AE273" s="10" t="n">
        <f aca="false">(AD273/Q273)*100</f>
        <v>38.6935523842337</v>
      </c>
      <c r="AF273" s="9" t="s">
        <v>1427</v>
      </c>
      <c r="AG273" s="9" t="s">
        <v>56</v>
      </c>
      <c r="AH273" s="9" t="s">
        <v>1602</v>
      </c>
      <c r="AI273" s="9" t="n">
        <v>20130</v>
      </c>
      <c r="AJ273" s="10" t="n">
        <f aca="false">(AI273/Q273)*100</f>
        <v>12.1674796453116</v>
      </c>
      <c r="AK273" s="9" t="s">
        <v>1429</v>
      </c>
      <c r="AL273" s="9" t="s">
        <v>257</v>
      </c>
      <c r="AM273" s="9" t="s">
        <v>1603</v>
      </c>
      <c r="AN273" s="9" t="n">
        <v>5213</v>
      </c>
      <c r="AO273" s="10" t="n">
        <f aca="false">(AN273/Q273)*100</f>
        <v>3.15097224992596</v>
      </c>
      <c r="AP273" s="9" t="s">
        <v>63</v>
      </c>
      <c r="AQ273" s="9" t="s">
        <v>63</v>
      </c>
      <c r="AR273" s="9" t="s">
        <v>63</v>
      </c>
      <c r="AS273" s="9" t="n">
        <v>2049</v>
      </c>
      <c r="AT273" s="10" t="n">
        <f aca="false">(AS273/Q273)*100</f>
        <v>1.23850798774185</v>
      </c>
    </row>
    <row r="274" customFormat="false" ht="12.8" hidden="false" customHeight="true" outlineLevel="0" collapsed="false">
      <c r="A274" s="33" t="n">
        <v>2016</v>
      </c>
      <c r="B274" s="8" t="n">
        <v>39</v>
      </c>
      <c r="C274" s="9" t="s">
        <v>295</v>
      </c>
      <c r="D274" s="9" t="s">
        <v>288</v>
      </c>
      <c r="E274" s="9" t="s">
        <v>48</v>
      </c>
      <c r="F274" s="9" t="s">
        <v>289</v>
      </c>
      <c r="G274" s="9" t="s">
        <v>50</v>
      </c>
      <c r="H274" s="9" t="s">
        <v>51</v>
      </c>
      <c r="I274" s="9" t="s">
        <v>51</v>
      </c>
      <c r="J274" s="9" t="s">
        <v>51</v>
      </c>
      <c r="K274" s="9" t="s">
        <v>51</v>
      </c>
      <c r="L274" s="9" t="s">
        <v>51</v>
      </c>
      <c r="M274" s="9" t="s">
        <v>51</v>
      </c>
      <c r="N274" s="9" t="s">
        <v>51</v>
      </c>
      <c r="O274" s="9" t="s">
        <v>51</v>
      </c>
      <c r="P274" s="9" t="n">
        <v>257291</v>
      </c>
      <c r="Q274" s="9" t="n">
        <v>211064</v>
      </c>
      <c r="R274" s="10" t="n">
        <f aca="false">(Q274/P274)*100</f>
        <v>82.033184215538</v>
      </c>
      <c r="S274" s="9" t="n">
        <f aca="false">Y274-AD274</f>
        <v>9732</v>
      </c>
      <c r="T274" s="10" t="n">
        <f aca="false">(S274/Q274)*100</f>
        <v>4.61092370086798</v>
      </c>
      <c r="U274" s="10" t="n">
        <f aca="false">Z274+AE274</f>
        <v>68.969601637418</v>
      </c>
      <c r="V274" s="9" t="s">
        <v>55</v>
      </c>
      <c r="W274" s="9" t="s">
        <v>68</v>
      </c>
      <c r="X274" s="9" t="s">
        <v>1604</v>
      </c>
      <c r="Y274" s="9" t="n">
        <v>77651</v>
      </c>
      <c r="Z274" s="10" t="n">
        <f aca="false">(Y274/Q274)*100</f>
        <v>36.790262669143</v>
      </c>
      <c r="AA274" s="9" t="s">
        <v>52</v>
      </c>
      <c r="AB274" s="9" t="s">
        <v>66</v>
      </c>
      <c r="AC274" s="9" t="s">
        <v>1605</v>
      </c>
      <c r="AD274" s="9" t="n">
        <v>67919</v>
      </c>
      <c r="AE274" s="10" t="n">
        <f aca="false">(AD274/Q274)*100</f>
        <v>32.179338968275</v>
      </c>
      <c r="AF274" s="9" t="s">
        <v>1427</v>
      </c>
      <c r="AG274" s="9" t="s">
        <v>56</v>
      </c>
      <c r="AH274" s="9" t="s">
        <v>1606</v>
      </c>
      <c r="AI274" s="9" t="n">
        <v>50827</v>
      </c>
      <c r="AJ274" s="10" t="n">
        <f aca="false">(AI274/Q274)*100</f>
        <v>24.081321305386</v>
      </c>
      <c r="AK274" s="9" t="s">
        <v>1429</v>
      </c>
      <c r="AL274" s="9" t="s">
        <v>61</v>
      </c>
      <c r="AM274" s="9" t="s">
        <v>1607</v>
      </c>
      <c r="AN274" s="9" t="n">
        <v>6167</v>
      </c>
      <c r="AO274" s="10" t="n">
        <f aca="false">(AN274/Q274)*100</f>
        <v>2.92186256301406</v>
      </c>
      <c r="AP274" s="9" t="s">
        <v>63</v>
      </c>
      <c r="AQ274" s="9" t="s">
        <v>63</v>
      </c>
      <c r="AR274" s="9" t="s">
        <v>63</v>
      </c>
      <c r="AS274" s="9" t="n">
        <v>1691</v>
      </c>
      <c r="AT274" s="10" t="n">
        <f aca="false">(AS274/Q274)*100</f>
        <v>0.801178789371944</v>
      </c>
    </row>
    <row r="275" customFormat="false" ht="12.8" hidden="false" customHeight="true" outlineLevel="0" collapsed="false">
      <c r="A275" s="33" t="n">
        <v>2016</v>
      </c>
      <c r="B275" s="8" t="n">
        <v>40</v>
      </c>
      <c r="C275" s="9" t="s">
        <v>288</v>
      </c>
      <c r="D275" s="9" t="s">
        <v>288</v>
      </c>
      <c r="E275" s="9" t="s">
        <v>48</v>
      </c>
      <c r="F275" s="9" t="s">
        <v>289</v>
      </c>
      <c r="G275" s="9" t="s">
        <v>77</v>
      </c>
      <c r="H275" s="9" t="s">
        <v>51</v>
      </c>
      <c r="I275" s="9" t="s">
        <v>51</v>
      </c>
      <c r="J275" s="9" t="s">
        <v>51</v>
      </c>
      <c r="K275" s="9" t="s">
        <v>51</v>
      </c>
      <c r="L275" s="9" t="s">
        <v>51</v>
      </c>
      <c r="M275" s="9" t="s">
        <v>51</v>
      </c>
      <c r="N275" s="9" t="s">
        <v>51</v>
      </c>
      <c r="O275" s="9" t="s">
        <v>51</v>
      </c>
      <c r="P275" s="9" t="n">
        <v>247501</v>
      </c>
      <c r="Q275" s="9" t="n">
        <v>190742</v>
      </c>
      <c r="R275" s="10" t="n">
        <f aca="false">(Q275/P275)*100</f>
        <v>77.0671633649965</v>
      </c>
      <c r="S275" s="9" t="n">
        <f aca="false">Y275-AD275</f>
        <v>7896</v>
      </c>
      <c r="T275" s="10" t="n">
        <f aca="false">(S275/Q275)*100</f>
        <v>4.13962315588596</v>
      </c>
      <c r="U275" s="10" t="n">
        <f aca="false">Z275+AE275</f>
        <v>81.5509955856602</v>
      </c>
      <c r="V275" s="9" t="s">
        <v>52</v>
      </c>
      <c r="W275" s="9" t="s">
        <v>53</v>
      </c>
      <c r="X275" s="9" t="s">
        <v>1608</v>
      </c>
      <c r="Y275" s="9" t="n">
        <v>81724</v>
      </c>
      <c r="Z275" s="10" t="n">
        <f aca="false">(Y275/Q275)*100</f>
        <v>42.8453093707731</v>
      </c>
      <c r="AA275" s="9" t="s">
        <v>55</v>
      </c>
      <c r="AB275" s="9" t="s">
        <v>68</v>
      </c>
      <c r="AC275" s="9" t="s">
        <v>1609</v>
      </c>
      <c r="AD275" s="9" t="n">
        <v>73828</v>
      </c>
      <c r="AE275" s="10" t="n">
        <f aca="false">(AD275/Q275)*100</f>
        <v>38.7056862148871</v>
      </c>
      <c r="AF275" s="9" t="s">
        <v>1427</v>
      </c>
      <c r="AG275" s="9" t="s">
        <v>56</v>
      </c>
      <c r="AH275" s="9" t="s">
        <v>1610</v>
      </c>
      <c r="AI275" s="9" t="n">
        <v>23850</v>
      </c>
      <c r="AJ275" s="10" t="n">
        <f aca="false">(AI275/Q275)*100</f>
        <v>12.5038009457802</v>
      </c>
      <c r="AK275" s="9" t="s">
        <v>1429</v>
      </c>
      <c r="AL275" s="9" t="s">
        <v>61</v>
      </c>
      <c r="AM275" s="9" t="s">
        <v>1611</v>
      </c>
      <c r="AN275" s="9" t="n">
        <v>5906</v>
      </c>
      <c r="AO275" s="10" t="n">
        <f aca="false">(AN275/Q275)*100</f>
        <v>3.09632907277894</v>
      </c>
      <c r="AP275" s="9" t="s">
        <v>63</v>
      </c>
      <c r="AQ275" s="9" t="s">
        <v>63</v>
      </c>
      <c r="AR275" s="9" t="s">
        <v>63</v>
      </c>
      <c r="AS275" s="9" t="n">
        <v>2121</v>
      </c>
      <c r="AT275" s="10" t="n">
        <f aca="false">(AS275/Q275)*100</f>
        <v>1.11197324134171</v>
      </c>
    </row>
    <row r="276" customFormat="false" ht="12.8" hidden="false" customHeight="true" outlineLevel="0" collapsed="false">
      <c r="A276" s="33" t="n">
        <v>2016</v>
      </c>
      <c r="B276" s="8" t="n">
        <v>41</v>
      </c>
      <c r="C276" s="9" t="s">
        <v>305</v>
      </c>
      <c r="D276" s="9" t="s">
        <v>288</v>
      </c>
      <c r="E276" s="9" t="s">
        <v>48</v>
      </c>
      <c r="F276" s="9" t="s">
        <v>289</v>
      </c>
      <c r="G276" s="9" t="s">
        <v>77</v>
      </c>
      <c r="H276" s="9" t="s">
        <v>51</v>
      </c>
      <c r="I276" s="9" t="s">
        <v>51</v>
      </c>
      <c r="J276" s="9" t="s">
        <v>51</v>
      </c>
      <c r="K276" s="9" t="s">
        <v>51</v>
      </c>
      <c r="L276" s="9" t="s">
        <v>51</v>
      </c>
      <c r="M276" s="9" t="s">
        <v>51</v>
      </c>
      <c r="N276" s="9" t="s">
        <v>51</v>
      </c>
      <c r="O276" s="9" t="s">
        <v>51</v>
      </c>
      <c r="P276" s="9" t="n">
        <v>246835</v>
      </c>
      <c r="Q276" s="9" t="n">
        <v>203392</v>
      </c>
      <c r="R276" s="10" t="n">
        <f aca="false">(Q276/P276)*100</f>
        <v>82.3999837948427</v>
      </c>
      <c r="S276" s="9" t="n">
        <f aca="false">Y276-AD276</f>
        <v>11091</v>
      </c>
      <c r="T276" s="10" t="n">
        <f aca="false">(S276/Q276)*100</f>
        <v>5.4530168344871</v>
      </c>
      <c r="U276" s="10" t="n">
        <f aca="false">Z276+AE276</f>
        <v>77.3250668659534</v>
      </c>
      <c r="V276" s="9" t="s">
        <v>52</v>
      </c>
      <c r="W276" s="9" t="s">
        <v>53</v>
      </c>
      <c r="X276" s="9" t="s">
        <v>1612</v>
      </c>
      <c r="Y276" s="9" t="n">
        <v>84182</v>
      </c>
      <c r="Z276" s="10" t="n">
        <f aca="false">(Y276/Q276)*100</f>
        <v>41.3890418502203</v>
      </c>
      <c r="AA276" s="9" t="s">
        <v>55</v>
      </c>
      <c r="AB276" s="9" t="s">
        <v>68</v>
      </c>
      <c r="AC276" s="9" t="s">
        <v>1613</v>
      </c>
      <c r="AD276" s="9" t="n">
        <v>73091</v>
      </c>
      <c r="AE276" s="10" t="n">
        <f aca="false">(AD276/Q276)*100</f>
        <v>35.9360250157332</v>
      </c>
      <c r="AF276" s="9" t="s">
        <v>1427</v>
      </c>
      <c r="AG276" s="9" t="s">
        <v>56</v>
      </c>
      <c r="AH276" s="9" t="s">
        <v>1614</v>
      </c>
      <c r="AI276" s="9" t="n">
        <v>35043</v>
      </c>
      <c r="AJ276" s="10" t="n">
        <f aca="false">(AI276/Q276)*100</f>
        <v>17.2292912208936</v>
      </c>
      <c r="AK276" s="9" t="s">
        <v>1429</v>
      </c>
      <c r="AL276" s="9" t="s">
        <v>271</v>
      </c>
      <c r="AM276" s="9" t="s">
        <v>1615</v>
      </c>
      <c r="AN276" s="9" t="n">
        <v>5387</v>
      </c>
      <c r="AO276" s="10" t="n">
        <f aca="false">(AN276/Q276)*100</f>
        <v>2.64858008181246</v>
      </c>
      <c r="AP276" s="12" t="s">
        <v>1431</v>
      </c>
      <c r="AQ276" s="9" t="s">
        <v>171</v>
      </c>
      <c r="AR276" s="9" t="s">
        <v>1616</v>
      </c>
      <c r="AS276" s="9" t="n">
        <v>2648</v>
      </c>
      <c r="AT276" s="10" t="n">
        <f aca="false">(AS276/Q276)*100</f>
        <v>1.30191944619257</v>
      </c>
    </row>
    <row r="277" customFormat="false" ht="12.8" hidden="false" customHeight="true" outlineLevel="0" collapsed="false">
      <c r="A277" s="33" t="n">
        <v>2016</v>
      </c>
      <c r="B277" s="8" t="n">
        <v>42</v>
      </c>
      <c r="C277" s="9" t="s">
        <v>310</v>
      </c>
      <c r="D277" s="9" t="s">
        <v>311</v>
      </c>
      <c r="E277" s="9" t="s">
        <v>48</v>
      </c>
      <c r="F277" s="9" t="s">
        <v>289</v>
      </c>
      <c r="G277" s="9" t="s">
        <v>77</v>
      </c>
      <c r="H277" s="9" t="s">
        <v>51</v>
      </c>
      <c r="I277" s="9" t="s">
        <v>51</v>
      </c>
      <c r="J277" s="9" t="s">
        <v>51</v>
      </c>
      <c r="K277" s="9" t="s">
        <v>53</v>
      </c>
      <c r="L277" s="9" t="s">
        <v>51</v>
      </c>
      <c r="M277" s="9" t="s">
        <v>53</v>
      </c>
      <c r="N277" s="9" t="s">
        <v>51</v>
      </c>
      <c r="O277" s="9" t="s">
        <v>51</v>
      </c>
      <c r="P277" s="9" t="n">
        <v>229868</v>
      </c>
      <c r="Q277" s="9" t="n">
        <v>177870</v>
      </c>
      <c r="R277" s="10" t="n">
        <f aca="false">(Q277/P277)*100</f>
        <v>77.379191536012</v>
      </c>
      <c r="S277" s="9" t="n">
        <f aca="false">Y277-AD277</f>
        <v>23946</v>
      </c>
      <c r="T277" s="10" t="n">
        <f aca="false">(S277/Q277)*100</f>
        <v>13.462641254849</v>
      </c>
      <c r="U277" s="10" t="n">
        <f aca="false">Z277+AE277</f>
        <v>88.3353010625738</v>
      </c>
      <c r="V277" s="9" t="s">
        <v>52</v>
      </c>
      <c r="W277" s="9" t="s">
        <v>53</v>
      </c>
      <c r="X277" s="9" t="s">
        <v>1617</v>
      </c>
      <c r="Y277" s="9" t="n">
        <v>90534</v>
      </c>
      <c r="Z277" s="10" t="n">
        <f aca="false">(Y277/Q277)*100</f>
        <v>50.8989711587114</v>
      </c>
      <c r="AA277" s="9" t="s">
        <v>55</v>
      </c>
      <c r="AB277" s="9" t="s">
        <v>68</v>
      </c>
      <c r="AC277" s="9" t="s">
        <v>1618</v>
      </c>
      <c r="AD277" s="9" t="n">
        <v>66588</v>
      </c>
      <c r="AE277" s="10" t="n">
        <f aca="false">(AD277/Q277)*100</f>
        <v>37.4363299038624</v>
      </c>
      <c r="AF277" s="9" t="s">
        <v>1427</v>
      </c>
      <c r="AG277" s="9" t="s">
        <v>56</v>
      </c>
      <c r="AH277" s="9" t="s">
        <v>1619</v>
      </c>
      <c r="AI277" s="9" t="n">
        <v>12728</v>
      </c>
      <c r="AJ277" s="10" t="n">
        <f aca="false">(AI277/Q277)*100</f>
        <v>7.15578793500871</v>
      </c>
      <c r="AK277" s="9" t="s">
        <v>63</v>
      </c>
      <c r="AL277" s="9" t="s">
        <v>63</v>
      </c>
      <c r="AM277" s="9" t="s">
        <v>63</v>
      </c>
      <c r="AN277" s="9" t="n">
        <v>2492</v>
      </c>
      <c r="AO277" s="10" t="n">
        <f aca="false">(AN277/Q277)*100</f>
        <v>1.40102321920504</v>
      </c>
      <c r="AP277" s="9" t="s">
        <v>1429</v>
      </c>
      <c r="AQ277" s="9" t="s">
        <v>1338</v>
      </c>
      <c r="AR277" s="9" t="s">
        <v>1620</v>
      </c>
      <c r="AS277" s="9" t="n">
        <v>2163</v>
      </c>
      <c r="AT277" s="10" t="n">
        <f aca="false">(AS277/Q277)*100</f>
        <v>1.21605667060213</v>
      </c>
    </row>
    <row r="278" customFormat="false" ht="12.8" hidden="false" customHeight="true" outlineLevel="0" collapsed="false">
      <c r="A278" s="33" t="n">
        <v>2016</v>
      </c>
      <c r="B278" s="8" t="n">
        <v>43</v>
      </c>
      <c r="C278" s="9" t="s">
        <v>311</v>
      </c>
      <c r="D278" s="9" t="s">
        <v>311</v>
      </c>
      <c r="E278" s="9" t="s">
        <v>48</v>
      </c>
      <c r="F278" s="9" t="s">
        <v>289</v>
      </c>
      <c r="G278" s="9" t="s">
        <v>88</v>
      </c>
      <c r="H278" s="9" t="s">
        <v>51</v>
      </c>
      <c r="I278" s="9" t="s">
        <v>316</v>
      </c>
      <c r="J278" s="9" t="s">
        <v>51</v>
      </c>
      <c r="K278" s="9" t="s">
        <v>51</v>
      </c>
      <c r="L278" s="16" t="s">
        <v>317</v>
      </c>
      <c r="M278" s="9" t="s">
        <v>51</v>
      </c>
      <c r="N278" s="9" t="s">
        <v>66</v>
      </c>
      <c r="O278" s="9" t="s">
        <v>51</v>
      </c>
      <c r="P278" s="9" t="n">
        <v>249715</v>
      </c>
      <c r="Q278" s="9" t="n">
        <v>171279</v>
      </c>
      <c r="R278" s="10" t="n">
        <f aca="false">(Q278/P278)*100</f>
        <v>68.5897923632942</v>
      </c>
      <c r="S278" s="9" t="n">
        <f aca="false">Y278-AD278</f>
        <v>26210</v>
      </c>
      <c r="T278" s="10" t="n">
        <f aca="false">(S278/Q278)*100</f>
        <v>15.3025181137209</v>
      </c>
      <c r="U278" s="10" t="n">
        <f aca="false">Z278+AE278</f>
        <v>87.7620724081761</v>
      </c>
      <c r="V278" s="9" t="s">
        <v>52</v>
      </c>
      <c r="W278" s="9" t="s">
        <v>53</v>
      </c>
      <c r="X278" s="9" t="s">
        <v>1621</v>
      </c>
      <c r="Y278" s="9" t="n">
        <v>88264</v>
      </c>
      <c r="Z278" s="10" t="n">
        <f aca="false">(Y278/Q278)*100</f>
        <v>51.5322952609485</v>
      </c>
      <c r="AA278" s="9" t="s">
        <v>55</v>
      </c>
      <c r="AB278" s="9" t="s">
        <v>68</v>
      </c>
      <c r="AC278" s="9" t="s">
        <v>1622</v>
      </c>
      <c r="AD278" s="9" t="n">
        <v>62054</v>
      </c>
      <c r="AE278" s="10" t="n">
        <f aca="false">(AD278/Q278)*100</f>
        <v>36.2297771472276</v>
      </c>
      <c r="AF278" s="9" t="s">
        <v>1431</v>
      </c>
      <c r="AG278" s="9" t="s">
        <v>171</v>
      </c>
      <c r="AH278" s="9" t="s">
        <v>1623</v>
      </c>
      <c r="AI278" s="9" t="n">
        <v>5212</v>
      </c>
      <c r="AJ278" s="10" t="n">
        <f aca="false">(AI278/Q278)*100</f>
        <v>3.04298834066056</v>
      </c>
      <c r="AK278" s="9" t="s">
        <v>1427</v>
      </c>
      <c r="AL278" s="9" t="s">
        <v>56</v>
      </c>
      <c r="AM278" s="9" t="s">
        <v>1624</v>
      </c>
      <c r="AN278" s="9" t="n">
        <v>5185</v>
      </c>
      <c r="AO278" s="10" t="n">
        <f aca="false">(AN278/Q278)*100</f>
        <v>3.0272245867853</v>
      </c>
      <c r="AP278" s="9" t="s">
        <v>1429</v>
      </c>
      <c r="AQ278" s="9" t="s">
        <v>257</v>
      </c>
      <c r="AR278" s="9" t="s">
        <v>1625</v>
      </c>
      <c r="AS278" s="9" t="n">
        <v>2590</v>
      </c>
      <c r="AT278" s="10" t="n">
        <f aca="false">(AS278/Q278)*100</f>
        <v>1.51215268655235</v>
      </c>
    </row>
    <row r="279" customFormat="false" ht="12.8" hidden="false" customHeight="true" outlineLevel="0" collapsed="false">
      <c r="A279" s="33" t="n">
        <v>2016</v>
      </c>
      <c r="B279" s="8" t="n">
        <v>44</v>
      </c>
      <c r="C279" s="9" t="s">
        <v>322</v>
      </c>
      <c r="D279" s="9" t="s">
        <v>311</v>
      </c>
      <c r="E279" s="9" t="s">
        <v>48</v>
      </c>
      <c r="F279" s="9" t="s">
        <v>289</v>
      </c>
      <c r="G279" s="9" t="s">
        <v>50</v>
      </c>
      <c r="H279" s="9" t="s">
        <v>51</v>
      </c>
      <c r="I279" s="9" t="s">
        <v>51</v>
      </c>
      <c r="J279" s="9" t="s">
        <v>51</v>
      </c>
      <c r="K279" s="9" t="s">
        <v>51</v>
      </c>
      <c r="L279" s="9" t="s">
        <v>51</v>
      </c>
      <c r="M279" s="9" t="s">
        <v>51</v>
      </c>
      <c r="N279" s="9" t="s">
        <v>51</v>
      </c>
      <c r="O279" s="9" t="s">
        <v>51</v>
      </c>
      <c r="P279" s="9" t="n">
        <v>231928</v>
      </c>
      <c r="Q279" s="9" t="n">
        <v>181622</v>
      </c>
      <c r="R279" s="10" t="n">
        <f aca="false">(Q279/P279)*100</f>
        <v>78.3096478217378</v>
      </c>
      <c r="S279" s="9" t="n">
        <f aca="false">Y279-AD279</f>
        <v>8768</v>
      </c>
      <c r="T279" s="10" t="n">
        <f aca="false">(S279/Q279)*100</f>
        <v>4.82760899010032</v>
      </c>
      <c r="U279" s="10" t="n">
        <f aca="false">Z279+AE279</f>
        <v>80.0277499421876</v>
      </c>
      <c r="V279" s="9" t="s">
        <v>52</v>
      </c>
      <c r="W279" s="9" t="s">
        <v>53</v>
      </c>
      <c r="X279" s="9" t="s">
        <v>1626</v>
      </c>
      <c r="Y279" s="9" t="n">
        <v>77058</v>
      </c>
      <c r="Z279" s="10" t="n">
        <f aca="false">(Y279/Q279)*100</f>
        <v>42.427679466144</v>
      </c>
      <c r="AA279" s="9" t="s">
        <v>55</v>
      </c>
      <c r="AB279" s="9" t="s">
        <v>68</v>
      </c>
      <c r="AC279" s="9" t="s">
        <v>1627</v>
      </c>
      <c r="AD279" s="9" t="n">
        <v>68290</v>
      </c>
      <c r="AE279" s="10" t="n">
        <f aca="false">(AD279/Q279)*100</f>
        <v>37.6000704760437</v>
      </c>
      <c r="AF279" s="9" t="s">
        <v>1427</v>
      </c>
      <c r="AG279" s="9" t="s">
        <v>56</v>
      </c>
      <c r="AH279" s="9" t="s">
        <v>1628</v>
      </c>
      <c r="AI279" s="9" t="n">
        <v>24711</v>
      </c>
      <c r="AJ279" s="10" t="n">
        <f aca="false">(AI279/Q279)*100</f>
        <v>13.6057305832994</v>
      </c>
      <c r="AK279" s="9" t="s">
        <v>1429</v>
      </c>
      <c r="AL279" s="9" t="s">
        <v>1338</v>
      </c>
      <c r="AM279" s="9" t="s">
        <v>1629</v>
      </c>
      <c r="AN279" s="9" t="n">
        <v>2633</v>
      </c>
      <c r="AO279" s="10" t="n">
        <f aca="false">(AN279/Q279)*100</f>
        <v>1.44971424166676</v>
      </c>
      <c r="AP279" s="9" t="s">
        <v>1431</v>
      </c>
      <c r="AQ279" s="9" t="s">
        <v>171</v>
      </c>
      <c r="AR279" s="9" t="s">
        <v>1630</v>
      </c>
      <c r="AS279" s="9" t="n">
        <v>1750</v>
      </c>
      <c r="AT279" s="10" t="n">
        <f aca="false">(AS279/Q279)*100</f>
        <v>0.963539659292377</v>
      </c>
    </row>
    <row r="280" customFormat="false" ht="12.8" hidden="false" customHeight="true" outlineLevel="0" collapsed="false">
      <c r="A280" s="33" t="n">
        <v>2016</v>
      </c>
      <c r="B280" s="8" t="n">
        <v>45</v>
      </c>
      <c r="C280" s="9" t="s">
        <v>327</v>
      </c>
      <c r="D280" s="9" t="s">
        <v>311</v>
      </c>
      <c r="E280" s="9" t="s">
        <v>48</v>
      </c>
      <c r="F280" s="9" t="s">
        <v>289</v>
      </c>
      <c r="G280" s="9" t="s">
        <v>50</v>
      </c>
      <c r="H280" s="9" t="s">
        <v>65</v>
      </c>
      <c r="I280" s="9" t="s">
        <v>316</v>
      </c>
      <c r="J280" s="9" t="s">
        <v>51</v>
      </c>
      <c r="K280" s="9" t="s">
        <v>51</v>
      </c>
      <c r="L280" s="9" t="s">
        <v>51</v>
      </c>
      <c r="M280" s="9" t="s">
        <v>51</v>
      </c>
      <c r="N280" s="9" t="s">
        <v>51</v>
      </c>
      <c r="O280" s="9" t="s">
        <v>51</v>
      </c>
      <c r="P280" s="9" t="n">
        <v>205533</v>
      </c>
      <c r="Q280" s="9" t="n">
        <v>165226</v>
      </c>
      <c r="R280" s="10" t="n">
        <f aca="false">(Q280/P280)*100</f>
        <v>80.3890372835506</v>
      </c>
      <c r="S280" s="9" t="n">
        <f aca="false">Y280-AD280</f>
        <v>9746</v>
      </c>
      <c r="T280" s="10" t="n">
        <f aca="false">(S280/Q280)*100</f>
        <v>5.89858738939392</v>
      </c>
      <c r="U280" s="10" t="n">
        <f aca="false">Z280+AE280</f>
        <v>85.6269594373767</v>
      </c>
      <c r="V280" s="9" t="s">
        <v>55</v>
      </c>
      <c r="W280" s="17" t="s">
        <v>68</v>
      </c>
      <c r="X280" s="9" t="s">
        <v>1631</v>
      </c>
      <c r="Y280" s="9" t="n">
        <v>75612</v>
      </c>
      <c r="Z280" s="10" t="n">
        <f aca="false">(Y280/Q280)*100</f>
        <v>45.7627734133853</v>
      </c>
      <c r="AA280" s="9" t="s">
        <v>52</v>
      </c>
      <c r="AB280" s="9" t="s">
        <v>53</v>
      </c>
      <c r="AC280" s="9" t="s">
        <v>1632</v>
      </c>
      <c r="AD280" s="9" t="n">
        <v>65866</v>
      </c>
      <c r="AE280" s="10" t="n">
        <f aca="false">(AD280/Q280)*100</f>
        <v>39.8641860239914</v>
      </c>
      <c r="AF280" s="9" t="s">
        <v>1427</v>
      </c>
      <c r="AG280" s="9" t="s">
        <v>56</v>
      </c>
      <c r="AH280" s="9" t="s">
        <v>1633</v>
      </c>
      <c r="AI280" s="9" t="n">
        <v>13046</v>
      </c>
      <c r="AJ280" s="10" t="n">
        <f aca="false">(AI280/Q280)*100</f>
        <v>7.89585174246184</v>
      </c>
      <c r="AK280" s="9" t="s">
        <v>1429</v>
      </c>
      <c r="AL280" s="9" t="s">
        <v>61</v>
      </c>
      <c r="AM280" s="9" t="s">
        <v>1634</v>
      </c>
      <c r="AN280" s="9" t="n">
        <v>4170</v>
      </c>
      <c r="AO280" s="10" t="n">
        <f aca="false">(AN280/Q280)*100</f>
        <v>2.52381586433128</v>
      </c>
      <c r="AP280" s="12" t="s">
        <v>1431</v>
      </c>
      <c r="AQ280" s="9" t="s">
        <v>171</v>
      </c>
      <c r="AR280" s="9" t="s">
        <v>1635</v>
      </c>
      <c r="AS280" s="9" t="n">
        <v>2210</v>
      </c>
      <c r="AT280" s="10" t="n">
        <f aca="false">(AS280/Q280)*100</f>
        <v>1.33756188493336</v>
      </c>
    </row>
    <row r="281" customFormat="false" ht="12.8" hidden="false" customHeight="true" outlineLevel="0" collapsed="false">
      <c r="A281" s="33" t="n">
        <v>2016</v>
      </c>
      <c r="B281" s="8" t="n">
        <v>46</v>
      </c>
      <c r="C281" s="9" t="s">
        <v>333</v>
      </c>
      <c r="D281" s="9" t="s">
        <v>311</v>
      </c>
      <c r="E281" s="9" t="s">
        <v>48</v>
      </c>
      <c r="F281" s="9" t="s">
        <v>289</v>
      </c>
      <c r="G281" s="9" t="s">
        <v>77</v>
      </c>
      <c r="H281" s="9" t="s">
        <v>65</v>
      </c>
      <c r="I281" s="9" t="s">
        <v>51</v>
      </c>
      <c r="J281" s="9" t="s">
        <v>51</v>
      </c>
      <c r="K281" s="9" t="s">
        <v>51</v>
      </c>
      <c r="L281" s="9" t="s">
        <v>51</v>
      </c>
      <c r="M281" s="9" t="s">
        <v>51</v>
      </c>
      <c r="N281" s="9" t="s">
        <v>51</v>
      </c>
      <c r="O281" s="9" t="s">
        <v>334</v>
      </c>
      <c r="P281" s="9" t="n">
        <v>263119</v>
      </c>
      <c r="Q281" s="9" t="n">
        <v>194988</v>
      </c>
      <c r="R281" s="10" t="n">
        <f aca="false">(Q281/P281)*100</f>
        <v>74.1063929248743</v>
      </c>
      <c r="S281" s="9" t="n">
        <f aca="false">Y281-AD281</f>
        <v>11470</v>
      </c>
      <c r="T281" s="10" t="n">
        <f aca="false">(S281/Q281)*100</f>
        <v>5.88241327671446</v>
      </c>
      <c r="U281" s="10" t="n">
        <f aca="false">Z281+AE281</f>
        <v>91.2404865940468</v>
      </c>
      <c r="V281" s="9" t="s">
        <v>55</v>
      </c>
      <c r="W281" s="9" t="s">
        <v>68</v>
      </c>
      <c r="X281" s="9" t="s">
        <v>1636</v>
      </c>
      <c r="Y281" s="9" t="n">
        <v>94689</v>
      </c>
      <c r="Z281" s="10" t="n">
        <f aca="false">(Y281/Q281)*100</f>
        <v>48.5614499353806</v>
      </c>
      <c r="AA281" s="9" t="s">
        <v>52</v>
      </c>
      <c r="AB281" s="9" t="s">
        <v>53</v>
      </c>
      <c r="AC281" s="9" t="s">
        <v>1637</v>
      </c>
      <c r="AD281" s="9" t="n">
        <v>83219</v>
      </c>
      <c r="AE281" s="10" t="n">
        <f aca="false">(AD281/Q281)*100</f>
        <v>42.6790366586662</v>
      </c>
      <c r="AF281" s="9" t="s">
        <v>1427</v>
      </c>
      <c r="AG281" s="9" t="s">
        <v>56</v>
      </c>
      <c r="AH281" s="9" t="s">
        <v>1638</v>
      </c>
      <c r="AI281" s="9" t="n">
        <v>7505</v>
      </c>
      <c r="AJ281" s="10" t="n">
        <f aca="false">(AI281/Q281)*100</f>
        <v>3.84895480747533</v>
      </c>
      <c r="AK281" s="9" t="s">
        <v>1429</v>
      </c>
      <c r="AL281" s="9" t="s">
        <v>392</v>
      </c>
      <c r="AM281" s="9" t="s">
        <v>1639</v>
      </c>
      <c r="AN281" s="9" t="n">
        <v>3140</v>
      </c>
      <c r="AO281" s="10" t="n">
        <f aca="false">(AN281/Q281)*100</f>
        <v>1.61035550905697</v>
      </c>
      <c r="AP281" s="9" t="s">
        <v>63</v>
      </c>
      <c r="AQ281" s="9" t="s">
        <v>63</v>
      </c>
      <c r="AR281" s="9" t="s">
        <v>63</v>
      </c>
      <c r="AS281" s="9" t="n">
        <v>2241</v>
      </c>
      <c r="AT281" s="10" t="n">
        <f aca="false">(AS281/Q281)*100</f>
        <v>1.14930149547664</v>
      </c>
    </row>
    <row r="282" customFormat="false" ht="12.8" hidden="false" customHeight="true" outlineLevel="0" collapsed="false">
      <c r="A282" s="33" t="n">
        <v>2016</v>
      </c>
      <c r="B282" s="8" t="n">
        <v>47</v>
      </c>
      <c r="C282" s="9" t="s">
        <v>339</v>
      </c>
      <c r="D282" s="9" t="s">
        <v>340</v>
      </c>
      <c r="E282" s="9" t="s">
        <v>48</v>
      </c>
      <c r="F282" s="9" t="s">
        <v>289</v>
      </c>
      <c r="G282" s="9" t="s">
        <v>77</v>
      </c>
      <c r="H282" s="9" t="s">
        <v>51</v>
      </c>
      <c r="I282" s="9" t="s">
        <v>51</v>
      </c>
      <c r="J282" s="9" t="s">
        <v>51</v>
      </c>
      <c r="K282" s="9" t="s">
        <v>51</v>
      </c>
      <c r="L282" s="18" t="s">
        <v>197</v>
      </c>
      <c r="M282" s="9" t="s">
        <v>68</v>
      </c>
      <c r="N282" s="9" t="s">
        <v>51</v>
      </c>
      <c r="O282" s="9" t="s">
        <v>51</v>
      </c>
      <c r="P282" s="9" t="n">
        <v>223458</v>
      </c>
      <c r="Q282" s="9" t="n">
        <v>172638</v>
      </c>
      <c r="R282" s="10" t="n">
        <f aca="false">(Q282/P282)*100</f>
        <v>77.2574712026421</v>
      </c>
      <c r="S282" s="9" t="n">
        <f aca="false">Y282-AD282</f>
        <v>14526</v>
      </c>
      <c r="T282" s="10" t="n">
        <f aca="false">(S282/Q282)*100</f>
        <v>8.4141382546137</v>
      </c>
      <c r="U282" s="10" t="n">
        <f aca="false">Z282+AE282</f>
        <v>72.2031070795538</v>
      </c>
      <c r="V282" s="9" t="s">
        <v>55</v>
      </c>
      <c r="W282" s="9" t="s">
        <v>68</v>
      </c>
      <c r="X282" s="9" t="s">
        <v>1640</v>
      </c>
      <c r="Y282" s="9" t="n">
        <v>69588</v>
      </c>
      <c r="Z282" s="10" t="n">
        <f aca="false">(Y282/Q282)*100</f>
        <v>40.3086226670837</v>
      </c>
      <c r="AA282" s="9" t="s">
        <v>52</v>
      </c>
      <c r="AB282" s="19" t="s">
        <v>342</v>
      </c>
      <c r="AC282" s="9" t="s">
        <v>1641</v>
      </c>
      <c r="AD282" s="9" t="n">
        <v>55062</v>
      </c>
      <c r="AE282" s="10" t="n">
        <f aca="false">(AD282/Q282)*100</f>
        <v>31.89448441247</v>
      </c>
      <c r="AF282" s="9" t="s">
        <v>1429</v>
      </c>
      <c r="AG282" s="9" t="s">
        <v>1338</v>
      </c>
      <c r="AH282" s="9" t="s">
        <v>1642</v>
      </c>
      <c r="AI282" s="9" t="n">
        <v>21090</v>
      </c>
      <c r="AJ282" s="10" t="n">
        <f aca="false">(AI282/Q282)*100</f>
        <v>12.2163139053974</v>
      </c>
      <c r="AK282" s="9" t="s">
        <v>197</v>
      </c>
      <c r="AL282" s="20" t="s">
        <v>345</v>
      </c>
      <c r="AM282" s="9" t="s">
        <v>1643</v>
      </c>
      <c r="AN282" s="9" t="n">
        <v>10117</v>
      </c>
      <c r="AO282" s="10" t="n">
        <f aca="false">(AN282/Q282)*100</f>
        <v>5.86023934475608</v>
      </c>
      <c r="AP282" s="9" t="s">
        <v>1427</v>
      </c>
      <c r="AQ282" s="9" t="s">
        <v>56</v>
      </c>
      <c r="AR282" s="9" t="s">
        <v>1644</v>
      </c>
      <c r="AS282" s="9" t="n">
        <v>9283</v>
      </c>
      <c r="AT282" s="10" t="n">
        <f aca="false">(AS282/Q282)*100</f>
        <v>5.37714755731647</v>
      </c>
    </row>
    <row r="283" customFormat="false" ht="12.8" hidden="false" customHeight="true" outlineLevel="0" collapsed="false">
      <c r="A283" s="33" t="n">
        <v>2016</v>
      </c>
      <c r="B283" s="8" t="n">
        <v>48</v>
      </c>
      <c r="C283" s="9" t="s">
        <v>348</v>
      </c>
      <c r="D283" s="9" t="s">
        <v>340</v>
      </c>
      <c r="E283" s="9" t="s">
        <v>48</v>
      </c>
      <c r="F283" s="9" t="s">
        <v>289</v>
      </c>
      <c r="G283" s="9" t="s">
        <v>88</v>
      </c>
      <c r="H283" s="9" t="s">
        <v>51</v>
      </c>
      <c r="I283" s="9" t="s">
        <v>51</v>
      </c>
      <c r="J283" s="9" t="s">
        <v>51</v>
      </c>
      <c r="K283" s="9" t="s">
        <v>51</v>
      </c>
      <c r="L283" s="9" t="s">
        <v>51</v>
      </c>
      <c r="M283" s="9" t="s">
        <v>51</v>
      </c>
      <c r="N283" s="9" t="s">
        <v>51</v>
      </c>
      <c r="O283" s="9" t="s">
        <v>51</v>
      </c>
      <c r="P283" s="9" t="n">
        <v>212306</v>
      </c>
      <c r="Q283" s="9" t="n">
        <v>161075</v>
      </c>
      <c r="R283" s="10" t="n">
        <f aca="false">(Q283/P283)*100</f>
        <v>75.8692641752942</v>
      </c>
      <c r="S283" s="9" t="n">
        <f aca="false">Y283-AD283</f>
        <v>28006</v>
      </c>
      <c r="T283" s="10" t="n">
        <f aca="false">(S283/Q283)*100</f>
        <v>17.3869315536241</v>
      </c>
      <c r="U283" s="10" t="n">
        <f aca="false">Z283+AE283</f>
        <v>80.930001552072</v>
      </c>
      <c r="V283" s="9" t="s">
        <v>55</v>
      </c>
      <c r="W283" s="9" t="s">
        <v>68</v>
      </c>
      <c r="X283" s="9" t="s">
        <v>1645</v>
      </c>
      <c r="Y283" s="9" t="n">
        <v>79182</v>
      </c>
      <c r="Z283" s="10" t="n">
        <f aca="false">(Y283/Q283)*100</f>
        <v>49.1584665528481</v>
      </c>
      <c r="AA283" s="9" t="s">
        <v>52</v>
      </c>
      <c r="AB283" s="9" t="s">
        <v>1646</v>
      </c>
      <c r="AC283" s="9" t="s">
        <v>1647</v>
      </c>
      <c r="AD283" s="9" t="n">
        <v>51176</v>
      </c>
      <c r="AE283" s="10" t="n">
        <f aca="false">(AD283/Q283)*100</f>
        <v>31.771534999224</v>
      </c>
      <c r="AF283" s="9" t="s">
        <v>197</v>
      </c>
      <c r="AG283" s="9" t="s">
        <v>197</v>
      </c>
      <c r="AH283" s="9" t="s">
        <v>1648</v>
      </c>
      <c r="AI283" s="9" t="n">
        <v>7640</v>
      </c>
      <c r="AJ283" s="10" t="n">
        <f aca="false">(AI283/Q283)*100</f>
        <v>4.74313208132857</v>
      </c>
      <c r="AK283" s="9" t="s">
        <v>1429</v>
      </c>
      <c r="AL283" s="21" t="s">
        <v>61</v>
      </c>
      <c r="AM283" s="9" t="s">
        <v>1649</v>
      </c>
      <c r="AN283" s="9" t="n">
        <v>7043</v>
      </c>
      <c r="AO283" s="10" t="n">
        <f aca="false">(AN283/Q283)*100</f>
        <v>4.37249728387397</v>
      </c>
      <c r="AP283" s="9" t="s">
        <v>1431</v>
      </c>
      <c r="AQ283" s="9" t="s">
        <v>171</v>
      </c>
      <c r="AR283" s="9" t="s">
        <v>1650</v>
      </c>
      <c r="AS283" s="9" t="n">
        <v>5760</v>
      </c>
      <c r="AT283" s="10" t="n">
        <f aca="false">(AS283/Q283)*100</f>
        <v>3.57597392519013</v>
      </c>
    </row>
    <row r="284" customFormat="false" ht="12.8" hidden="false" customHeight="true" outlineLevel="0" collapsed="false">
      <c r="A284" s="33" t="n">
        <v>2016</v>
      </c>
      <c r="B284" s="8" t="n">
        <v>49</v>
      </c>
      <c r="C284" s="9" t="s">
        <v>355</v>
      </c>
      <c r="D284" s="9" t="s">
        <v>340</v>
      </c>
      <c r="E284" s="9" t="s">
        <v>48</v>
      </c>
      <c r="F284" s="9" t="s">
        <v>289</v>
      </c>
      <c r="G284" s="9" t="s">
        <v>77</v>
      </c>
      <c r="H284" s="9" t="s">
        <v>51</v>
      </c>
      <c r="I284" s="9" t="s">
        <v>51</v>
      </c>
      <c r="J284" s="9" t="s">
        <v>51</v>
      </c>
      <c r="K284" s="9" t="s">
        <v>51</v>
      </c>
      <c r="L284" s="9" t="s">
        <v>51</v>
      </c>
      <c r="M284" s="9" t="s">
        <v>51</v>
      </c>
      <c r="N284" s="9" t="s">
        <v>51</v>
      </c>
      <c r="O284" s="9" t="s">
        <v>51</v>
      </c>
      <c r="P284" s="9" t="n">
        <v>223488</v>
      </c>
      <c r="Q284" s="9" t="n">
        <v>181084</v>
      </c>
      <c r="R284" s="10" t="n">
        <f aca="false">(Q284/P284)*100</f>
        <v>81.0262743413517</v>
      </c>
      <c r="S284" s="9" t="n">
        <f aca="false">Y284-AD284</f>
        <v>10991</v>
      </c>
      <c r="T284" s="10" t="n">
        <f aca="false">(S284/Q284)*100</f>
        <v>6.0695588787524</v>
      </c>
      <c r="U284" s="10" t="n">
        <f aca="false">Z284+AE284</f>
        <v>85.0759868348391</v>
      </c>
      <c r="V284" s="9" t="s">
        <v>55</v>
      </c>
      <c r="W284" s="9" t="s">
        <v>68</v>
      </c>
      <c r="X284" s="9" t="s">
        <v>1651</v>
      </c>
      <c r="Y284" s="9" t="n">
        <v>82525</v>
      </c>
      <c r="Z284" s="10" t="n">
        <f aca="false">(Y284/Q284)*100</f>
        <v>45.5727728567957</v>
      </c>
      <c r="AA284" s="9" t="s">
        <v>52</v>
      </c>
      <c r="AB284" s="9" t="s">
        <v>53</v>
      </c>
      <c r="AC284" s="9" t="s">
        <v>1652</v>
      </c>
      <c r="AD284" s="9" t="n">
        <v>71534</v>
      </c>
      <c r="AE284" s="10" t="n">
        <f aca="false">(AD284/Q284)*100</f>
        <v>39.5032139780433</v>
      </c>
      <c r="AF284" s="9" t="s">
        <v>1427</v>
      </c>
      <c r="AG284" s="9" t="s">
        <v>56</v>
      </c>
      <c r="AH284" s="9" t="s">
        <v>1653</v>
      </c>
      <c r="AI284" s="9" t="n">
        <v>17516</v>
      </c>
      <c r="AJ284" s="10" t="n">
        <f aca="false">(AI284/Q284)*100</f>
        <v>9.67285900466082</v>
      </c>
      <c r="AK284" s="9" t="s">
        <v>1429</v>
      </c>
      <c r="AL284" s="9" t="s">
        <v>61</v>
      </c>
      <c r="AM284" s="9" t="s">
        <v>1654</v>
      </c>
      <c r="AN284" s="9" t="n">
        <v>3509</v>
      </c>
      <c r="AO284" s="10" t="n">
        <f aca="false">(AN284/Q284)*100</f>
        <v>1.93777473437742</v>
      </c>
      <c r="AP284" s="9" t="s">
        <v>63</v>
      </c>
      <c r="AQ284" s="9" t="s">
        <v>63</v>
      </c>
      <c r="AR284" s="9" t="s">
        <v>63</v>
      </c>
      <c r="AS284" s="9" t="n">
        <v>1483</v>
      </c>
      <c r="AT284" s="10" t="n">
        <f aca="false">(AS284/Q284)*100</f>
        <v>0.818956948156657</v>
      </c>
    </row>
    <row r="285" customFormat="false" ht="12.8" hidden="false" customHeight="true" outlineLevel="0" collapsed="false">
      <c r="A285" s="33" t="n">
        <v>2016</v>
      </c>
      <c r="B285" s="8" t="n">
        <v>50</v>
      </c>
      <c r="C285" s="9" t="s">
        <v>340</v>
      </c>
      <c r="D285" s="9" t="s">
        <v>340</v>
      </c>
      <c r="E285" s="9" t="s">
        <v>48</v>
      </c>
      <c r="F285" s="9" t="s">
        <v>289</v>
      </c>
      <c r="G285" s="9" t="s">
        <v>77</v>
      </c>
      <c r="H285" s="9" t="s">
        <v>51</v>
      </c>
      <c r="I285" s="9" t="s">
        <v>51</v>
      </c>
      <c r="J285" s="9" t="s">
        <v>51</v>
      </c>
      <c r="K285" s="9" t="s">
        <v>51</v>
      </c>
      <c r="L285" s="14" t="s">
        <v>53</v>
      </c>
      <c r="M285" s="9" t="s">
        <v>51</v>
      </c>
      <c r="N285" s="9" t="s">
        <v>51</v>
      </c>
      <c r="O285" s="9" t="s">
        <v>51</v>
      </c>
      <c r="P285" s="9" t="n">
        <v>224938</v>
      </c>
      <c r="Q285" s="9" t="n">
        <v>177843</v>
      </c>
      <c r="R285" s="10" t="n">
        <f aca="false">(Q285/P285)*100</f>
        <v>79.0631196151829</v>
      </c>
      <c r="S285" s="9" t="n">
        <f aca="false">Y285-AD285</f>
        <v>7647</v>
      </c>
      <c r="T285" s="10" t="n">
        <f aca="false">(S285/Q285)*100</f>
        <v>4.29985998886659</v>
      </c>
      <c r="U285" s="10" t="n">
        <f aca="false">Z285+AE285</f>
        <v>86.5566820172849</v>
      </c>
      <c r="V285" s="9" t="s">
        <v>52</v>
      </c>
      <c r="W285" s="9" t="s">
        <v>53</v>
      </c>
      <c r="X285" s="9" t="s">
        <v>1655</v>
      </c>
      <c r="Y285" s="9" t="n">
        <v>80791</v>
      </c>
      <c r="Z285" s="10" t="n">
        <f aca="false">(Y285/Q285)*100</f>
        <v>45.4282710030758</v>
      </c>
      <c r="AA285" s="9" t="s">
        <v>55</v>
      </c>
      <c r="AB285" s="9" t="s">
        <v>68</v>
      </c>
      <c r="AC285" s="9" t="s">
        <v>1656</v>
      </c>
      <c r="AD285" s="9" t="n">
        <v>73144</v>
      </c>
      <c r="AE285" s="10" t="n">
        <f aca="false">(AD285/Q285)*100</f>
        <v>41.1284110142092</v>
      </c>
      <c r="AF285" s="9" t="s">
        <v>1427</v>
      </c>
      <c r="AG285" s="9" t="s">
        <v>56</v>
      </c>
      <c r="AH285" s="9" t="s">
        <v>1657</v>
      </c>
      <c r="AI285" s="9" t="n">
        <v>12227</v>
      </c>
      <c r="AJ285" s="10" t="n">
        <f aca="false">(AI285/Q285)*100</f>
        <v>6.87516517377687</v>
      </c>
      <c r="AK285" s="9" t="s">
        <v>1429</v>
      </c>
      <c r="AL285" s="9" t="s">
        <v>61</v>
      </c>
      <c r="AM285" s="9" t="s">
        <v>1658</v>
      </c>
      <c r="AN285" s="9" t="n">
        <v>3968</v>
      </c>
      <c r="AO285" s="10" t="n">
        <f aca="false">(AN285/Q285)*100</f>
        <v>2.23118143531092</v>
      </c>
      <c r="AP285" s="9" t="s">
        <v>1431</v>
      </c>
      <c r="AQ285" s="9" t="s">
        <v>171</v>
      </c>
      <c r="AR285" s="9" t="s">
        <v>1659</v>
      </c>
      <c r="AS285" s="9" t="n">
        <v>1831</v>
      </c>
      <c r="AT285" s="10" t="n">
        <f aca="false">(AS285/Q285)*100</f>
        <v>1.02955978025562</v>
      </c>
    </row>
    <row r="286" customFormat="false" ht="12.8" hidden="false" customHeight="true" outlineLevel="0" collapsed="false">
      <c r="A286" s="33" t="n">
        <v>2016</v>
      </c>
      <c r="B286" s="8" t="n">
        <v>51</v>
      </c>
      <c r="C286" s="9" t="s">
        <v>363</v>
      </c>
      <c r="D286" s="9" t="s">
        <v>364</v>
      </c>
      <c r="E286" s="9" t="s">
        <v>48</v>
      </c>
      <c r="F286" s="9" t="s">
        <v>365</v>
      </c>
      <c r="G286" s="9" t="s">
        <v>50</v>
      </c>
      <c r="H286" s="9" t="s">
        <v>65</v>
      </c>
      <c r="I286" s="9" t="s">
        <v>51</v>
      </c>
      <c r="J286" s="9" t="s">
        <v>51</v>
      </c>
      <c r="K286" s="9" t="s">
        <v>51</v>
      </c>
      <c r="L286" s="9" t="s">
        <v>51</v>
      </c>
      <c r="M286" s="9" t="s">
        <v>68</v>
      </c>
      <c r="N286" s="9" t="s">
        <v>51</v>
      </c>
      <c r="O286" s="9" t="s">
        <v>51</v>
      </c>
      <c r="P286" s="9" t="n">
        <v>218671</v>
      </c>
      <c r="Q286" s="9" t="n">
        <v>180616</v>
      </c>
      <c r="R286" s="10" t="n">
        <f aca="false">(Q286/P286)*100</f>
        <v>82.5971436541654</v>
      </c>
      <c r="S286" s="9" t="n">
        <f aca="false">Y286-AD286</f>
        <v>2613</v>
      </c>
      <c r="T286" s="10" t="n">
        <f aca="false">(S286/Q286)*100</f>
        <v>1.44671568410329</v>
      </c>
      <c r="U286" s="10" t="n">
        <f aca="false">Z286+AE286</f>
        <v>76.0436506178855</v>
      </c>
      <c r="V286" s="9" t="s">
        <v>55</v>
      </c>
      <c r="W286" s="9" t="s">
        <v>68</v>
      </c>
      <c r="X286" s="9" t="s">
        <v>1660</v>
      </c>
      <c r="Y286" s="9" t="n">
        <v>69980</v>
      </c>
      <c r="Z286" s="10" t="n">
        <f aca="false">(Y286/Q286)*100</f>
        <v>38.7451831509944</v>
      </c>
      <c r="AA286" s="9" t="s">
        <v>52</v>
      </c>
      <c r="AB286" s="9" t="s">
        <v>53</v>
      </c>
      <c r="AC286" s="9" t="s">
        <v>1661</v>
      </c>
      <c r="AD286" s="9" t="n">
        <v>67367</v>
      </c>
      <c r="AE286" s="10" t="n">
        <f aca="false">(AD286/Q286)*100</f>
        <v>37.2984674668911</v>
      </c>
      <c r="AF286" s="9" t="s">
        <v>1427</v>
      </c>
      <c r="AG286" s="9" t="s">
        <v>56</v>
      </c>
      <c r="AH286" s="9" t="s">
        <v>1662</v>
      </c>
      <c r="AI286" s="9" t="n">
        <v>23500</v>
      </c>
      <c r="AJ286" s="10" t="n">
        <f aca="false">(AI286/Q286)*100</f>
        <v>13.0110289232405</v>
      </c>
      <c r="AK286" s="9" t="s">
        <v>1429</v>
      </c>
      <c r="AL286" s="9" t="s">
        <v>257</v>
      </c>
      <c r="AM286" s="9" t="s">
        <v>1663</v>
      </c>
      <c r="AN286" s="9" t="n">
        <v>12669</v>
      </c>
      <c r="AO286" s="10" t="n">
        <f aca="false">(AN286/Q286)*100</f>
        <v>7.01432874163972</v>
      </c>
      <c r="AP286" s="9" t="s">
        <v>63</v>
      </c>
      <c r="AQ286" s="9" t="s">
        <v>63</v>
      </c>
      <c r="AR286" s="9" t="s">
        <v>63</v>
      </c>
      <c r="AS286" s="9" t="n">
        <v>1717</v>
      </c>
      <c r="AT286" s="10" t="n">
        <f aca="false">(AS286/Q286)*100</f>
        <v>0.95063560260442</v>
      </c>
    </row>
    <row r="287" customFormat="false" ht="12.8" hidden="false" customHeight="true" outlineLevel="0" collapsed="false">
      <c r="A287" s="33" t="n">
        <v>2016</v>
      </c>
      <c r="B287" s="8" t="n">
        <v>52</v>
      </c>
      <c r="C287" s="9" t="s">
        <v>370</v>
      </c>
      <c r="D287" s="9" t="s">
        <v>364</v>
      </c>
      <c r="E287" s="9" t="s">
        <v>48</v>
      </c>
      <c r="F287" s="9" t="s">
        <v>365</v>
      </c>
      <c r="G287" s="9" t="s">
        <v>50</v>
      </c>
      <c r="H287" s="9" t="s">
        <v>51</v>
      </c>
      <c r="I287" s="9" t="s">
        <v>51</v>
      </c>
      <c r="J287" s="9" t="s">
        <v>51</v>
      </c>
      <c r="K287" s="9" t="s">
        <v>51</v>
      </c>
      <c r="L287" s="9" t="s">
        <v>51</v>
      </c>
      <c r="M287" s="9" t="s">
        <v>51</v>
      </c>
      <c r="N287" s="9" t="s">
        <v>68</v>
      </c>
      <c r="O287" s="9" t="s">
        <v>126</v>
      </c>
      <c r="P287" s="9" t="n">
        <v>228893</v>
      </c>
      <c r="Q287" s="9" t="n">
        <v>188056</v>
      </c>
      <c r="R287" s="10" t="n">
        <f aca="false">(Q287/P287)*100</f>
        <v>82.1589126797237</v>
      </c>
      <c r="S287" s="9" t="n">
        <f aca="false">Y287-AD287</f>
        <v>982</v>
      </c>
      <c r="T287" s="10" t="n">
        <f aca="false">(S287/Q287)*100</f>
        <v>0.522184881099247</v>
      </c>
      <c r="U287" s="10" t="n">
        <f aca="false">Z287+AE287</f>
        <v>85.2501382566895</v>
      </c>
      <c r="V287" s="9" t="s">
        <v>55</v>
      </c>
      <c r="W287" s="9" t="s">
        <v>68</v>
      </c>
      <c r="X287" s="9" t="s">
        <v>1664</v>
      </c>
      <c r="Y287" s="9" t="n">
        <v>80650</v>
      </c>
      <c r="Z287" s="10" t="n">
        <f aca="false">(Y287/Q287)*100</f>
        <v>42.8861615688944</v>
      </c>
      <c r="AA287" s="9" t="s">
        <v>52</v>
      </c>
      <c r="AB287" s="9" t="s">
        <v>53</v>
      </c>
      <c r="AC287" s="9" t="s">
        <v>1665</v>
      </c>
      <c r="AD287" s="9" t="n">
        <v>79668</v>
      </c>
      <c r="AE287" s="10" t="n">
        <f aca="false">(AD287/Q287)*100</f>
        <v>42.3639766877951</v>
      </c>
      <c r="AF287" s="9" t="s">
        <v>1427</v>
      </c>
      <c r="AG287" s="9" t="s">
        <v>56</v>
      </c>
      <c r="AH287" s="9" t="s">
        <v>1666</v>
      </c>
      <c r="AI287" s="9" t="n">
        <v>18407</v>
      </c>
      <c r="AJ287" s="10" t="n">
        <f aca="false">(AI287/Q287)*100</f>
        <v>9.78804185987153</v>
      </c>
      <c r="AK287" s="9" t="s">
        <v>1429</v>
      </c>
      <c r="AL287" s="9" t="s">
        <v>1338</v>
      </c>
      <c r="AM287" s="9" t="s">
        <v>1667</v>
      </c>
      <c r="AN287" s="9" t="n">
        <v>2948</v>
      </c>
      <c r="AO287" s="10" t="n">
        <f aca="false">(AN287/Q287)*100</f>
        <v>1.56761815629387</v>
      </c>
      <c r="AP287" s="9" t="s">
        <v>63</v>
      </c>
      <c r="AQ287" s="9" t="s">
        <v>63</v>
      </c>
      <c r="AR287" s="9" t="s">
        <v>63</v>
      </c>
      <c r="AS287" s="9" t="n">
        <v>1382</v>
      </c>
      <c r="AT287" s="10" t="n">
        <f aca="false">(AS287/Q287)*100</f>
        <v>0.73488748032501</v>
      </c>
    </row>
    <row r="288" customFormat="false" ht="12.8" hidden="false" customHeight="true" outlineLevel="0" collapsed="false">
      <c r="A288" s="33" t="n">
        <v>2016</v>
      </c>
      <c r="B288" s="8" t="n">
        <v>53</v>
      </c>
      <c r="C288" s="9" t="s">
        <v>364</v>
      </c>
      <c r="D288" s="9" t="s">
        <v>364</v>
      </c>
      <c r="E288" s="9" t="s">
        <v>48</v>
      </c>
      <c r="F288" s="9" t="s">
        <v>365</v>
      </c>
      <c r="G288" s="9" t="s">
        <v>77</v>
      </c>
      <c r="H288" s="9" t="s">
        <v>51</v>
      </c>
      <c r="I288" s="9" t="s">
        <v>51</v>
      </c>
      <c r="J288" s="9" t="s">
        <v>51</v>
      </c>
      <c r="K288" s="9" t="s">
        <v>51</v>
      </c>
      <c r="L288" s="9" t="s">
        <v>68</v>
      </c>
      <c r="M288" s="9" t="s">
        <v>51</v>
      </c>
      <c r="N288" s="9" t="s">
        <v>51</v>
      </c>
      <c r="O288" s="9" t="s">
        <v>51</v>
      </c>
      <c r="P288" s="9" t="n">
        <v>248873</v>
      </c>
      <c r="Q288" s="9" t="n">
        <v>200092</v>
      </c>
      <c r="R288" s="10" t="n">
        <f aca="false">(Q288/P288)*100</f>
        <v>80.3992397728962</v>
      </c>
      <c r="S288" s="9" t="n">
        <f aca="false">Y288-AD288</f>
        <v>4891</v>
      </c>
      <c r="T288" s="10" t="n">
        <f aca="false">(S288/Q288)*100</f>
        <v>2.44437558722987</v>
      </c>
      <c r="U288" s="10" t="n">
        <f aca="false">Z288+AE288</f>
        <v>85.152329928233</v>
      </c>
      <c r="V288" s="9" t="s">
        <v>52</v>
      </c>
      <c r="W288" s="9" t="s">
        <v>53</v>
      </c>
      <c r="X288" s="9" t="s">
        <v>1668</v>
      </c>
      <c r="Y288" s="9" t="n">
        <v>87637</v>
      </c>
      <c r="Z288" s="10" t="n">
        <f aca="false">(Y288/Q288)*100</f>
        <v>43.7983527577314</v>
      </c>
      <c r="AA288" s="9" t="s">
        <v>55</v>
      </c>
      <c r="AB288" s="9" t="s">
        <v>68</v>
      </c>
      <c r="AC288" s="9" t="s">
        <v>1669</v>
      </c>
      <c r="AD288" s="9" t="n">
        <v>82746</v>
      </c>
      <c r="AE288" s="10" t="n">
        <f aca="false">(AD288/Q288)*100</f>
        <v>41.3539771705016</v>
      </c>
      <c r="AF288" s="9" t="s">
        <v>1427</v>
      </c>
      <c r="AG288" s="9" t="s">
        <v>56</v>
      </c>
      <c r="AH288" s="9" t="s">
        <v>1670</v>
      </c>
      <c r="AI288" s="9" t="n">
        <v>15736</v>
      </c>
      <c r="AJ288" s="10" t="n">
        <f aca="false">(AI288/Q288)*100</f>
        <v>7.86438238410331</v>
      </c>
      <c r="AK288" s="9" t="s">
        <v>1429</v>
      </c>
      <c r="AL288" s="9" t="s">
        <v>1338</v>
      </c>
      <c r="AM288" s="9" t="s">
        <v>1671</v>
      </c>
      <c r="AN288" s="9" t="n">
        <v>4199</v>
      </c>
      <c r="AO288" s="10" t="n">
        <f aca="false">(AN288/Q288)*100</f>
        <v>2.09853467404994</v>
      </c>
      <c r="AP288" s="9" t="s">
        <v>63</v>
      </c>
      <c r="AQ288" s="9" t="s">
        <v>63</v>
      </c>
      <c r="AR288" s="9" t="s">
        <v>63</v>
      </c>
      <c r="AS288" s="9" t="n">
        <v>1855</v>
      </c>
      <c r="AT288" s="10" t="n">
        <f aca="false">(AS288/Q288)*100</f>
        <v>0.927073546168763</v>
      </c>
    </row>
    <row r="289" customFormat="false" ht="12.8" hidden="false" customHeight="true" outlineLevel="0" collapsed="false">
      <c r="A289" s="33" t="n">
        <v>2016</v>
      </c>
      <c r="B289" s="8" t="n">
        <v>54</v>
      </c>
      <c r="C289" s="9" t="s">
        <v>379</v>
      </c>
      <c r="D289" s="9" t="s">
        <v>364</v>
      </c>
      <c r="E289" s="9" t="s">
        <v>48</v>
      </c>
      <c r="F289" s="9" t="s">
        <v>365</v>
      </c>
      <c r="G289" s="9" t="s">
        <v>50</v>
      </c>
      <c r="H289" s="9" t="s">
        <v>51</v>
      </c>
      <c r="I289" s="9" t="s">
        <v>51</v>
      </c>
      <c r="J289" s="9" t="s">
        <v>51</v>
      </c>
      <c r="K289" s="9" t="s">
        <v>51</v>
      </c>
      <c r="L289" s="9" t="s">
        <v>51</v>
      </c>
      <c r="M289" s="9" t="s">
        <v>51</v>
      </c>
      <c r="N289" s="9" t="s">
        <v>51</v>
      </c>
      <c r="O289" s="9" t="s">
        <v>51</v>
      </c>
      <c r="P289" s="9" t="n">
        <v>228145</v>
      </c>
      <c r="Q289" s="9" t="n">
        <v>193325</v>
      </c>
      <c r="R289" s="10" t="n">
        <f aca="false">(Q289/P289)*100</f>
        <v>84.7377764141226</v>
      </c>
      <c r="S289" s="9" t="n">
        <f aca="false">Y289-AD289</f>
        <v>5228</v>
      </c>
      <c r="T289" s="10" t="n">
        <f aca="false">(S289/Q289)*100</f>
        <v>2.70425449372818</v>
      </c>
      <c r="U289" s="10" t="n">
        <f aca="false">Z289+AE289</f>
        <v>89.3190223716539</v>
      </c>
      <c r="V289" s="9" t="s">
        <v>52</v>
      </c>
      <c r="W289" s="9" t="s">
        <v>53</v>
      </c>
      <c r="X289" s="9" t="s">
        <v>1672</v>
      </c>
      <c r="Y289" s="9" t="n">
        <v>88952</v>
      </c>
      <c r="Z289" s="10" t="n">
        <f aca="false">(Y289/Q289)*100</f>
        <v>46.0116384326911</v>
      </c>
      <c r="AA289" s="9" t="s">
        <v>55</v>
      </c>
      <c r="AB289" s="9" t="s">
        <v>68</v>
      </c>
      <c r="AC289" s="9" t="s">
        <v>1673</v>
      </c>
      <c r="AD289" s="9" t="n">
        <v>83724</v>
      </c>
      <c r="AE289" s="10" t="n">
        <f aca="false">(AD289/Q289)*100</f>
        <v>43.3073839389629</v>
      </c>
      <c r="AF289" s="9" t="s">
        <v>1427</v>
      </c>
      <c r="AG289" s="9" t="s">
        <v>56</v>
      </c>
      <c r="AH289" s="9" t="s">
        <v>1674</v>
      </c>
      <c r="AI289" s="9" t="n">
        <v>5476</v>
      </c>
      <c r="AJ289" s="10" t="n">
        <f aca="false">(AI289/Q289)*100</f>
        <v>2.83253588516746</v>
      </c>
      <c r="AK289" s="9" t="s">
        <v>1429</v>
      </c>
      <c r="AL289" s="9" t="s">
        <v>61</v>
      </c>
      <c r="AM289" s="9" t="s">
        <v>1675</v>
      </c>
      <c r="AN289" s="9" t="n">
        <v>4656</v>
      </c>
      <c r="AO289" s="10" t="n">
        <f aca="false">(AN289/Q289)*100</f>
        <v>2.40837967153757</v>
      </c>
      <c r="AP289" s="9" t="s">
        <v>1431</v>
      </c>
      <c r="AQ289" s="9" t="s">
        <v>171</v>
      </c>
      <c r="AR289" s="9" t="s">
        <v>1676</v>
      </c>
      <c r="AS289" s="9" t="n">
        <v>1966</v>
      </c>
      <c r="AT289" s="10" t="n">
        <f aca="false">(AS289/Q289)*100</f>
        <v>1.01694038536144</v>
      </c>
    </row>
    <row r="290" customFormat="false" ht="12.8" hidden="false" customHeight="true" outlineLevel="0" collapsed="false">
      <c r="A290" s="33" t="n">
        <v>2016</v>
      </c>
      <c r="B290" s="8" t="n">
        <v>55</v>
      </c>
      <c r="C290" s="9" t="s">
        <v>385</v>
      </c>
      <c r="D290" s="9" t="s">
        <v>364</v>
      </c>
      <c r="E290" s="9" t="s">
        <v>48</v>
      </c>
      <c r="F290" s="9" t="s">
        <v>365</v>
      </c>
      <c r="G290" s="9" t="s">
        <v>88</v>
      </c>
      <c r="H290" s="9" t="s">
        <v>51</v>
      </c>
      <c r="I290" s="9" t="s">
        <v>51</v>
      </c>
      <c r="J290" s="9" t="s">
        <v>51</v>
      </c>
      <c r="K290" s="9" t="s">
        <v>51</v>
      </c>
      <c r="L290" s="16" t="s">
        <v>386</v>
      </c>
      <c r="M290" s="9" t="s">
        <v>51</v>
      </c>
      <c r="N290" s="9" t="s">
        <v>66</v>
      </c>
      <c r="O290" s="9" t="s">
        <v>51</v>
      </c>
      <c r="P290" s="9" t="n">
        <v>302410</v>
      </c>
      <c r="Q290" s="9" t="n">
        <v>215231</v>
      </c>
      <c r="R290" s="10" t="n">
        <f aca="false">(Q290/P290)*100</f>
        <v>71.1719189180252</v>
      </c>
      <c r="S290" s="9" t="n">
        <f aca="false">Y290-AD290</f>
        <v>22964</v>
      </c>
      <c r="T290" s="10" t="n">
        <f aca="false">(S290/Q290)*100</f>
        <v>10.6694667589706</v>
      </c>
      <c r="U290" s="10" t="n">
        <f aca="false">Z290+AE290</f>
        <v>72.5062839460858</v>
      </c>
      <c r="V290" s="9" t="s">
        <v>55</v>
      </c>
      <c r="W290" s="9" t="s">
        <v>68</v>
      </c>
      <c r="X290" s="9" t="s">
        <v>1677</v>
      </c>
      <c r="Y290" s="9" t="n">
        <v>89510</v>
      </c>
      <c r="Z290" s="10" t="n">
        <f aca="false">(Y290/Q290)*100</f>
        <v>41.5878753525282</v>
      </c>
      <c r="AA290" s="9" t="s">
        <v>52</v>
      </c>
      <c r="AB290" s="9" t="s">
        <v>66</v>
      </c>
      <c r="AC290" s="9" t="s">
        <v>1678</v>
      </c>
      <c r="AD290" s="9" t="n">
        <v>66546</v>
      </c>
      <c r="AE290" s="10" t="n">
        <f aca="false">(AD290/Q290)*100</f>
        <v>30.9184085935576</v>
      </c>
      <c r="AF290" s="9" t="s">
        <v>1431</v>
      </c>
      <c r="AG290" s="9" t="s">
        <v>171</v>
      </c>
      <c r="AH290" s="9" t="s">
        <v>1679</v>
      </c>
      <c r="AI290" s="9" t="n">
        <v>28850</v>
      </c>
      <c r="AJ290" s="10" t="n">
        <f aca="false">(AI290/Q290)*100</f>
        <v>13.4042029261584</v>
      </c>
      <c r="AK290" s="9" t="s">
        <v>1427</v>
      </c>
      <c r="AL290" s="9" t="s">
        <v>56</v>
      </c>
      <c r="AM290" s="9" t="s">
        <v>1680</v>
      </c>
      <c r="AN290" s="9" t="n">
        <v>10309</v>
      </c>
      <c r="AO290" s="10" t="n">
        <f aca="false">(AN290/Q290)*100</f>
        <v>4.78973753780822</v>
      </c>
      <c r="AP290" s="9" t="s">
        <v>1429</v>
      </c>
      <c r="AQ290" s="9" t="s">
        <v>61</v>
      </c>
      <c r="AR290" s="9" t="s">
        <v>1681</v>
      </c>
      <c r="AS290" s="9" t="n">
        <v>7780</v>
      </c>
      <c r="AT290" s="10" t="n">
        <f aca="false">(AS290/Q290)*100</f>
        <v>3.6147209277474</v>
      </c>
    </row>
    <row r="291" customFormat="false" ht="12.8" hidden="false" customHeight="true" outlineLevel="0" collapsed="false">
      <c r="A291" s="33" t="n">
        <v>2016</v>
      </c>
      <c r="B291" s="8" t="n">
        <v>56</v>
      </c>
      <c r="C291" s="9" t="s">
        <v>391</v>
      </c>
      <c r="D291" s="9" t="s">
        <v>364</v>
      </c>
      <c r="E291" s="9" t="s">
        <v>48</v>
      </c>
      <c r="F291" s="9" t="s">
        <v>365</v>
      </c>
      <c r="G291" s="9" t="s">
        <v>50</v>
      </c>
      <c r="H291" s="9" t="s">
        <v>51</v>
      </c>
      <c r="I291" s="9" t="s">
        <v>51</v>
      </c>
      <c r="J291" s="9" t="s">
        <v>51</v>
      </c>
      <c r="K291" s="9" t="s">
        <v>392</v>
      </c>
      <c r="L291" s="9" t="s">
        <v>51</v>
      </c>
      <c r="M291" s="9" t="s">
        <v>51</v>
      </c>
      <c r="N291" s="9" t="s">
        <v>51</v>
      </c>
      <c r="O291" s="9" t="s">
        <v>51</v>
      </c>
      <c r="P291" s="9" t="n">
        <v>229749</v>
      </c>
      <c r="Q291" s="9" t="n">
        <v>189350</v>
      </c>
      <c r="R291" s="10" t="n">
        <f aca="false">(Q291/P291)*100</f>
        <v>82.4160279261281</v>
      </c>
      <c r="S291" s="9" t="n">
        <f aca="false">Y291-AD291</f>
        <v>6245</v>
      </c>
      <c r="T291" s="10" t="n">
        <f aca="false">(S291/Q291)*100</f>
        <v>3.29812516503829</v>
      </c>
      <c r="U291" s="10" t="n">
        <f aca="false">Z291+AJ291</f>
        <v>55.8986004753103</v>
      </c>
      <c r="V291" s="9" t="s">
        <v>52</v>
      </c>
      <c r="W291" s="9" t="s">
        <v>53</v>
      </c>
      <c r="X291" s="9" t="s">
        <v>1682</v>
      </c>
      <c r="Y291" s="9" t="n">
        <v>74429</v>
      </c>
      <c r="Z291" s="10" t="n">
        <f aca="false">(Y291/Q291)*100</f>
        <v>39.307631370478</v>
      </c>
      <c r="AA291" s="9" t="s">
        <v>1429</v>
      </c>
      <c r="AB291" s="9" t="s">
        <v>392</v>
      </c>
      <c r="AC291" s="9" t="s">
        <v>1683</v>
      </c>
      <c r="AD291" s="9" t="n">
        <v>68184</v>
      </c>
      <c r="AE291" s="10" t="n">
        <f aca="false">(AD291/Q291)*100</f>
        <v>36.0095062054397</v>
      </c>
      <c r="AF291" s="9" t="s">
        <v>55</v>
      </c>
      <c r="AG291" s="9" t="s">
        <v>68</v>
      </c>
      <c r="AH291" s="9" t="s">
        <v>1684</v>
      </c>
      <c r="AI291" s="9" t="n">
        <v>31415</v>
      </c>
      <c r="AJ291" s="10" t="n">
        <f aca="false">(AI291/Q291)*100</f>
        <v>16.5909691048323</v>
      </c>
      <c r="AK291" s="9" t="s">
        <v>1427</v>
      </c>
      <c r="AL291" s="9" t="s">
        <v>56</v>
      </c>
      <c r="AM291" s="9" t="s">
        <v>1685</v>
      </c>
      <c r="AN291" s="9" t="n">
        <v>5253</v>
      </c>
      <c r="AO291" s="10" t="n">
        <f aca="false">(AN291/Q291)*100</f>
        <v>2.77422762080803</v>
      </c>
      <c r="AP291" s="9" t="s">
        <v>1431</v>
      </c>
      <c r="AQ291" s="15" t="s">
        <v>171</v>
      </c>
      <c r="AR291" s="9" t="s">
        <v>1686</v>
      </c>
      <c r="AS291" s="9" t="n">
        <v>2908</v>
      </c>
      <c r="AT291" s="10" t="n">
        <f aca="false">(AS291/Q291)*100</f>
        <v>1.53578030102984</v>
      </c>
    </row>
    <row r="292" customFormat="false" ht="12.8" hidden="false" customHeight="true" outlineLevel="0" collapsed="false">
      <c r="A292" s="33" t="n">
        <v>2016</v>
      </c>
      <c r="B292" s="8" t="n">
        <v>57</v>
      </c>
      <c r="C292" s="9" t="s">
        <v>397</v>
      </c>
      <c r="D292" s="9" t="s">
        <v>398</v>
      </c>
      <c r="E292" s="9" t="s">
        <v>48</v>
      </c>
      <c r="F292" s="9" t="s">
        <v>365</v>
      </c>
      <c r="G292" s="9" t="s">
        <v>50</v>
      </c>
      <c r="H292" s="9" t="s">
        <v>51</v>
      </c>
      <c r="I292" s="9" t="s">
        <v>51</v>
      </c>
      <c r="J292" s="9" t="s">
        <v>51</v>
      </c>
      <c r="K292" s="9" t="s">
        <v>68</v>
      </c>
      <c r="L292" s="9" t="s">
        <v>51</v>
      </c>
      <c r="M292" s="9" t="s">
        <v>68</v>
      </c>
      <c r="N292" s="9" t="s">
        <v>51</v>
      </c>
      <c r="O292" s="9" t="s">
        <v>51</v>
      </c>
      <c r="P292" s="9" t="n">
        <v>213136</v>
      </c>
      <c r="Q292" s="9" t="n">
        <v>188767</v>
      </c>
      <c r="R292" s="10" t="n">
        <f aca="false">(Q292/P292)*100</f>
        <v>88.5664552210795</v>
      </c>
      <c r="S292" s="9" t="n">
        <f aca="false">Y292-AD292</f>
        <v>5983</v>
      </c>
      <c r="T292" s="10" t="n">
        <f aca="false">(S292/Q292)*100</f>
        <v>3.16951585817436</v>
      </c>
      <c r="U292" s="10" t="n">
        <f aca="false">Z292+AE292</f>
        <v>77.5045426372194</v>
      </c>
      <c r="V292" s="9" t="s">
        <v>55</v>
      </c>
      <c r="W292" s="9" t="s">
        <v>68</v>
      </c>
      <c r="X292" s="9" t="s">
        <v>1687</v>
      </c>
      <c r="Y292" s="9" t="n">
        <v>76143</v>
      </c>
      <c r="Z292" s="10" t="n">
        <f aca="false">(Y292/Q292)*100</f>
        <v>40.3370292476969</v>
      </c>
      <c r="AA292" s="9" t="s">
        <v>52</v>
      </c>
      <c r="AB292" s="9" t="s">
        <v>53</v>
      </c>
      <c r="AC292" s="9" t="s">
        <v>1688</v>
      </c>
      <c r="AD292" s="9" t="n">
        <v>70160</v>
      </c>
      <c r="AE292" s="10" t="n">
        <f aca="false">(AD292/Q292)*100</f>
        <v>37.1675133895225</v>
      </c>
      <c r="AF292" s="9" t="s">
        <v>1427</v>
      </c>
      <c r="AG292" s="9" t="s">
        <v>56</v>
      </c>
      <c r="AH292" s="9" t="s">
        <v>1689</v>
      </c>
      <c r="AI292" s="9" t="n">
        <v>31612</v>
      </c>
      <c r="AJ292" s="10" t="n">
        <f aca="false">(AI292/Q292)*100</f>
        <v>16.746571169749</v>
      </c>
      <c r="AK292" s="9" t="s">
        <v>1429</v>
      </c>
      <c r="AL292" s="9" t="s">
        <v>61</v>
      </c>
      <c r="AM292" s="9" t="s">
        <v>1690</v>
      </c>
      <c r="AN292" s="9" t="n">
        <v>4915</v>
      </c>
      <c r="AO292" s="10" t="n">
        <f aca="false">(AN292/Q292)*100</f>
        <v>2.60373900099064</v>
      </c>
      <c r="AP292" s="9" t="s">
        <v>63</v>
      </c>
      <c r="AQ292" s="9" t="s">
        <v>63</v>
      </c>
      <c r="AR292" s="9" t="s">
        <v>63</v>
      </c>
      <c r="AS292" s="9" t="n">
        <v>1880</v>
      </c>
      <c r="AT292" s="10" t="n">
        <f aca="false">(AS292/Q292)*100</f>
        <v>0.995936789799064</v>
      </c>
    </row>
    <row r="293" customFormat="false" ht="12.8" hidden="false" customHeight="true" outlineLevel="0" collapsed="false">
      <c r="A293" s="33" t="n">
        <v>2016</v>
      </c>
      <c r="B293" s="8" t="n">
        <v>58</v>
      </c>
      <c r="C293" s="9" t="s">
        <v>403</v>
      </c>
      <c r="D293" s="9" t="s">
        <v>398</v>
      </c>
      <c r="E293" s="9" t="s">
        <v>48</v>
      </c>
      <c r="F293" s="9" t="s">
        <v>365</v>
      </c>
      <c r="G293" s="9" t="s">
        <v>50</v>
      </c>
      <c r="H293" s="9" t="s">
        <v>51</v>
      </c>
      <c r="I293" s="9" t="s">
        <v>51</v>
      </c>
      <c r="J293" s="9" t="s">
        <v>51</v>
      </c>
      <c r="K293" s="9" t="s">
        <v>51</v>
      </c>
      <c r="L293" s="9" t="s">
        <v>51</v>
      </c>
      <c r="M293" s="9" t="s">
        <v>51</v>
      </c>
      <c r="N293" s="9" t="s">
        <v>51</v>
      </c>
      <c r="O293" s="9" t="s">
        <v>51</v>
      </c>
      <c r="P293" s="9" t="n">
        <v>226746</v>
      </c>
      <c r="Q293" s="9" t="n">
        <v>199635</v>
      </c>
      <c r="R293" s="10" t="n">
        <f aca="false">(Q293/P293)*100</f>
        <v>88.0434494985579</v>
      </c>
      <c r="S293" s="9" t="n">
        <f aca="false">Y293-AD293</f>
        <v>18446</v>
      </c>
      <c r="T293" s="10" t="n">
        <f aca="false">(S293/Q293)*100</f>
        <v>9.23986274951787</v>
      </c>
      <c r="U293" s="10" t="n">
        <f aca="false">Z293+AJ293</f>
        <v>64.3850026297994</v>
      </c>
      <c r="V293" s="9" t="s">
        <v>52</v>
      </c>
      <c r="W293" s="9" t="s">
        <v>53</v>
      </c>
      <c r="X293" s="9" t="s">
        <v>1691</v>
      </c>
      <c r="Y293" s="9" t="n">
        <v>76848</v>
      </c>
      <c r="Z293" s="10" t="n">
        <f aca="false">(Y293/Q293)*100</f>
        <v>38.4942520099181</v>
      </c>
      <c r="AA293" s="9" t="s">
        <v>1427</v>
      </c>
      <c r="AB293" s="9" t="s">
        <v>56</v>
      </c>
      <c r="AC293" s="9" t="s">
        <v>1692</v>
      </c>
      <c r="AD293" s="9" t="n">
        <v>58402</v>
      </c>
      <c r="AE293" s="10" t="n">
        <f aca="false">(AD293/Q293)*100</f>
        <v>29.2543892604002</v>
      </c>
      <c r="AF293" s="9" t="s">
        <v>55</v>
      </c>
      <c r="AG293" s="9" t="s">
        <v>68</v>
      </c>
      <c r="AH293" s="9" t="s">
        <v>1693</v>
      </c>
      <c r="AI293" s="9" t="n">
        <v>51687</v>
      </c>
      <c r="AJ293" s="10" t="n">
        <f aca="false">(AI293/Q293)*100</f>
        <v>25.8907506198813</v>
      </c>
      <c r="AK293" s="9" t="s">
        <v>1429</v>
      </c>
      <c r="AL293" s="9" t="s">
        <v>392</v>
      </c>
      <c r="AM293" s="9" t="s">
        <v>1694</v>
      </c>
      <c r="AN293" s="9" t="n">
        <v>5624</v>
      </c>
      <c r="AO293" s="10" t="n">
        <f aca="false">(AN293/Q293)*100</f>
        <v>2.81714128284119</v>
      </c>
      <c r="AP293" s="9" t="s">
        <v>63</v>
      </c>
      <c r="AQ293" s="9" t="s">
        <v>63</v>
      </c>
      <c r="AR293" s="9" t="s">
        <v>63</v>
      </c>
      <c r="AS293" s="9" t="n">
        <v>2081</v>
      </c>
      <c r="AT293" s="10" t="n">
        <f aca="false">(AS293/Q293)*100</f>
        <v>1.04240238435144</v>
      </c>
    </row>
    <row r="294" customFormat="false" ht="12.8" hidden="false" customHeight="true" outlineLevel="0" collapsed="false">
      <c r="A294" s="33" t="n">
        <v>2016</v>
      </c>
      <c r="B294" s="8" t="n">
        <v>59</v>
      </c>
      <c r="C294" s="9" t="s">
        <v>398</v>
      </c>
      <c r="D294" s="9" t="s">
        <v>398</v>
      </c>
      <c r="E294" s="9" t="s">
        <v>48</v>
      </c>
      <c r="F294" s="9" t="s">
        <v>365</v>
      </c>
      <c r="G294" s="9" t="s">
        <v>77</v>
      </c>
      <c r="H294" s="9" t="s">
        <v>51</v>
      </c>
      <c r="I294" s="9" t="s">
        <v>51</v>
      </c>
      <c r="J294" s="9" t="s">
        <v>51</v>
      </c>
      <c r="K294" s="9" t="s">
        <v>51</v>
      </c>
      <c r="L294" s="14" t="s">
        <v>53</v>
      </c>
      <c r="M294" s="9" t="s">
        <v>51</v>
      </c>
      <c r="N294" s="9" t="s">
        <v>51</v>
      </c>
      <c r="O294" s="9" t="s">
        <v>51</v>
      </c>
      <c r="P294" s="9" t="n">
        <v>252311</v>
      </c>
      <c r="Q294" s="9" t="n">
        <v>207476</v>
      </c>
      <c r="R294" s="10" t="n">
        <f aca="false">(Q294/P294)*100</f>
        <v>82.230263444717</v>
      </c>
      <c r="S294" s="9" t="n">
        <f aca="false">Y294-AD294</f>
        <v>9676</v>
      </c>
      <c r="T294" s="10" t="n">
        <f aca="false">(S294/Q294)*100</f>
        <v>4.66367194277892</v>
      </c>
      <c r="U294" s="10" t="n">
        <f aca="false">Z294+AE294</f>
        <v>63.8319612870886</v>
      </c>
      <c r="V294" s="9" t="s">
        <v>52</v>
      </c>
      <c r="W294" s="9" t="s">
        <v>53</v>
      </c>
      <c r="X294" s="9" t="s">
        <v>1695</v>
      </c>
      <c r="Y294" s="9" t="n">
        <v>71056</v>
      </c>
      <c r="Z294" s="10" t="n">
        <f aca="false">(Y294/Q294)*100</f>
        <v>34.2478166149338</v>
      </c>
      <c r="AA294" s="9" t="s">
        <v>55</v>
      </c>
      <c r="AB294" s="9" t="s">
        <v>68</v>
      </c>
      <c r="AC294" s="9" t="s">
        <v>1696</v>
      </c>
      <c r="AD294" s="9" t="n">
        <v>61380</v>
      </c>
      <c r="AE294" s="10" t="n">
        <f aca="false">(AD294/Q294)*100</f>
        <v>29.5841446721549</v>
      </c>
      <c r="AF294" s="12" t="s">
        <v>1427</v>
      </c>
      <c r="AG294" s="12" t="s">
        <v>56</v>
      </c>
      <c r="AH294" s="9" t="s">
        <v>1697</v>
      </c>
      <c r="AI294" s="9" t="n">
        <v>56727</v>
      </c>
      <c r="AJ294" s="10" t="n">
        <f aca="false">(AI294/Q294)*100</f>
        <v>27.341475640556</v>
      </c>
      <c r="AK294" s="9" t="s">
        <v>1429</v>
      </c>
      <c r="AL294" s="9" t="s">
        <v>61</v>
      </c>
      <c r="AM294" s="9" t="s">
        <v>1698</v>
      </c>
      <c r="AN294" s="9" t="n">
        <v>9348</v>
      </c>
      <c r="AO294" s="10" t="n">
        <f aca="false">(AN294/Q294)*100</f>
        <v>4.50558136844744</v>
      </c>
      <c r="AP294" s="9" t="s">
        <v>63</v>
      </c>
      <c r="AQ294" s="9" t="s">
        <v>63</v>
      </c>
      <c r="AR294" s="9" t="s">
        <v>63</v>
      </c>
      <c r="AS294" s="9" t="n">
        <v>2251</v>
      </c>
      <c r="AT294" s="10" t="n">
        <f aca="false">(AS294/Q294)*100</f>
        <v>1.08494476469568</v>
      </c>
    </row>
    <row r="295" customFormat="false" ht="12.8" hidden="false" customHeight="true" outlineLevel="0" collapsed="false">
      <c r="A295" s="33" t="n">
        <v>2016</v>
      </c>
      <c r="B295" s="8" t="n">
        <v>60</v>
      </c>
      <c r="C295" s="9" t="s">
        <v>414</v>
      </c>
      <c r="D295" s="9" t="s">
        <v>398</v>
      </c>
      <c r="E295" s="9" t="s">
        <v>48</v>
      </c>
      <c r="F295" s="9" t="s">
        <v>365</v>
      </c>
      <c r="G295" s="9" t="s">
        <v>50</v>
      </c>
      <c r="H295" s="9" t="s">
        <v>51</v>
      </c>
      <c r="I295" s="9" t="s">
        <v>51</v>
      </c>
      <c r="J295" s="9" t="s">
        <v>51</v>
      </c>
      <c r="K295" s="9" t="s">
        <v>51</v>
      </c>
      <c r="L295" s="9" t="s">
        <v>51</v>
      </c>
      <c r="M295" s="9" t="s">
        <v>68</v>
      </c>
      <c r="N295" s="9" t="s">
        <v>51</v>
      </c>
      <c r="O295" s="9" t="s">
        <v>51</v>
      </c>
      <c r="P295" s="9" t="n">
        <v>243367</v>
      </c>
      <c r="Q295" s="9" t="n">
        <v>208754</v>
      </c>
      <c r="R295" s="10" t="n">
        <f aca="false">(Q295/P295)*100</f>
        <v>85.7774472299038</v>
      </c>
      <c r="S295" s="9" t="n">
        <f aca="false">Y295-AD295</f>
        <v>12713</v>
      </c>
      <c r="T295" s="10" t="n">
        <f aca="false">(S295/Q295)*100</f>
        <v>6.08994318671738</v>
      </c>
      <c r="U295" s="10" t="n">
        <f aca="false">Z295+AJ295</f>
        <v>62.4385640514673</v>
      </c>
      <c r="V295" s="9" t="s">
        <v>55</v>
      </c>
      <c r="W295" s="9" t="s">
        <v>68</v>
      </c>
      <c r="X295" s="9" t="s">
        <v>1699</v>
      </c>
      <c r="Y295" s="9" t="n">
        <v>74234</v>
      </c>
      <c r="Z295" s="10" t="n">
        <f aca="false">(Y295/Q295)*100</f>
        <v>35.5605162056775</v>
      </c>
      <c r="AA295" s="9" t="s">
        <v>1427</v>
      </c>
      <c r="AB295" s="9" t="s">
        <v>56</v>
      </c>
      <c r="AC295" s="9" t="s">
        <v>1700</v>
      </c>
      <c r="AD295" s="9" t="n">
        <v>61521</v>
      </c>
      <c r="AE295" s="10" t="n">
        <f aca="false">(AD295/Q295)*100</f>
        <v>29.4705730189601</v>
      </c>
      <c r="AF295" s="12" t="s">
        <v>52</v>
      </c>
      <c r="AG295" s="9" t="s">
        <v>53</v>
      </c>
      <c r="AH295" s="9" t="s">
        <v>1701</v>
      </c>
      <c r="AI295" s="9" t="n">
        <v>56109</v>
      </c>
      <c r="AJ295" s="10" t="n">
        <f aca="false">(AI295/Q295)*100</f>
        <v>26.8780478457898</v>
      </c>
      <c r="AK295" s="9" t="s">
        <v>1429</v>
      </c>
      <c r="AL295" s="9" t="s">
        <v>61</v>
      </c>
      <c r="AM295" s="9" t="s">
        <v>1702</v>
      </c>
      <c r="AN295" s="9" t="n">
        <v>9441</v>
      </c>
      <c r="AO295" s="10" t="n">
        <f aca="false">(AN295/Q295)*100</f>
        <v>4.52254807093517</v>
      </c>
      <c r="AP295" s="9" t="s">
        <v>197</v>
      </c>
      <c r="AQ295" s="9" t="s">
        <v>664</v>
      </c>
      <c r="AR295" s="9" t="s">
        <v>1703</v>
      </c>
      <c r="AS295" s="9" t="n">
        <v>1760</v>
      </c>
      <c r="AT295" s="10" t="n">
        <f aca="false">(AS295/Q295)*100</f>
        <v>0.843097617291166</v>
      </c>
    </row>
    <row r="296" customFormat="false" ht="12.8" hidden="false" customHeight="true" outlineLevel="0" collapsed="false">
      <c r="A296" s="33" t="n">
        <v>2016</v>
      </c>
      <c r="B296" s="8" t="n">
        <v>61</v>
      </c>
      <c r="C296" s="9" t="s">
        <v>420</v>
      </c>
      <c r="D296" s="9" t="s">
        <v>398</v>
      </c>
      <c r="E296" s="9" t="s">
        <v>48</v>
      </c>
      <c r="F296" s="9" t="s">
        <v>365</v>
      </c>
      <c r="G296" s="9" t="s">
        <v>77</v>
      </c>
      <c r="H296" s="9" t="s">
        <v>65</v>
      </c>
      <c r="I296" s="9" t="s">
        <v>316</v>
      </c>
      <c r="J296" s="9" t="s">
        <v>51</v>
      </c>
      <c r="K296" s="9" t="s">
        <v>51</v>
      </c>
      <c r="L296" s="9" t="s">
        <v>51</v>
      </c>
      <c r="M296" s="9" t="s">
        <v>51</v>
      </c>
      <c r="N296" s="9" t="s">
        <v>51</v>
      </c>
      <c r="O296" s="9" t="s">
        <v>51</v>
      </c>
      <c r="P296" s="9" t="n">
        <v>225545</v>
      </c>
      <c r="Q296" s="9" t="n">
        <v>190134</v>
      </c>
      <c r="R296" s="10" t="n">
        <f aca="false">(Q296/P296)*100</f>
        <v>84.2998071338314</v>
      </c>
      <c r="S296" s="9" t="n">
        <f aca="false">Y296-AD296</f>
        <v>11421</v>
      </c>
      <c r="T296" s="10" t="n">
        <f aca="false">(S296/Q296)*100</f>
        <v>6.00681624538483</v>
      </c>
      <c r="U296" s="10" t="n">
        <f aca="false">Z296+AE296</f>
        <v>61.9115991879411</v>
      </c>
      <c r="V296" s="9" t="s">
        <v>55</v>
      </c>
      <c r="W296" s="9" t="s">
        <v>68</v>
      </c>
      <c r="X296" s="9" t="s">
        <v>1704</v>
      </c>
      <c r="Y296" s="9" t="n">
        <v>64568</v>
      </c>
      <c r="Z296" s="10" t="n">
        <f aca="false">(Y296/Q296)*100</f>
        <v>33.959207716663</v>
      </c>
      <c r="AA296" s="9" t="s">
        <v>52</v>
      </c>
      <c r="AB296" s="9" t="s">
        <v>53</v>
      </c>
      <c r="AC296" s="9" t="s">
        <v>1705</v>
      </c>
      <c r="AD296" s="9" t="n">
        <v>53147</v>
      </c>
      <c r="AE296" s="10" t="n">
        <f aca="false">(AD296/Q296)*100</f>
        <v>27.9523914712781</v>
      </c>
      <c r="AF296" s="12" t="s">
        <v>1429</v>
      </c>
      <c r="AG296" s="9" t="s">
        <v>257</v>
      </c>
      <c r="AH296" s="9" t="s">
        <v>1706</v>
      </c>
      <c r="AI296" s="9" t="n">
        <v>33632</v>
      </c>
      <c r="AJ296" s="10" t="n">
        <f aca="false">(AI296/Q296)*100</f>
        <v>17.6885775295318</v>
      </c>
      <c r="AK296" s="9" t="s">
        <v>1427</v>
      </c>
      <c r="AL296" s="9" t="s">
        <v>56</v>
      </c>
      <c r="AM296" s="9" t="s">
        <v>1707</v>
      </c>
      <c r="AN296" s="9" t="n">
        <v>27747</v>
      </c>
      <c r="AO296" s="10" t="n">
        <f aca="false">(AN296/Q296)*100</f>
        <v>14.5933920287797</v>
      </c>
      <c r="AP296" s="9" t="s">
        <v>197</v>
      </c>
      <c r="AQ296" s="9" t="s">
        <v>664</v>
      </c>
      <c r="AR296" s="9" t="s">
        <v>1708</v>
      </c>
      <c r="AS296" s="9" t="n">
        <v>3500</v>
      </c>
      <c r="AT296" s="10" t="n">
        <f aca="false">(AS296/Q296)*100</f>
        <v>1.84080700979309</v>
      </c>
    </row>
    <row r="297" customFormat="false" ht="12.8" hidden="false" customHeight="true" outlineLevel="0" collapsed="false">
      <c r="A297" s="33" t="n">
        <v>2016</v>
      </c>
      <c r="B297" s="8" t="n">
        <v>62</v>
      </c>
      <c r="C297" s="9" t="s">
        <v>425</v>
      </c>
      <c r="D297" s="9" t="s">
        <v>426</v>
      </c>
      <c r="E297" s="9" t="s">
        <v>48</v>
      </c>
      <c r="F297" s="9" t="s">
        <v>289</v>
      </c>
      <c r="G297" s="9" t="s">
        <v>50</v>
      </c>
      <c r="H297" s="9" t="s">
        <v>65</v>
      </c>
      <c r="I297" s="9" t="s">
        <v>51</v>
      </c>
      <c r="J297" s="9" t="s">
        <v>51</v>
      </c>
      <c r="K297" s="9" t="s">
        <v>51</v>
      </c>
      <c r="L297" s="9" t="s">
        <v>68</v>
      </c>
      <c r="M297" s="9" t="s">
        <v>51</v>
      </c>
      <c r="N297" s="9" t="s">
        <v>51</v>
      </c>
      <c r="O297" s="9" t="s">
        <v>51</v>
      </c>
      <c r="P297" s="9" t="n">
        <v>250015</v>
      </c>
      <c r="Q297" s="9" t="n">
        <v>210403</v>
      </c>
      <c r="R297" s="10" t="n">
        <f aca="false">(Q297/P297)*100</f>
        <v>84.1561506309621</v>
      </c>
      <c r="S297" s="9" t="n">
        <f aca="false">Y297-AD297</f>
        <v>12691</v>
      </c>
      <c r="T297" s="10" t="n">
        <f aca="false">(S297/Q297)*100</f>
        <v>6.03175810230843</v>
      </c>
      <c r="U297" s="10" t="n">
        <f aca="false">Z297+AE297</f>
        <v>85.1637096429234</v>
      </c>
      <c r="V297" s="9" t="s">
        <v>52</v>
      </c>
      <c r="W297" s="9" t="s">
        <v>53</v>
      </c>
      <c r="X297" s="9" t="s">
        <v>1709</v>
      </c>
      <c r="Y297" s="9" t="n">
        <v>95939</v>
      </c>
      <c r="Z297" s="10" t="n">
        <f aca="false">(Y297/Q297)*100</f>
        <v>45.5977338726159</v>
      </c>
      <c r="AA297" s="9" t="s">
        <v>55</v>
      </c>
      <c r="AB297" s="9" t="s">
        <v>68</v>
      </c>
      <c r="AC297" s="9" t="s">
        <v>1710</v>
      </c>
      <c r="AD297" s="9" t="n">
        <v>83248</v>
      </c>
      <c r="AE297" s="10" t="n">
        <f aca="false">(AD297/Q297)*100</f>
        <v>39.5659757703075</v>
      </c>
      <c r="AF297" s="9" t="s">
        <v>1427</v>
      </c>
      <c r="AG297" s="9" t="s">
        <v>56</v>
      </c>
      <c r="AH297" s="9" t="s">
        <v>1711</v>
      </c>
      <c r="AI297" s="9" t="n">
        <v>15114</v>
      </c>
      <c r="AJ297" s="10" t="n">
        <f aca="false">(AI297/Q297)*100</f>
        <v>7.18335765174451</v>
      </c>
      <c r="AK297" s="9" t="s">
        <v>1429</v>
      </c>
      <c r="AL297" s="9" t="s">
        <v>61</v>
      </c>
      <c r="AM297" s="9" t="s">
        <v>1712</v>
      </c>
      <c r="AN297" s="9" t="n">
        <v>8007</v>
      </c>
      <c r="AO297" s="10" t="n">
        <f aca="false">(AN297/Q297)*100</f>
        <v>3.80555410331602</v>
      </c>
      <c r="AP297" s="9" t="s">
        <v>63</v>
      </c>
      <c r="AQ297" s="15" t="s">
        <v>63</v>
      </c>
      <c r="AR297" s="9" t="s">
        <v>63</v>
      </c>
      <c r="AS297" s="9" t="n">
        <v>1403</v>
      </c>
      <c r="AT297" s="10" t="n">
        <f aca="false">(AS297/Q297)*100</f>
        <v>0.66681558723022</v>
      </c>
    </row>
    <row r="298" customFormat="false" ht="12.8" hidden="false" customHeight="true" outlineLevel="0" collapsed="false">
      <c r="A298" s="33" t="n">
        <v>2016</v>
      </c>
      <c r="B298" s="8" t="n">
        <v>63</v>
      </c>
      <c r="C298" s="9" t="s">
        <v>426</v>
      </c>
      <c r="D298" s="9" t="s">
        <v>426</v>
      </c>
      <c r="E298" s="9" t="s">
        <v>48</v>
      </c>
      <c r="F298" s="9" t="s">
        <v>289</v>
      </c>
      <c r="G298" s="9" t="s">
        <v>88</v>
      </c>
      <c r="H298" s="9" t="s">
        <v>51</v>
      </c>
      <c r="I298" s="9" t="s">
        <v>51</v>
      </c>
      <c r="J298" s="9" t="s">
        <v>51</v>
      </c>
      <c r="K298" s="9" t="s">
        <v>53</v>
      </c>
      <c r="L298" s="9" t="s">
        <v>53</v>
      </c>
      <c r="M298" s="9" t="s">
        <v>53</v>
      </c>
      <c r="N298" s="9" t="s">
        <v>51</v>
      </c>
      <c r="O298" s="9" t="s">
        <v>51</v>
      </c>
      <c r="P298" s="9" t="n">
        <v>255195</v>
      </c>
      <c r="Q298" s="9" t="n">
        <v>203825</v>
      </c>
      <c r="R298" s="10" t="n">
        <f aca="false">(Q298/P298)*100</f>
        <v>79.8702952644057</v>
      </c>
      <c r="S298" s="9" t="n">
        <f aca="false">Y298-AD298</f>
        <v>50348</v>
      </c>
      <c r="T298" s="10" t="n">
        <f aca="false">(S298/Q298)*100</f>
        <v>24.7015822396664</v>
      </c>
      <c r="U298" s="10" t="n">
        <f aca="false">Z298+AE298</f>
        <v>89.5964675579541</v>
      </c>
      <c r="V298" s="9" t="s">
        <v>52</v>
      </c>
      <c r="W298" s="9" t="s">
        <v>53</v>
      </c>
      <c r="X298" s="9" t="s">
        <v>1713</v>
      </c>
      <c r="Y298" s="9" t="n">
        <v>116484</v>
      </c>
      <c r="Z298" s="10" t="n">
        <f aca="false">(Y298/Q298)*100</f>
        <v>57.1490248988103</v>
      </c>
      <c r="AA298" s="9" t="s">
        <v>55</v>
      </c>
      <c r="AB298" s="9" t="s">
        <v>68</v>
      </c>
      <c r="AC298" s="9" t="s">
        <v>1714</v>
      </c>
      <c r="AD298" s="9" t="n">
        <v>66136</v>
      </c>
      <c r="AE298" s="10" t="n">
        <f aca="false">(AD298/Q298)*100</f>
        <v>32.4474426591439</v>
      </c>
      <c r="AF298" s="9" t="s">
        <v>1427</v>
      </c>
      <c r="AG298" s="9" t="s">
        <v>56</v>
      </c>
      <c r="AH298" s="9" t="s">
        <v>1715</v>
      </c>
      <c r="AI298" s="9" t="n">
        <v>7916</v>
      </c>
      <c r="AJ298" s="10" t="n">
        <f aca="false">(AI298/Q298)*100</f>
        <v>3.88372378265669</v>
      </c>
      <c r="AK298" s="9" t="s">
        <v>1429</v>
      </c>
      <c r="AL298" s="9" t="s">
        <v>61</v>
      </c>
      <c r="AM298" s="9" t="s">
        <v>1716</v>
      </c>
      <c r="AN298" s="9" t="n">
        <v>5075</v>
      </c>
      <c r="AO298" s="10" t="n">
        <f aca="false">(AN298/Q298)*100</f>
        <v>2.48988102538943</v>
      </c>
      <c r="AP298" s="9" t="s">
        <v>1431</v>
      </c>
      <c r="AQ298" s="9" t="s">
        <v>171</v>
      </c>
      <c r="AR298" s="9" t="s">
        <v>1717</v>
      </c>
      <c r="AS298" s="9" t="n">
        <v>1935</v>
      </c>
      <c r="AT298" s="10" t="n">
        <f aca="false">(AS298/Q298)*100</f>
        <v>0.949343799828284</v>
      </c>
    </row>
    <row r="299" customFormat="false" ht="12.8" hidden="false" customHeight="true" outlineLevel="0" collapsed="false">
      <c r="A299" s="33" t="n">
        <v>2016</v>
      </c>
      <c r="B299" s="8" t="n">
        <v>64</v>
      </c>
      <c r="C299" s="9" t="s">
        <v>436</v>
      </c>
      <c r="D299" s="9" t="s">
        <v>426</v>
      </c>
      <c r="E299" s="9" t="s">
        <v>48</v>
      </c>
      <c r="F299" s="9" t="s">
        <v>289</v>
      </c>
      <c r="G299" s="9" t="s">
        <v>50</v>
      </c>
      <c r="H299" s="9" t="s">
        <v>51</v>
      </c>
      <c r="I299" s="9" t="s">
        <v>51</v>
      </c>
      <c r="J299" s="9" t="s">
        <v>51</v>
      </c>
      <c r="K299" s="9" t="s">
        <v>51</v>
      </c>
      <c r="L299" s="9" t="s">
        <v>51</v>
      </c>
      <c r="M299" s="9" t="s">
        <v>51</v>
      </c>
      <c r="N299" s="9" t="s">
        <v>51</v>
      </c>
      <c r="O299" s="9" t="s">
        <v>51</v>
      </c>
      <c r="P299" s="9" t="n">
        <v>233605</v>
      </c>
      <c r="Q299" s="9" t="n">
        <v>197287</v>
      </c>
      <c r="R299" s="10" t="n">
        <f aca="false">(Q299/P299)*100</f>
        <v>84.4532437233792</v>
      </c>
      <c r="S299" s="9" t="n">
        <f aca="false">Y299-AD299</f>
        <v>34666</v>
      </c>
      <c r="T299" s="10" t="n">
        <f aca="false">(S299/Q299)*100</f>
        <v>17.5713554364961</v>
      </c>
      <c r="U299" s="10" t="n">
        <f aca="false">Z299+AE299</f>
        <v>82.8610095951583</v>
      </c>
      <c r="V299" s="9" t="s">
        <v>52</v>
      </c>
      <c r="W299" s="9" t="s">
        <v>53</v>
      </c>
      <c r="X299" s="9" t="s">
        <v>1718</v>
      </c>
      <c r="Y299" s="9" t="n">
        <v>99070</v>
      </c>
      <c r="Z299" s="10" t="n">
        <f aca="false">(Y299/Q299)*100</f>
        <v>50.2161825158272</v>
      </c>
      <c r="AA299" s="9" t="s">
        <v>55</v>
      </c>
      <c r="AB299" s="9" t="s">
        <v>68</v>
      </c>
      <c r="AC299" s="9" t="s">
        <v>1719</v>
      </c>
      <c r="AD299" s="9" t="n">
        <v>64404</v>
      </c>
      <c r="AE299" s="10" t="n">
        <f aca="false">(AD299/Q299)*100</f>
        <v>32.6448270793311</v>
      </c>
      <c r="AF299" s="9" t="s">
        <v>1427</v>
      </c>
      <c r="AG299" s="9" t="s">
        <v>56</v>
      </c>
      <c r="AH299" s="9" t="s">
        <v>1720</v>
      </c>
      <c r="AI299" s="9" t="n">
        <v>20737</v>
      </c>
      <c r="AJ299" s="10" t="n">
        <f aca="false">(AI299/Q299)*100</f>
        <v>10.5110828387071</v>
      </c>
      <c r="AK299" s="9" t="s">
        <v>1429</v>
      </c>
      <c r="AL299" s="9" t="s">
        <v>392</v>
      </c>
      <c r="AM299" s="9" t="s">
        <v>1721</v>
      </c>
      <c r="AN299" s="9" t="n">
        <v>4613</v>
      </c>
      <c r="AO299" s="10" t="n">
        <f aca="false">(AN299/Q299)*100</f>
        <v>2.33821792616848</v>
      </c>
      <c r="AP299" s="9" t="s">
        <v>85</v>
      </c>
      <c r="AQ299" s="9" t="s">
        <v>85</v>
      </c>
      <c r="AR299" s="9" t="s">
        <v>1722</v>
      </c>
      <c r="AS299" s="9" t="n">
        <v>1273</v>
      </c>
      <c r="AT299" s="10" t="n">
        <f aca="false">(AS299/Q299)*100</f>
        <v>0.645252854977774</v>
      </c>
    </row>
    <row r="300" customFormat="false" ht="12.8" hidden="false" customHeight="true" outlineLevel="0" collapsed="false">
      <c r="A300" s="33" t="n">
        <v>2016</v>
      </c>
      <c r="B300" s="8" t="n">
        <v>65</v>
      </c>
      <c r="C300" s="9" t="s">
        <v>441</v>
      </c>
      <c r="D300" s="9" t="s">
        <v>426</v>
      </c>
      <c r="E300" s="9" t="s">
        <v>48</v>
      </c>
      <c r="F300" s="9" t="s">
        <v>289</v>
      </c>
      <c r="G300" s="9" t="s">
        <v>50</v>
      </c>
      <c r="H300" s="9" t="s">
        <v>51</v>
      </c>
      <c r="I300" s="9" t="s">
        <v>51</v>
      </c>
      <c r="J300" s="9" t="s">
        <v>51</v>
      </c>
      <c r="K300" s="9" t="s">
        <v>51</v>
      </c>
      <c r="L300" s="14" t="s">
        <v>53</v>
      </c>
      <c r="M300" s="9" t="s">
        <v>51</v>
      </c>
      <c r="N300" s="9" t="s">
        <v>68</v>
      </c>
      <c r="O300" s="9" t="s">
        <v>51</v>
      </c>
      <c r="P300" s="9" t="n">
        <v>219301</v>
      </c>
      <c r="Q300" s="9" t="n">
        <v>185859</v>
      </c>
      <c r="R300" s="10" t="n">
        <f aca="false">(Q300/P300)*100</f>
        <v>84.7506395319675</v>
      </c>
      <c r="S300" s="9" t="n">
        <f aca="false">Y300-AD300</f>
        <v>26414</v>
      </c>
      <c r="T300" s="10" t="n">
        <f aca="false">(S300/Q300)*100</f>
        <v>14.2118487670761</v>
      </c>
      <c r="U300" s="10" t="n">
        <f aca="false">Z300+AE300</f>
        <v>76.6032314819299</v>
      </c>
      <c r="V300" s="9" t="s">
        <v>55</v>
      </c>
      <c r="W300" s="9" t="s">
        <v>68</v>
      </c>
      <c r="X300" s="9" t="s">
        <v>1723</v>
      </c>
      <c r="Y300" s="9" t="n">
        <v>84394</v>
      </c>
      <c r="Z300" s="10" t="n">
        <f aca="false">(Y300/Q300)*100</f>
        <v>45.407540124503</v>
      </c>
      <c r="AA300" s="9" t="s">
        <v>52</v>
      </c>
      <c r="AB300" s="9" t="s">
        <v>66</v>
      </c>
      <c r="AC300" s="9" t="s">
        <v>1724</v>
      </c>
      <c r="AD300" s="9" t="n">
        <v>57980</v>
      </c>
      <c r="AE300" s="10" t="n">
        <f aca="false">(AD300/Q300)*100</f>
        <v>31.1956913574269</v>
      </c>
      <c r="AF300" s="9" t="s">
        <v>1427</v>
      </c>
      <c r="AG300" s="9" t="s">
        <v>56</v>
      </c>
      <c r="AH300" s="9" t="s">
        <v>1725</v>
      </c>
      <c r="AI300" s="9" t="n">
        <v>23825</v>
      </c>
      <c r="AJ300" s="10" t="n">
        <f aca="false">(AI300/Q300)*100</f>
        <v>12.8188573058071</v>
      </c>
      <c r="AK300" s="9" t="s">
        <v>1429</v>
      </c>
      <c r="AL300" s="9" t="s">
        <v>61</v>
      </c>
      <c r="AM300" s="9" t="s">
        <v>1726</v>
      </c>
      <c r="AN300" s="9" t="n">
        <v>9932</v>
      </c>
      <c r="AO300" s="10" t="n">
        <f aca="false">(AN300/Q300)*100</f>
        <v>5.34383591862649</v>
      </c>
      <c r="AP300" s="9" t="s">
        <v>63</v>
      </c>
      <c r="AQ300" s="9" t="s">
        <v>63</v>
      </c>
      <c r="AR300" s="9" t="s">
        <v>63</v>
      </c>
      <c r="AS300" s="9" t="n">
        <v>1510</v>
      </c>
      <c r="AT300" s="10" t="n">
        <f aca="false">(AS300/Q300)*100</f>
        <v>0.812443841837092</v>
      </c>
    </row>
    <row r="301" customFormat="false" ht="12.8" hidden="false" customHeight="true" outlineLevel="0" collapsed="false">
      <c r="A301" s="33" t="n">
        <v>2016</v>
      </c>
      <c r="B301" s="8" t="n">
        <v>66</v>
      </c>
      <c r="C301" s="9" t="s">
        <v>446</v>
      </c>
      <c r="D301" s="9" t="s">
        <v>426</v>
      </c>
      <c r="E301" s="9" t="s">
        <v>48</v>
      </c>
      <c r="F301" s="9" t="s">
        <v>289</v>
      </c>
      <c r="G301" s="9" t="s">
        <v>50</v>
      </c>
      <c r="H301" s="9" t="s">
        <v>51</v>
      </c>
      <c r="I301" s="9" t="s">
        <v>51</v>
      </c>
      <c r="J301" s="9" t="s">
        <v>51</v>
      </c>
      <c r="K301" s="9" t="s">
        <v>51</v>
      </c>
      <c r="L301" s="9" t="s">
        <v>51</v>
      </c>
      <c r="M301" s="9" t="s">
        <v>51</v>
      </c>
      <c r="N301" s="9" t="s">
        <v>51</v>
      </c>
      <c r="O301" s="9" t="s">
        <v>51</v>
      </c>
      <c r="P301" s="9" t="n">
        <v>227936</v>
      </c>
      <c r="Q301" s="9" t="n">
        <v>195714</v>
      </c>
      <c r="R301" s="10" t="n">
        <f aca="false">(Q301/P301)*100</f>
        <v>85.8635757405587</v>
      </c>
      <c r="S301" s="9" t="n">
        <f aca="false">Y301-AD301</f>
        <v>8273</v>
      </c>
      <c r="T301" s="10" t="n">
        <f aca="false">(S301/Q301)*100</f>
        <v>4.22708646289995</v>
      </c>
      <c r="U301" s="10" t="n">
        <f aca="false">Z301+AE301</f>
        <v>63.8191442615245</v>
      </c>
      <c r="V301" s="9" t="s">
        <v>52</v>
      </c>
      <c r="W301" s="9" t="s">
        <v>53</v>
      </c>
      <c r="X301" s="9" t="s">
        <v>1727</v>
      </c>
      <c r="Y301" s="9" t="n">
        <v>66588</v>
      </c>
      <c r="Z301" s="10" t="n">
        <f aca="false">(Y301/Q301)*100</f>
        <v>34.0231153622122</v>
      </c>
      <c r="AA301" s="9" t="s">
        <v>55</v>
      </c>
      <c r="AB301" s="9" t="s">
        <v>68</v>
      </c>
      <c r="AC301" s="9" t="s">
        <v>1728</v>
      </c>
      <c r="AD301" s="9" t="n">
        <v>58315</v>
      </c>
      <c r="AE301" s="10" t="n">
        <f aca="false">(AD301/Q301)*100</f>
        <v>29.7960288993123</v>
      </c>
      <c r="AF301" s="9" t="s">
        <v>197</v>
      </c>
      <c r="AG301" s="9" t="s">
        <v>197</v>
      </c>
      <c r="AH301" s="9" t="s">
        <v>1609</v>
      </c>
      <c r="AI301" s="9" t="n">
        <v>38861</v>
      </c>
      <c r="AJ301" s="10" t="n">
        <f aca="false">(AI301/Q301)*100</f>
        <v>19.8560143883422</v>
      </c>
      <c r="AK301" s="9" t="s">
        <v>1427</v>
      </c>
      <c r="AL301" s="9" t="s">
        <v>56</v>
      </c>
      <c r="AM301" s="9" t="s">
        <v>1729</v>
      </c>
      <c r="AN301" s="9" t="n">
        <v>17184</v>
      </c>
      <c r="AO301" s="10" t="n">
        <f aca="false">(AN301/Q301)*100</f>
        <v>8.78015880315154</v>
      </c>
      <c r="AP301" s="9" t="s">
        <v>1429</v>
      </c>
      <c r="AQ301" s="9" t="s">
        <v>422</v>
      </c>
      <c r="AR301" s="9" t="s">
        <v>1730</v>
      </c>
      <c r="AS301" s="9" t="n">
        <v>5000</v>
      </c>
      <c r="AT301" s="10" t="n">
        <f aca="false">(AS301/Q301)*100</f>
        <v>2.55474825510694</v>
      </c>
    </row>
    <row r="302" customFormat="false" ht="12.8" hidden="false" customHeight="true" outlineLevel="0" collapsed="false">
      <c r="A302" s="33" t="n">
        <v>2016</v>
      </c>
      <c r="B302" s="8" t="n">
        <v>67</v>
      </c>
      <c r="C302" s="9" t="s">
        <v>452</v>
      </c>
      <c r="D302" s="9" t="s">
        <v>426</v>
      </c>
      <c r="E302" s="9" t="s">
        <v>48</v>
      </c>
      <c r="F302" s="9" t="s">
        <v>289</v>
      </c>
      <c r="G302" s="9" t="s">
        <v>77</v>
      </c>
      <c r="H302" s="9" t="s">
        <v>51</v>
      </c>
      <c r="I302" s="9" t="s">
        <v>51</v>
      </c>
      <c r="J302" s="9" t="s">
        <v>51</v>
      </c>
      <c r="K302" s="9" t="s">
        <v>51</v>
      </c>
      <c r="L302" s="9" t="s">
        <v>51</v>
      </c>
      <c r="M302" s="9" t="s">
        <v>51</v>
      </c>
      <c r="N302" s="9" t="s">
        <v>51</v>
      </c>
      <c r="O302" s="9" t="s">
        <v>51</v>
      </c>
      <c r="P302" s="9" t="n">
        <v>256327</v>
      </c>
      <c r="Q302" s="9" t="n">
        <v>209545</v>
      </c>
      <c r="R302" s="10" t="n">
        <f aca="false">(Q302/P302)*100</f>
        <v>81.7490939307993</v>
      </c>
      <c r="S302" s="9" t="n">
        <f aca="false">Y302-AD302</f>
        <v>7327</v>
      </c>
      <c r="T302" s="10" t="n">
        <f aca="false">(S302/Q302)*100</f>
        <v>3.49662363692763</v>
      </c>
      <c r="U302" s="10" t="n">
        <f aca="false">Z302+AE302</f>
        <v>86.2922045384046</v>
      </c>
      <c r="V302" s="9" t="s">
        <v>55</v>
      </c>
      <c r="W302" s="9" t="s">
        <v>68</v>
      </c>
      <c r="X302" s="9" t="s">
        <v>1555</v>
      </c>
      <c r="Y302" s="9" t="n">
        <v>94074</v>
      </c>
      <c r="Z302" s="10" t="n">
        <f aca="false">(Y302/Q302)*100</f>
        <v>44.8944140876661</v>
      </c>
      <c r="AA302" s="9" t="s">
        <v>52</v>
      </c>
      <c r="AB302" s="9" t="s">
        <v>53</v>
      </c>
      <c r="AC302" s="9" t="s">
        <v>1731</v>
      </c>
      <c r="AD302" s="9" t="n">
        <v>86747</v>
      </c>
      <c r="AE302" s="10" t="n">
        <f aca="false">(AD302/Q302)*100</f>
        <v>41.3977904507385</v>
      </c>
      <c r="AF302" s="9" t="s">
        <v>1427</v>
      </c>
      <c r="AG302" s="9" t="s">
        <v>56</v>
      </c>
      <c r="AH302" s="9" t="s">
        <v>1732</v>
      </c>
      <c r="AI302" s="9" t="n">
        <v>12877</v>
      </c>
      <c r="AJ302" s="10" t="n">
        <f aca="false">(AI302/Q302)*100</f>
        <v>6.14521940394665</v>
      </c>
      <c r="AK302" s="9" t="s">
        <v>1429</v>
      </c>
      <c r="AL302" s="9" t="s">
        <v>61</v>
      </c>
      <c r="AM302" s="9" t="s">
        <v>1733</v>
      </c>
      <c r="AN302" s="9" t="n">
        <v>7025</v>
      </c>
      <c r="AO302" s="10" t="n">
        <f aca="false">(AN302/Q302)*100</f>
        <v>3.35250184924479</v>
      </c>
      <c r="AP302" s="9" t="s">
        <v>63</v>
      </c>
      <c r="AQ302" s="9" t="s">
        <v>63</v>
      </c>
      <c r="AR302" s="9" t="s">
        <v>63</v>
      </c>
      <c r="AS302" s="9" t="n">
        <v>1749</v>
      </c>
      <c r="AT302" s="10" t="n">
        <f aca="false">(AS302/Q302)*100</f>
        <v>0.834665584957885</v>
      </c>
    </row>
    <row r="303" customFormat="false" ht="12.8" hidden="false" customHeight="true" outlineLevel="0" collapsed="false">
      <c r="A303" s="33" t="n">
        <v>2016</v>
      </c>
      <c r="B303" s="8" t="n">
        <v>68</v>
      </c>
      <c r="C303" s="9" t="s">
        <v>458</v>
      </c>
      <c r="D303" s="9" t="s">
        <v>426</v>
      </c>
      <c r="E303" s="9" t="s">
        <v>48</v>
      </c>
      <c r="F303" s="9" t="s">
        <v>289</v>
      </c>
      <c r="G303" s="9" t="s">
        <v>77</v>
      </c>
      <c r="H303" s="9" t="s">
        <v>51</v>
      </c>
      <c r="I303" s="9" t="s">
        <v>51</v>
      </c>
      <c r="J303" s="9" t="s">
        <v>51</v>
      </c>
      <c r="K303" s="9" t="s">
        <v>51</v>
      </c>
      <c r="L303" s="9" t="s">
        <v>53</v>
      </c>
      <c r="M303" s="9" t="s">
        <v>51</v>
      </c>
      <c r="N303" s="9" t="s">
        <v>53</v>
      </c>
      <c r="O303" s="9" t="s">
        <v>51</v>
      </c>
      <c r="P303" s="9" t="n">
        <v>243084</v>
      </c>
      <c r="Q303" s="9" t="n">
        <v>205813</v>
      </c>
      <c r="R303" s="10" t="n">
        <f aca="false">(Q303/P303)*100</f>
        <v>84.6674400618716</v>
      </c>
      <c r="S303" s="9" t="n">
        <f aca="false">Y303-AD303</f>
        <v>8527</v>
      </c>
      <c r="T303" s="10" t="n">
        <f aca="false">(S303/Q303)*100</f>
        <v>4.14308134082881</v>
      </c>
      <c r="U303" s="10" t="n">
        <f aca="false">Z303+AE303</f>
        <v>71.4264890944693</v>
      </c>
      <c r="V303" s="9" t="s">
        <v>55</v>
      </c>
      <c r="W303" s="9" t="s">
        <v>68</v>
      </c>
      <c r="X303" s="9" t="s">
        <v>1734</v>
      </c>
      <c r="Y303" s="9" t="n">
        <v>77766</v>
      </c>
      <c r="Z303" s="10" t="n">
        <f aca="false">(Y303/Q303)*100</f>
        <v>37.784785217649</v>
      </c>
      <c r="AA303" s="9" t="s">
        <v>52</v>
      </c>
      <c r="AB303" s="9" t="s">
        <v>66</v>
      </c>
      <c r="AC303" s="9" t="s">
        <v>1735</v>
      </c>
      <c r="AD303" s="9" t="n">
        <v>69239</v>
      </c>
      <c r="AE303" s="10" t="n">
        <f aca="false">(AD303/Q303)*100</f>
        <v>33.6417038768202</v>
      </c>
      <c r="AF303" s="9" t="s">
        <v>1427</v>
      </c>
      <c r="AG303" s="9" t="s">
        <v>56</v>
      </c>
      <c r="AH303" s="9" t="s">
        <v>1736</v>
      </c>
      <c r="AI303" s="9" t="n">
        <v>37491</v>
      </c>
      <c r="AJ303" s="10" t="n">
        <f aca="false">(AI303/Q303)*100</f>
        <v>18.2160504924373</v>
      </c>
      <c r="AK303" s="9" t="s">
        <v>1429</v>
      </c>
      <c r="AL303" s="9" t="s">
        <v>61</v>
      </c>
      <c r="AM303" s="9" t="s">
        <v>1737</v>
      </c>
      <c r="AN303" s="9" t="n">
        <v>10855</v>
      </c>
      <c r="AO303" s="10" t="n">
        <f aca="false">(AN303/Q303)*100</f>
        <v>5.27420522513155</v>
      </c>
      <c r="AP303" s="9" t="s">
        <v>1431</v>
      </c>
      <c r="AQ303" s="9" t="s">
        <v>171</v>
      </c>
      <c r="AR303" s="9" t="s">
        <v>1738</v>
      </c>
      <c r="AS303" s="9" t="n">
        <v>2388</v>
      </c>
      <c r="AT303" s="10" t="n">
        <f aca="false">(AS303/Q303)*100</f>
        <v>1.16027656173322</v>
      </c>
    </row>
    <row r="304" customFormat="false" ht="12.8" hidden="false" customHeight="true" outlineLevel="0" collapsed="false">
      <c r="A304" s="33" t="n">
        <v>2016</v>
      </c>
      <c r="B304" s="8" t="n">
        <v>69</v>
      </c>
      <c r="C304" s="9" t="s">
        <v>463</v>
      </c>
      <c r="D304" s="9" t="s">
        <v>426</v>
      </c>
      <c r="E304" s="9" t="s">
        <v>48</v>
      </c>
      <c r="F304" s="9" t="s">
        <v>289</v>
      </c>
      <c r="G304" s="9" t="s">
        <v>77</v>
      </c>
      <c r="H304" s="9" t="s">
        <v>65</v>
      </c>
      <c r="I304" s="9" t="s">
        <v>51</v>
      </c>
      <c r="J304" s="9" t="s">
        <v>51</v>
      </c>
      <c r="K304" s="9" t="s">
        <v>51</v>
      </c>
      <c r="L304" s="9" t="s">
        <v>51</v>
      </c>
      <c r="M304" s="9" t="s">
        <v>51</v>
      </c>
      <c r="N304" s="9" t="s">
        <v>51</v>
      </c>
      <c r="O304" s="9" t="s">
        <v>51</v>
      </c>
      <c r="P304" s="9" t="n">
        <v>222453</v>
      </c>
      <c r="Q304" s="9" t="n">
        <v>181476</v>
      </c>
      <c r="R304" s="10" t="n">
        <f aca="false">(Q304/P304)*100</f>
        <v>81.5794797103208</v>
      </c>
      <c r="S304" s="9" t="n">
        <f aca="false">Y304-AD304</f>
        <v>18068</v>
      </c>
      <c r="T304" s="10" t="n">
        <f aca="false">(S304/Q304)*100</f>
        <v>9.95613745068219</v>
      </c>
      <c r="U304" s="10" t="n">
        <f aca="false">Z304+AE304</f>
        <v>78.4368180916485</v>
      </c>
      <c r="V304" s="9" t="s">
        <v>52</v>
      </c>
      <c r="W304" s="9" t="s">
        <v>53</v>
      </c>
      <c r="X304" s="9" t="s">
        <v>1739</v>
      </c>
      <c r="Y304" s="9" t="n">
        <v>80206</v>
      </c>
      <c r="Z304" s="10" t="n">
        <f aca="false">(Y304/Q304)*100</f>
        <v>44.1964777711653</v>
      </c>
      <c r="AA304" s="9" t="s">
        <v>55</v>
      </c>
      <c r="AB304" s="9" t="s">
        <v>68</v>
      </c>
      <c r="AC304" s="9" t="s">
        <v>1740</v>
      </c>
      <c r="AD304" s="9" t="n">
        <v>62138</v>
      </c>
      <c r="AE304" s="10" t="n">
        <f aca="false">(AD304/Q304)*100</f>
        <v>34.2403403204832</v>
      </c>
      <c r="AF304" s="9" t="s">
        <v>1427</v>
      </c>
      <c r="AG304" s="9" t="s">
        <v>56</v>
      </c>
      <c r="AH304" s="9" t="s">
        <v>1741</v>
      </c>
      <c r="AI304" s="9" t="n">
        <v>24277</v>
      </c>
      <c r="AJ304" s="10" t="n">
        <f aca="false">(AI304/Q304)*100</f>
        <v>13.3775265048822</v>
      </c>
      <c r="AK304" s="9" t="s">
        <v>1429</v>
      </c>
      <c r="AL304" s="9" t="s">
        <v>257</v>
      </c>
      <c r="AM304" s="9" t="s">
        <v>1742</v>
      </c>
      <c r="AN304" s="9" t="n">
        <v>7745</v>
      </c>
      <c r="AO304" s="10" t="n">
        <f aca="false">(AN304/Q304)*100</f>
        <v>4.26778196565937</v>
      </c>
      <c r="AP304" s="9" t="s">
        <v>63</v>
      </c>
      <c r="AQ304" s="9" t="s">
        <v>63</v>
      </c>
      <c r="AR304" s="9" t="s">
        <v>63</v>
      </c>
      <c r="AS304" s="9" t="n">
        <v>2421</v>
      </c>
      <c r="AT304" s="10" t="n">
        <f aca="false">(AS304/Q304)*100</f>
        <v>1.33406070224162</v>
      </c>
    </row>
    <row r="305" customFormat="false" ht="12.8" hidden="false" customHeight="true" outlineLevel="0" collapsed="false">
      <c r="A305" s="33" t="n">
        <v>2016</v>
      </c>
      <c r="B305" s="8" t="n">
        <v>70</v>
      </c>
      <c r="C305" s="9" t="s">
        <v>468</v>
      </c>
      <c r="D305" s="9" t="s">
        <v>469</v>
      </c>
      <c r="E305" s="9" t="s">
        <v>48</v>
      </c>
      <c r="F305" s="9" t="s">
        <v>470</v>
      </c>
      <c r="G305" s="9" t="s">
        <v>50</v>
      </c>
      <c r="H305" s="9" t="s">
        <v>51</v>
      </c>
      <c r="I305" s="9" t="s">
        <v>51</v>
      </c>
      <c r="J305" s="9" t="s">
        <v>51</v>
      </c>
      <c r="K305" s="9" t="s">
        <v>51</v>
      </c>
      <c r="L305" s="9" t="s">
        <v>53</v>
      </c>
      <c r="M305" s="9" t="s">
        <v>51</v>
      </c>
      <c r="N305" s="9" t="s">
        <v>53</v>
      </c>
      <c r="O305" s="9" t="s">
        <v>51</v>
      </c>
      <c r="P305" s="9" t="n">
        <v>251396</v>
      </c>
      <c r="Q305" s="9" t="n">
        <v>201024</v>
      </c>
      <c r="R305" s="10" t="n">
        <f aca="false">(Q305/P305)*100</f>
        <v>79.9630861270665</v>
      </c>
      <c r="S305" s="9" t="n">
        <f aca="false">Y305-AD305</f>
        <v>22057</v>
      </c>
      <c r="T305" s="10" t="n">
        <f aca="false">(S305/Q305)*100</f>
        <v>10.9723217128303</v>
      </c>
      <c r="U305" s="10" t="n">
        <f aca="false">Z305+AE305</f>
        <v>77.0171720789558</v>
      </c>
      <c r="V305" s="9" t="s">
        <v>52</v>
      </c>
      <c r="W305" s="9" t="s">
        <v>53</v>
      </c>
      <c r="X305" s="9" t="s">
        <v>1743</v>
      </c>
      <c r="Y305" s="9" t="n">
        <v>88440</v>
      </c>
      <c r="Z305" s="10" t="n">
        <f aca="false">(Y305/Q305)*100</f>
        <v>43.994746895893</v>
      </c>
      <c r="AA305" s="9" t="s">
        <v>55</v>
      </c>
      <c r="AB305" s="9" t="s">
        <v>68</v>
      </c>
      <c r="AC305" s="9" t="s">
        <v>1744</v>
      </c>
      <c r="AD305" s="9" t="n">
        <v>66383</v>
      </c>
      <c r="AE305" s="10" t="n">
        <f aca="false">(AD305/Q305)*100</f>
        <v>33.0224251830627</v>
      </c>
      <c r="AF305" s="9" t="s">
        <v>1427</v>
      </c>
      <c r="AG305" s="9" t="s">
        <v>56</v>
      </c>
      <c r="AH305" s="9" t="s">
        <v>1745</v>
      </c>
      <c r="AI305" s="9" t="n">
        <v>28515</v>
      </c>
      <c r="AJ305" s="10" t="n">
        <f aca="false">(AI305/Q305)*100</f>
        <v>14.1848734479465</v>
      </c>
      <c r="AK305" s="9" t="s">
        <v>1429</v>
      </c>
      <c r="AL305" s="9" t="s">
        <v>271</v>
      </c>
      <c r="AM305" s="9" t="s">
        <v>1746</v>
      </c>
      <c r="AN305" s="9" t="n">
        <v>10672</v>
      </c>
      <c r="AO305" s="10" t="n">
        <f aca="false">(AN305/Q305)*100</f>
        <v>5.3088188475008</v>
      </c>
      <c r="AP305" s="9" t="s">
        <v>63</v>
      </c>
      <c r="AQ305" s="9" t="s">
        <v>63</v>
      </c>
      <c r="AR305" s="9" t="s">
        <v>63</v>
      </c>
      <c r="AS305" s="9" t="n">
        <v>2326</v>
      </c>
      <c r="AT305" s="10" t="n">
        <f aca="false">(AS305/Q305)*100</f>
        <v>1.15707577204712</v>
      </c>
    </row>
    <row r="306" customFormat="false" ht="12.8" hidden="false" customHeight="true" outlineLevel="0" collapsed="false">
      <c r="A306" s="33" t="n">
        <v>2016</v>
      </c>
      <c r="B306" s="8" t="n">
        <v>71</v>
      </c>
      <c r="C306" s="9" t="s">
        <v>475</v>
      </c>
      <c r="D306" s="9" t="s">
        <v>469</v>
      </c>
      <c r="E306" s="9" t="s">
        <v>48</v>
      </c>
      <c r="F306" s="9" t="s">
        <v>470</v>
      </c>
      <c r="G306" s="9" t="s">
        <v>50</v>
      </c>
      <c r="H306" s="9" t="s">
        <v>51</v>
      </c>
      <c r="I306" s="9" t="s">
        <v>51</v>
      </c>
      <c r="J306" s="9" t="s">
        <v>51</v>
      </c>
      <c r="K306" s="9" t="s">
        <v>51</v>
      </c>
      <c r="L306" s="9" t="s">
        <v>51</v>
      </c>
      <c r="M306" s="9" t="s">
        <v>51</v>
      </c>
      <c r="N306" s="9" t="s">
        <v>51</v>
      </c>
      <c r="O306" s="9" t="s">
        <v>51</v>
      </c>
      <c r="P306" s="9" t="n">
        <v>211372</v>
      </c>
      <c r="Q306" s="9" t="n">
        <v>171211</v>
      </c>
      <c r="R306" s="10" t="n">
        <f aca="false">(Q306/P306)*100</f>
        <v>80.9998486081411</v>
      </c>
      <c r="S306" s="9" t="n">
        <f aca="false">Y306-AD306</f>
        <v>12306</v>
      </c>
      <c r="T306" s="10" t="n">
        <f aca="false">(S306/Q306)*100</f>
        <v>7.18762229062385</v>
      </c>
      <c r="U306" s="10" t="n">
        <f aca="false">Z306+AE306</f>
        <v>75.6107960353015</v>
      </c>
      <c r="V306" s="9" t="s">
        <v>52</v>
      </c>
      <c r="W306" s="9" t="s">
        <v>53</v>
      </c>
      <c r="X306" s="9" t="s">
        <v>1747</v>
      </c>
      <c r="Y306" s="9" t="n">
        <v>70880</v>
      </c>
      <c r="Z306" s="10" t="n">
        <f aca="false">(Y306/Q306)*100</f>
        <v>41.3992091629627</v>
      </c>
      <c r="AA306" s="9" t="s">
        <v>55</v>
      </c>
      <c r="AB306" s="9" t="s">
        <v>68</v>
      </c>
      <c r="AC306" s="9" t="s">
        <v>1748</v>
      </c>
      <c r="AD306" s="9" t="n">
        <v>58574</v>
      </c>
      <c r="AE306" s="10" t="n">
        <f aca="false">(AD306/Q306)*100</f>
        <v>34.2115868723388</v>
      </c>
      <c r="AF306" s="9" t="s">
        <v>1427</v>
      </c>
      <c r="AG306" s="9" t="s">
        <v>56</v>
      </c>
      <c r="AH306" s="9" t="s">
        <v>1749</v>
      </c>
      <c r="AI306" s="9" t="n">
        <v>25711</v>
      </c>
      <c r="AJ306" s="10" t="n">
        <f aca="false">(AI306/Q306)*100</f>
        <v>15.0171425901373</v>
      </c>
      <c r="AK306" s="9" t="s">
        <v>1429</v>
      </c>
      <c r="AL306" s="9" t="s">
        <v>257</v>
      </c>
      <c r="AM306" s="9" t="s">
        <v>1750</v>
      </c>
      <c r="AN306" s="9" t="n">
        <v>10866</v>
      </c>
      <c r="AO306" s="10" t="n">
        <f aca="false">(AN306/Q306)*100</f>
        <v>6.34655483584583</v>
      </c>
      <c r="AP306" s="9" t="s">
        <v>63</v>
      </c>
      <c r="AQ306" s="9" t="s">
        <v>63</v>
      </c>
      <c r="AR306" s="9" t="s">
        <v>63</v>
      </c>
      <c r="AS306" s="9" t="n">
        <v>1722</v>
      </c>
      <c r="AT306" s="10" t="n">
        <f aca="false">(AS306/Q306)*100</f>
        <v>1.00577649800539</v>
      </c>
    </row>
    <row r="307" customFormat="false" ht="12.8" hidden="false" customHeight="true" outlineLevel="0" collapsed="false">
      <c r="A307" s="33" t="n">
        <v>2016</v>
      </c>
      <c r="B307" s="8" t="n">
        <v>72</v>
      </c>
      <c r="C307" s="9" t="s">
        <v>480</v>
      </c>
      <c r="D307" s="9" t="s">
        <v>469</v>
      </c>
      <c r="E307" s="9" t="s">
        <v>48</v>
      </c>
      <c r="F307" s="9" t="s">
        <v>470</v>
      </c>
      <c r="G307" s="9" t="s">
        <v>77</v>
      </c>
      <c r="H307" s="9" t="s">
        <v>51</v>
      </c>
      <c r="I307" s="9" t="s">
        <v>51</v>
      </c>
      <c r="J307" s="9" t="s">
        <v>51</v>
      </c>
      <c r="K307" s="9" t="s">
        <v>51</v>
      </c>
      <c r="L307" s="9" t="s">
        <v>51</v>
      </c>
      <c r="M307" s="9" t="s">
        <v>51</v>
      </c>
      <c r="N307" s="9" t="s">
        <v>51</v>
      </c>
      <c r="O307" s="9" t="s">
        <v>51</v>
      </c>
      <c r="P307" s="9" t="n">
        <v>221864</v>
      </c>
      <c r="Q307" s="9" t="n">
        <v>175150</v>
      </c>
      <c r="R307" s="10" t="n">
        <f aca="false">(Q307/P307)*100</f>
        <v>78.9447589514297</v>
      </c>
      <c r="S307" s="9" t="n">
        <f aca="false">Y307-AD307</f>
        <v>101</v>
      </c>
      <c r="T307" s="10" t="n">
        <f aca="false">(S307/Q307)*100</f>
        <v>0.0576648586925492</v>
      </c>
      <c r="U307" s="10" t="n">
        <f aca="false">Z307+AE307</f>
        <v>70.6006280331145</v>
      </c>
      <c r="V307" s="9" t="s">
        <v>52</v>
      </c>
      <c r="W307" s="9" t="s">
        <v>53</v>
      </c>
      <c r="X307" s="9" t="s">
        <v>1751</v>
      </c>
      <c r="Y307" s="9" t="n">
        <v>61879</v>
      </c>
      <c r="Z307" s="10" t="n">
        <f aca="false">(Y307/Q307)*100</f>
        <v>35.3291464459035</v>
      </c>
      <c r="AA307" s="9" t="s">
        <v>55</v>
      </c>
      <c r="AB307" s="9" t="s">
        <v>68</v>
      </c>
      <c r="AC307" s="9" t="s">
        <v>1752</v>
      </c>
      <c r="AD307" s="9" t="n">
        <v>61778</v>
      </c>
      <c r="AE307" s="10" t="n">
        <f aca="false">(AD307/Q307)*100</f>
        <v>35.271481587211</v>
      </c>
      <c r="AF307" s="9" t="s">
        <v>1427</v>
      </c>
      <c r="AG307" s="9" t="s">
        <v>56</v>
      </c>
      <c r="AH307" s="9" t="s">
        <v>1753</v>
      </c>
      <c r="AI307" s="9" t="n">
        <v>29848</v>
      </c>
      <c r="AJ307" s="10" t="n">
        <f aca="false">(AI307/Q307)*100</f>
        <v>17.0413930916357</v>
      </c>
      <c r="AK307" s="9" t="s">
        <v>1429</v>
      </c>
      <c r="AL307" s="9" t="s">
        <v>61</v>
      </c>
      <c r="AM307" s="9" t="s">
        <v>1754</v>
      </c>
      <c r="AN307" s="9" t="n">
        <v>14928</v>
      </c>
      <c r="AO307" s="10" t="n">
        <f aca="false">(AN307/Q307)*100</f>
        <v>8.52298030259777</v>
      </c>
      <c r="AP307" s="9" t="s">
        <v>63</v>
      </c>
      <c r="AQ307" s="9" t="s">
        <v>63</v>
      </c>
      <c r="AR307" s="9" t="s">
        <v>63</v>
      </c>
      <c r="AS307" s="9" t="n">
        <v>2112</v>
      </c>
      <c r="AT307" s="10" t="n">
        <f aca="false">(AS307/Q307)*100</f>
        <v>1.20582357978875</v>
      </c>
    </row>
    <row r="308" customFormat="false" ht="12.8" hidden="false" customHeight="true" outlineLevel="0" collapsed="false">
      <c r="A308" s="33" t="n">
        <v>2016</v>
      </c>
      <c r="B308" s="8" t="n">
        <v>73</v>
      </c>
      <c r="C308" s="9" t="s">
        <v>486</v>
      </c>
      <c r="D308" s="9" t="s">
        <v>469</v>
      </c>
      <c r="E308" s="9" t="s">
        <v>48</v>
      </c>
      <c r="F308" s="9" t="s">
        <v>470</v>
      </c>
      <c r="G308" s="9" t="s">
        <v>50</v>
      </c>
      <c r="H308" s="9" t="s">
        <v>65</v>
      </c>
      <c r="I308" s="9" t="s">
        <v>51</v>
      </c>
      <c r="J308" s="9" t="s">
        <v>51</v>
      </c>
      <c r="K308" s="9" t="s">
        <v>51</v>
      </c>
      <c r="L308" s="9" t="s">
        <v>51</v>
      </c>
      <c r="M308" s="9" t="s">
        <v>68</v>
      </c>
      <c r="N308" s="9" t="s">
        <v>53</v>
      </c>
      <c r="O308" s="9" t="s">
        <v>51</v>
      </c>
      <c r="P308" s="9" t="n">
        <v>221269</v>
      </c>
      <c r="Q308" s="9" t="n">
        <v>174428</v>
      </c>
      <c r="R308" s="10" t="n">
        <f aca="false">(Q308/P308)*100</f>
        <v>78.8307444784403</v>
      </c>
      <c r="S308" s="9" t="n">
        <f aca="false">Y308-AD308</f>
        <v>10223</v>
      </c>
      <c r="T308" s="10" t="n">
        <f aca="false">(S308/Q308)*100</f>
        <v>5.86087096108423</v>
      </c>
      <c r="U308" s="10" t="n">
        <f aca="false">Z308+AE308</f>
        <v>67.7133258421813</v>
      </c>
      <c r="V308" s="9" t="s">
        <v>55</v>
      </c>
      <c r="W308" s="9" t="s">
        <v>68</v>
      </c>
      <c r="X308" s="9" t="s">
        <v>1755</v>
      </c>
      <c r="Y308" s="9" t="n">
        <v>64167</v>
      </c>
      <c r="Z308" s="10" t="n">
        <f aca="false">(Y308/Q308)*100</f>
        <v>36.7870984016328</v>
      </c>
      <c r="AA308" s="9" t="s">
        <v>52</v>
      </c>
      <c r="AB308" s="9" t="s">
        <v>53</v>
      </c>
      <c r="AC308" s="9" t="s">
        <v>1756</v>
      </c>
      <c r="AD308" s="9" t="n">
        <v>53944</v>
      </c>
      <c r="AE308" s="10" t="n">
        <f aca="false">(AD308/Q308)*100</f>
        <v>30.9262274405485</v>
      </c>
      <c r="AF308" s="9" t="s">
        <v>1427</v>
      </c>
      <c r="AG308" s="9" t="s">
        <v>56</v>
      </c>
      <c r="AH308" s="9" t="s">
        <v>1757</v>
      </c>
      <c r="AI308" s="9" t="n">
        <v>27240</v>
      </c>
      <c r="AJ308" s="10" t="n">
        <f aca="false">(AI308/Q308)*100</f>
        <v>15.6167587772605</v>
      </c>
      <c r="AK308" s="9" t="s">
        <v>1429</v>
      </c>
      <c r="AL308" s="9" t="s">
        <v>257</v>
      </c>
      <c r="AM308" s="9" t="s">
        <v>1758</v>
      </c>
      <c r="AN308" s="9" t="n">
        <v>23873</v>
      </c>
      <c r="AO308" s="10" t="n">
        <f aca="false">(AN308/Q308)*100</f>
        <v>13.6864494232577</v>
      </c>
      <c r="AP308" s="9" t="s">
        <v>1431</v>
      </c>
      <c r="AQ308" s="9" t="s">
        <v>171</v>
      </c>
      <c r="AR308" s="9" t="s">
        <v>1759</v>
      </c>
      <c r="AS308" s="9" t="n">
        <v>1716</v>
      </c>
      <c r="AT308" s="10" t="n">
        <f aca="false">(AS308/Q308)*100</f>
        <v>0.983787006673241</v>
      </c>
    </row>
    <row r="309" customFormat="false" ht="12.8" hidden="false" customHeight="true" outlineLevel="0" collapsed="false">
      <c r="A309" s="33" t="n">
        <v>2016</v>
      </c>
      <c r="B309" s="8" t="n">
        <v>74</v>
      </c>
      <c r="C309" s="9" t="s">
        <v>492</v>
      </c>
      <c r="D309" s="9" t="s">
        <v>469</v>
      </c>
      <c r="E309" s="9" t="s">
        <v>48</v>
      </c>
      <c r="F309" s="9" t="s">
        <v>470</v>
      </c>
      <c r="G309" s="9" t="s">
        <v>77</v>
      </c>
      <c r="H309" s="9" t="s">
        <v>51</v>
      </c>
      <c r="I309" s="9" t="s">
        <v>51</v>
      </c>
      <c r="J309" s="9" t="s">
        <v>51</v>
      </c>
      <c r="K309" s="9" t="s">
        <v>51</v>
      </c>
      <c r="L309" s="9" t="s">
        <v>53</v>
      </c>
      <c r="M309" s="9" t="s">
        <v>51</v>
      </c>
      <c r="N309" s="9" t="s">
        <v>51</v>
      </c>
      <c r="O309" s="9" t="s">
        <v>51</v>
      </c>
      <c r="P309" s="9" t="n">
        <v>247327</v>
      </c>
      <c r="Q309" s="9" t="n">
        <v>188964</v>
      </c>
      <c r="R309" s="10" t="n">
        <f aca="false">(Q309/P309)*100</f>
        <v>76.4024954816902</v>
      </c>
      <c r="S309" s="9" t="n">
        <f aca="false">Y309-AD309</f>
        <v>22291</v>
      </c>
      <c r="T309" s="10" t="n">
        <f aca="false">(S309/Q309)*100</f>
        <v>11.7964268326242</v>
      </c>
      <c r="U309" s="10" t="n">
        <f aca="false">Z309+AE309</f>
        <v>61.6789441375077</v>
      </c>
      <c r="V309" s="9" t="s">
        <v>55</v>
      </c>
      <c r="W309" s="9" t="s">
        <v>68</v>
      </c>
      <c r="X309" s="9" t="s">
        <v>1760</v>
      </c>
      <c r="Y309" s="9" t="n">
        <v>69421</v>
      </c>
      <c r="Z309" s="10" t="n">
        <f aca="false">(Y309/Q309)*100</f>
        <v>36.7376854850659</v>
      </c>
      <c r="AA309" s="9" t="s">
        <v>52</v>
      </c>
      <c r="AB309" s="9" t="s">
        <v>342</v>
      </c>
      <c r="AC309" s="9" t="s">
        <v>1761</v>
      </c>
      <c r="AD309" s="9" t="n">
        <v>47130</v>
      </c>
      <c r="AE309" s="10" t="n">
        <f aca="false">(AD309/Q309)*100</f>
        <v>24.9412586524417</v>
      </c>
      <c r="AF309" s="9" t="s">
        <v>1427</v>
      </c>
      <c r="AG309" s="9" t="s">
        <v>56</v>
      </c>
      <c r="AH309" s="9" t="s">
        <v>1762</v>
      </c>
      <c r="AI309" s="9" t="n">
        <v>36456</v>
      </c>
      <c r="AJ309" s="10" t="n">
        <f aca="false">(AI309/Q309)*100</f>
        <v>19.2925636629199</v>
      </c>
      <c r="AK309" s="9" t="s">
        <v>1429</v>
      </c>
      <c r="AL309" s="9" t="s">
        <v>61</v>
      </c>
      <c r="AM309" s="9" t="s">
        <v>1763</v>
      </c>
      <c r="AN309" s="9" t="n">
        <v>24907</v>
      </c>
      <c r="AO309" s="10" t="n">
        <f aca="false">(AN309/Q309)*100</f>
        <v>13.1808175102136</v>
      </c>
      <c r="AP309" s="12" t="s">
        <v>1431</v>
      </c>
      <c r="AQ309" s="9" t="s">
        <v>171</v>
      </c>
      <c r="AR309" s="9" t="s">
        <v>1764</v>
      </c>
      <c r="AS309" s="9" t="n">
        <v>2188</v>
      </c>
      <c r="AT309" s="10" t="n">
        <f aca="false">(AS309/Q309)*100</f>
        <v>1.15789250862598</v>
      </c>
    </row>
    <row r="310" customFormat="false" ht="12.8" hidden="false" customHeight="true" outlineLevel="0" collapsed="false">
      <c r="A310" s="33" t="n">
        <v>2016</v>
      </c>
      <c r="B310" s="8" t="n">
        <v>75</v>
      </c>
      <c r="C310" s="9" t="s">
        <v>498</v>
      </c>
      <c r="D310" s="9" t="s">
        <v>469</v>
      </c>
      <c r="E310" s="9" t="s">
        <v>48</v>
      </c>
      <c r="F310" s="9" t="s">
        <v>470</v>
      </c>
      <c r="G310" s="9" t="s">
        <v>50</v>
      </c>
      <c r="H310" s="9" t="s">
        <v>51</v>
      </c>
      <c r="I310" s="9" t="s">
        <v>51</v>
      </c>
      <c r="J310" s="9" t="s">
        <v>51</v>
      </c>
      <c r="K310" s="9" t="s">
        <v>51</v>
      </c>
      <c r="L310" s="9" t="s">
        <v>51</v>
      </c>
      <c r="M310" s="9" t="s">
        <v>51</v>
      </c>
      <c r="N310" s="9" t="s">
        <v>51</v>
      </c>
      <c r="O310" s="9" t="s">
        <v>51</v>
      </c>
      <c r="P310" s="9" t="n">
        <v>218619</v>
      </c>
      <c r="Q310" s="9" t="n">
        <v>178637</v>
      </c>
      <c r="R310" s="10" t="n">
        <f aca="false">(Q310/P310)*100</f>
        <v>81.7115621240606</v>
      </c>
      <c r="S310" s="9" t="n">
        <f aca="false">Y310-AD310</f>
        <v>6912</v>
      </c>
      <c r="T310" s="10" t="n">
        <f aca="false">(S310/Q310)*100</f>
        <v>3.86929919333621</v>
      </c>
      <c r="U310" s="10" t="n">
        <f aca="false">Z310+AE310</f>
        <v>67.5123294726177</v>
      </c>
      <c r="V310" s="9" t="s">
        <v>52</v>
      </c>
      <c r="W310" s="9" t="s">
        <v>53</v>
      </c>
      <c r="X310" s="9" t="s">
        <v>1765</v>
      </c>
      <c r="Y310" s="9" t="n">
        <v>63757</v>
      </c>
      <c r="Z310" s="10" t="n">
        <f aca="false">(Y310/Q310)*100</f>
        <v>35.6908143329769</v>
      </c>
      <c r="AA310" s="9" t="s">
        <v>55</v>
      </c>
      <c r="AB310" s="9" t="s">
        <v>68</v>
      </c>
      <c r="AC310" s="9" t="s">
        <v>1766</v>
      </c>
      <c r="AD310" s="9" t="n">
        <v>56845</v>
      </c>
      <c r="AE310" s="10" t="n">
        <f aca="false">(AD310/Q310)*100</f>
        <v>31.8215151396407</v>
      </c>
      <c r="AF310" s="9" t="s">
        <v>1427</v>
      </c>
      <c r="AG310" s="9" t="s">
        <v>56</v>
      </c>
      <c r="AH310" s="9" t="s">
        <v>1767</v>
      </c>
      <c r="AI310" s="9" t="n">
        <v>41428</v>
      </c>
      <c r="AJ310" s="10" t="n">
        <f aca="false">(AI310/Q310)*100</f>
        <v>23.1911642045041</v>
      </c>
      <c r="AK310" s="9" t="s">
        <v>1429</v>
      </c>
      <c r="AL310" s="9" t="s">
        <v>422</v>
      </c>
      <c r="AM310" s="9" t="s">
        <v>1768</v>
      </c>
      <c r="AN310" s="9" t="n">
        <v>9981</v>
      </c>
      <c r="AO310" s="10" t="n">
        <f aca="false">(AN310/Q310)*100</f>
        <v>5.58730834037741</v>
      </c>
      <c r="AP310" s="9" t="s">
        <v>63</v>
      </c>
      <c r="AQ310" s="9" t="s">
        <v>63</v>
      </c>
      <c r="AR310" s="9" t="s">
        <v>63</v>
      </c>
      <c r="AS310" s="9" t="n">
        <v>1385</v>
      </c>
      <c r="AT310" s="10" t="n">
        <f aca="false">(AS310/Q310)*100</f>
        <v>0.77531530422029</v>
      </c>
    </row>
    <row r="311" customFormat="false" ht="12.8" hidden="false" customHeight="true" outlineLevel="0" collapsed="false">
      <c r="A311" s="33" t="n">
        <v>2016</v>
      </c>
      <c r="B311" s="8" t="n">
        <v>76</v>
      </c>
      <c r="C311" s="9" t="s">
        <v>503</v>
      </c>
      <c r="D311" s="9" t="s">
        <v>469</v>
      </c>
      <c r="E311" s="9" t="s">
        <v>48</v>
      </c>
      <c r="F311" s="9" t="s">
        <v>470</v>
      </c>
      <c r="G311" s="9" t="s">
        <v>50</v>
      </c>
      <c r="H311" s="9" t="s">
        <v>51</v>
      </c>
      <c r="I311" s="9" t="s">
        <v>51</v>
      </c>
      <c r="J311" s="9" t="s">
        <v>51</v>
      </c>
      <c r="K311" s="9" t="s">
        <v>51</v>
      </c>
      <c r="L311" s="9" t="s">
        <v>51</v>
      </c>
      <c r="M311" s="9" t="s">
        <v>51</v>
      </c>
      <c r="N311" s="9" t="s">
        <v>51</v>
      </c>
      <c r="O311" s="9" t="s">
        <v>51</v>
      </c>
      <c r="P311" s="9" t="n">
        <v>239087</v>
      </c>
      <c r="Q311" s="9" t="n">
        <v>188438</v>
      </c>
      <c r="R311" s="10" t="n">
        <f aca="false">(Q311/P311)*100</f>
        <v>78.8156612446515</v>
      </c>
      <c r="S311" s="9" t="n">
        <f aca="false">Y311-AD311</f>
        <v>41057</v>
      </c>
      <c r="T311" s="10" t="n">
        <f aca="false">(S311/Q311)*100</f>
        <v>21.7880682240312</v>
      </c>
      <c r="U311" s="10" t="n">
        <f aca="false">Z311+AE311</f>
        <v>77.8064933824388</v>
      </c>
      <c r="V311" s="9" t="s">
        <v>52</v>
      </c>
      <c r="W311" s="9" t="s">
        <v>53</v>
      </c>
      <c r="X311" s="9" t="s">
        <v>1769</v>
      </c>
      <c r="Y311" s="9" t="n">
        <v>93837</v>
      </c>
      <c r="Z311" s="10" t="n">
        <f aca="false">(Y311/Q311)*100</f>
        <v>49.797280803235</v>
      </c>
      <c r="AA311" s="9" t="s">
        <v>55</v>
      </c>
      <c r="AB311" s="9" t="s">
        <v>68</v>
      </c>
      <c r="AC311" s="9" t="s">
        <v>1770</v>
      </c>
      <c r="AD311" s="9" t="n">
        <v>52780</v>
      </c>
      <c r="AE311" s="10" t="n">
        <f aca="false">(AD311/Q311)*100</f>
        <v>28.0092125792038</v>
      </c>
      <c r="AF311" s="9" t="s">
        <v>1427</v>
      </c>
      <c r="AG311" s="9" t="s">
        <v>56</v>
      </c>
      <c r="AH311" s="9" t="s">
        <v>1771</v>
      </c>
      <c r="AI311" s="9" t="n">
        <v>18822</v>
      </c>
      <c r="AJ311" s="10" t="n">
        <f aca="false">(AI311/Q311)*100</f>
        <v>9.98843120814273</v>
      </c>
      <c r="AK311" s="9" t="s">
        <v>1429</v>
      </c>
      <c r="AL311" s="9" t="s">
        <v>1338</v>
      </c>
      <c r="AM311" s="9" t="s">
        <v>1772</v>
      </c>
      <c r="AN311" s="9" t="n">
        <v>15045</v>
      </c>
      <c r="AO311" s="10" t="n">
        <f aca="false">(AN311/Q311)*100</f>
        <v>7.98405841709209</v>
      </c>
      <c r="AP311" s="9" t="s">
        <v>63</v>
      </c>
      <c r="AQ311" s="9" t="s">
        <v>63</v>
      </c>
      <c r="AR311" s="9" t="s">
        <v>63</v>
      </c>
      <c r="AS311" s="9" t="n">
        <v>2110</v>
      </c>
      <c r="AT311" s="10" t="n">
        <f aca="false">(AS311/Q311)*100</f>
        <v>1.11973168893748</v>
      </c>
    </row>
    <row r="312" customFormat="false" ht="12.8" hidden="false" customHeight="true" outlineLevel="0" collapsed="false">
      <c r="A312" s="33" t="n">
        <v>2016</v>
      </c>
      <c r="B312" s="8" t="n">
        <v>77</v>
      </c>
      <c r="C312" s="9" t="s">
        <v>508</v>
      </c>
      <c r="D312" s="9" t="s">
        <v>509</v>
      </c>
      <c r="E312" s="9" t="s">
        <v>48</v>
      </c>
      <c r="F312" s="9" t="s">
        <v>470</v>
      </c>
      <c r="G312" s="9" t="s">
        <v>50</v>
      </c>
      <c r="H312" s="9" t="s">
        <v>51</v>
      </c>
      <c r="I312" s="9" t="s">
        <v>51</v>
      </c>
      <c r="J312" s="9" t="s">
        <v>61</v>
      </c>
      <c r="K312" s="9" t="s">
        <v>51</v>
      </c>
      <c r="L312" s="9" t="s">
        <v>51</v>
      </c>
      <c r="M312" s="9" t="s">
        <v>51</v>
      </c>
      <c r="N312" s="9" t="s">
        <v>51</v>
      </c>
      <c r="O312" s="9" t="s">
        <v>51</v>
      </c>
      <c r="P312" s="9" t="n">
        <v>274436</v>
      </c>
      <c r="Q312" s="9" t="n">
        <v>227476</v>
      </c>
      <c r="R312" s="10" t="n">
        <f aca="false">(Q312/P312)*100</f>
        <v>82.8885423195208</v>
      </c>
      <c r="S312" s="9" t="n">
        <f aca="false">Y312-AD312</f>
        <v>4164</v>
      </c>
      <c r="T312" s="10" t="n">
        <f aca="false">(S312/Q312)*100</f>
        <v>1.83052278042519</v>
      </c>
      <c r="U312" s="10" t="n">
        <f aca="false">Z312+AE312</f>
        <v>70.2412562204364</v>
      </c>
      <c r="V312" s="9" t="s">
        <v>55</v>
      </c>
      <c r="W312" s="9" t="s">
        <v>68</v>
      </c>
      <c r="X312" s="9" t="s">
        <v>1773</v>
      </c>
      <c r="Y312" s="9" t="n">
        <v>81973</v>
      </c>
      <c r="Z312" s="10" t="n">
        <f aca="false">(Y312/Q312)*100</f>
        <v>36.0358895004308</v>
      </c>
      <c r="AA312" s="9" t="s">
        <v>52</v>
      </c>
      <c r="AB312" s="9" t="s">
        <v>53</v>
      </c>
      <c r="AC312" s="9" t="s">
        <v>1774</v>
      </c>
      <c r="AD312" s="9" t="n">
        <v>77809</v>
      </c>
      <c r="AE312" s="10" t="n">
        <f aca="false">(AD312/Q312)*100</f>
        <v>34.2053667200056</v>
      </c>
      <c r="AF312" s="9" t="s">
        <v>1429</v>
      </c>
      <c r="AG312" s="9" t="s">
        <v>61</v>
      </c>
      <c r="AH312" s="9" t="s">
        <v>1775</v>
      </c>
      <c r="AI312" s="9" t="n">
        <v>34447</v>
      </c>
      <c r="AJ312" s="10" t="n">
        <f aca="false">(AI312/Q312)*100</f>
        <v>15.1431359791802</v>
      </c>
      <c r="AK312" s="9" t="s">
        <v>1427</v>
      </c>
      <c r="AL312" s="9" t="s">
        <v>56</v>
      </c>
      <c r="AM312" s="9" t="s">
        <v>1776</v>
      </c>
      <c r="AN312" s="9" t="n">
        <v>20233</v>
      </c>
      <c r="AO312" s="10" t="n">
        <f aca="false">(AN312/Q312)*100</f>
        <v>8.89456470133113</v>
      </c>
      <c r="AP312" s="9" t="s">
        <v>197</v>
      </c>
      <c r="AQ312" s="9" t="s">
        <v>197</v>
      </c>
      <c r="AR312" s="9" t="s">
        <v>1777</v>
      </c>
      <c r="AS312" s="9" t="n">
        <v>2657</v>
      </c>
      <c r="AT312" s="10" t="n">
        <f aca="false">(AS312/Q312)*100</f>
        <v>1.16803530921943</v>
      </c>
    </row>
    <row r="313" customFormat="false" ht="12.8" hidden="false" customHeight="true" outlineLevel="0" collapsed="false">
      <c r="A313" s="33" t="n">
        <v>2016</v>
      </c>
      <c r="B313" s="8" t="n">
        <v>78</v>
      </c>
      <c r="C313" s="9" t="s">
        <v>514</v>
      </c>
      <c r="D313" s="9" t="s">
        <v>509</v>
      </c>
      <c r="E313" s="9" t="s">
        <v>48</v>
      </c>
      <c r="F313" s="9" t="s">
        <v>470</v>
      </c>
      <c r="G313" s="9" t="s">
        <v>50</v>
      </c>
      <c r="H313" s="9" t="s">
        <v>51</v>
      </c>
      <c r="I313" s="9" t="s">
        <v>51</v>
      </c>
      <c r="J313" s="9" t="s">
        <v>51</v>
      </c>
      <c r="K313" s="9" t="s">
        <v>51</v>
      </c>
      <c r="L313" s="9" t="s">
        <v>51</v>
      </c>
      <c r="M313" s="9" t="s">
        <v>51</v>
      </c>
      <c r="N313" s="9" t="s">
        <v>51</v>
      </c>
      <c r="O313" s="9" t="s">
        <v>515</v>
      </c>
      <c r="P313" s="9" t="n">
        <v>244427</v>
      </c>
      <c r="Q313" s="9" t="n">
        <v>196697</v>
      </c>
      <c r="R313" s="10" t="n">
        <f aca="false">(Q313/P313)*100</f>
        <v>80.4726973697669</v>
      </c>
      <c r="S313" s="9" t="n">
        <f aca="false">Y313-AD313</f>
        <v>20503</v>
      </c>
      <c r="T313" s="10" t="n">
        <f aca="false">(S313/Q313)*100</f>
        <v>10.4236465223161</v>
      </c>
      <c r="U313" s="10" t="n">
        <f aca="false">Z313+AE313</f>
        <v>83.7384403422523</v>
      </c>
      <c r="V313" s="9" t="s">
        <v>52</v>
      </c>
      <c r="W313" s="9" t="s">
        <v>53</v>
      </c>
      <c r="X313" s="9" t="s">
        <v>1778</v>
      </c>
      <c r="Y313" s="9" t="n">
        <v>92607</v>
      </c>
      <c r="Z313" s="10" t="n">
        <f aca="false">(Y313/Q313)*100</f>
        <v>47.0810434322842</v>
      </c>
      <c r="AA313" s="9" t="s">
        <v>55</v>
      </c>
      <c r="AB313" s="9" t="s">
        <v>68</v>
      </c>
      <c r="AC313" s="9" t="s">
        <v>1779</v>
      </c>
      <c r="AD313" s="9" t="n">
        <v>72104</v>
      </c>
      <c r="AE313" s="10" t="n">
        <f aca="false">(AD313/Q313)*100</f>
        <v>36.6573969099681</v>
      </c>
      <c r="AF313" s="12" t="s">
        <v>1429</v>
      </c>
      <c r="AG313" s="9" t="s">
        <v>61</v>
      </c>
      <c r="AH313" s="9" t="s">
        <v>1780</v>
      </c>
      <c r="AI313" s="9" t="n">
        <v>14239</v>
      </c>
      <c r="AJ313" s="10" t="n">
        <f aca="false">(AI313/Q313)*100</f>
        <v>7.23905295962826</v>
      </c>
      <c r="AK313" s="9" t="s">
        <v>1427</v>
      </c>
      <c r="AL313" s="9" t="s">
        <v>56</v>
      </c>
      <c r="AM313" s="9" t="s">
        <v>1781</v>
      </c>
      <c r="AN313" s="9" t="n">
        <v>8148</v>
      </c>
      <c r="AO313" s="10" t="n">
        <f aca="false">(AN313/Q313)*100</f>
        <v>4.14241193307473</v>
      </c>
      <c r="AP313" s="9" t="s">
        <v>197</v>
      </c>
      <c r="AQ313" s="9" t="s">
        <v>197</v>
      </c>
      <c r="AR313" s="9" t="s">
        <v>1782</v>
      </c>
      <c r="AS313" s="9" t="n">
        <v>1710</v>
      </c>
      <c r="AT313" s="10" t="n">
        <f aca="false">(AS313/Q313)*100</f>
        <v>0.869357438090057</v>
      </c>
    </row>
    <row r="314" customFormat="false" ht="12.8" hidden="false" customHeight="true" outlineLevel="0" collapsed="false">
      <c r="A314" s="33" t="n">
        <v>2016</v>
      </c>
      <c r="B314" s="8" t="n">
        <v>79</v>
      </c>
      <c r="C314" s="9" t="s">
        <v>520</v>
      </c>
      <c r="D314" s="9" t="s">
        <v>509</v>
      </c>
      <c r="E314" s="9" t="s">
        <v>48</v>
      </c>
      <c r="F314" s="9" t="s">
        <v>470</v>
      </c>
      <c r="G314" s="9" t="s">
        <v>50</v>
      </c>
      <c r="H314" s="9" t="s">
        <v>51</v>
      </c>
      <c r="I314" s="9" t="s">
        <v>51</v>
      </c>
      <c r="J314" s="9" t="s">
        <v>51</v>
      </c>
      <c r="K314" s="9" t="s">
        <v>51</v>
      </c>
      <c r="L314" s="9" t="s">
        <v>51</v>
      </c>
      <c r="M314" s="9" t="s">
        <v>51</v>
      </c>
      <c r="N314" s="9" t="s">
        <v>51</v>
      </c>
      <c r="O314" s="9" t="s">
        <v>51</v>
      </c>
      <c r="P314" s="9" t="n">
        <v>250770</v>
      </c>
      <c r="Q314" s="9" t="n">
        <v>203295</v>
      </c>
      <c r="R314" s="10" t="n">
        <f aca="false">(Q314/P314)*100</f>
        <v>81.0683096064122</v>
      </c>
      <c r="S314" s="9" t="n">
        <f aca="false">Y314-AD314</f>
        <v>14528</v>
      </c>
      <c r="T314" s="10" t="n">
        <f aca="false">(S314/Q314)*100</f>
        <v>7.14626527951991</v>
      </c>
      <c r="U314" s="10" t="n">
        <f aca="false">Z314+AE314</f>
        <v>82.3001057576428</v>
      </c>
      <c r="V314" s="9" t="s">
        <v>52</v>
      </c>
      <c r="W314" s="9" t="s">
        <v>53</v>
      </c>
      <c r="X314" s="9" t="s">
        <v>1783</v>
      </c>
      <c r="Y314" s="9" t="n">
        <v>90920</v>
      </c>
      <c r="Z314" s="10" t="n">
        <f aca="false">(Y314/Q314)*100</f>
        <v>44.7231855185814</v>
      </c>
      <c r="AA314" s="9" t="s">
        <v>55</v>
      </c>
      <c r="AB314" s="9" t="s">
        <v>68</v>
      </c>
      <c r="AC314" s="9" t="s">
        <v>1784</v>
      </c>
      <c r="AD314" s="9" t="n">
        <v>76392</v>
      </c>
      <c r="AE314" s="10" t="n">
        <f aca="false">(AD314/Q314)*100</f>
        <v>37.5769202390615</v>
      </c>
      <c r="AF314" s="9" t="s">
        <v>1427</v>
      </c>
      <c r="AG314" s="9" t="s">
        <v>56</v>
      </c>
      <c r="AH314" s="9" t="s">
        <v>1785</v>
      </c>
      <c r="AI314" s="9" t="n">
        <v>13612</v>
      </c>
      <c r="AJ314" s="10" t="n">
        <f aca="false">(AI314/Q314)*100</f>
        <v>6.69568853144445</v>
      </c>
      <c r="AK314" s="9" t="s">
        <v>1429</v>
      </c>
      <c r="AL314" s="9" t="s">
        <v>61</v>
      </c>
      <c r="AM314" s="9" t="s">
        <v>1786</v>
      </c>
      <c r="AN314" s="9" t="n">
        <v>13343</v>
      </c>
      <c r="AO314" s="10" t="n">
        <f aca="false">(AN314/Q314)*100</f>
        <v>6.56336850389828</v>
      </c>
      <c r="AP314" s="9" t="s">
        <v>197</v>
      </c>
      <c r="AQ314" s="9" t="s">
        <v>664</v>
      </c>
      <c r="AR314" s="9" t="s">
        <v>1787</v>
      </c>
      <c r="AS314" s="9" t="n">
        <v>1189</v>
      </c>
      <c r="AT314" s="10" t="n">
        <f aca="false">(AS314/Q314)*100</f>
        <v>0.584864359674365</v>
      </c>
    </row>
    <row r="315" customFormat="false" ht="12.8" hidden="false" customHeight="true" outlineLevel="0" collapsed="false">
      <c r="A315" s="33" t="n">
        <v>2016</v>
      </c>
      <c r="B315" s="8" t="n">
        <v>80</v>
      </c>
      <c r="C315" s="9" t="s">
        <v>509</v>
      </c>
      <c r="D315" s="9" t="s">
        <v>509</v>
      </c>
      <c r="E315" s="9" t="s">
        <v>48</v>
      </c>
      <c r="F315" s="9" t="s">
        <v>470</v>
      </c>
      <c r="G315" s="9" t="s">
        <v>77</v>
      </c>
      <c r="H315" s="9" t="s">
        <v>65</v>
      </c>
      <c r="I315" s="9" t="s">
        <v>526</v>
      </c>
      <c r="J315" s="9" t="s">
        <v>51</v>
      </c>
      <c r="K315" s="9" t="s">
        <v>51</v>
      </c>
      <c r="L315" s="9" t="s">
        <v>51</v>
      </c>
      <c r="M315" s="9" t="s">
        <v>68</v>
      </c>
      <c r="N315" s="9" t="s">
        <v>51</v>
      </c>
      <c r="O315" s="9" t="s">
        <v>51</v>
      </c>
      <c r="P315" s="9" t="n">
        <v>264140</v>
      </c>
      <c r="Q315" s="9" t="n">
        <v>213719</v>
      </c>
      <c r="R315" s="10" t="n">
        <f aca="false">(Q315/P315)*100</f>
        <v>80.9112591807375</v>
      </c>
      <c r="S315" s="9" t="n">
        <f aca="false">Y315-AD315</f>
        <v>4104</v>
      </c>
      <c r="T315" s="10" t="n">
        <f aca="false">(S315/Q315)*100</f>
        <v>1.92027849653049</v>
      </c>
      <c r="U315" s="10" t="n">
        <f aca="false">Z315+AE315</f>
        <v>82.4035298686593</v>
      </c>
      <c r="V315" s="9" t="s">
        <v>55</v>
      </c>
      <c r="W315" s="9" t="s">
        <v>68</v>
      </c>
      <c r="X315" s="9" t="s">
        <v>1788</v>
      </c>
      <c r="Y315" s="9" t="n">
        <v>90108</v>
      </c>
      <c r="Z315" s="10" t="n">
        <f aca="false">(Y315/Q315)*100</f>
        <v>42.1619041825949</v>
      </c>
      <c r="AA315" s="9" t="s">
        <v>52</v>
      </c>
      <c r="AB315" s="9" t="s">
        <v>53</v>
      </c>
      <c r="AC315" s="9" t="s">
        <v>1789</v>
      </c>
      <c r="AD315" s="9" t="n">
        <v>86004</v>
      </c>
      <c r="AE315" s="10" t="n">
        <f aca="false">(AD315/Q315)*100</f>
        <v>40.2416256860644</v>
      </c>
      <c r="AF315" s="9" t="s">
        <v>1429</v>
      </c>
      <c r="AG315" s="9" t="s">
        <v>257</v>
      </c>
      <c r="AH315" s="9" t="s">
        <v>1790</v>
      </c>
      <c r="AI315" s="9" t="n">
        <v>17492</v>
      </c>
      <c r="AJ315" s="10" t="n">
        <f aca="false">(AI315/Q315)*100</f>
        <v>8.184578816109</v>
      </c>
      <c r="AK315" s="9" t="s">
        <v>1427</v>
      </c>
      <c r="AL315" s="9" t="s">
        <v>56</v>
      </c>
      <c r="AM315" s="9" t="s">
        <v>1791</v>
      </c>
      <c r="AN315" s="9" t="n">
        <v>9736</v>
      </c>
      <c r="AO315" s="10" t="n">
        <f aca="false">(AN315/Q315)*100</f>
        <v>4.55551448397195</v>
      </c>
      <c r="AP315" s="9" t="s">
        <v>63</v>
      </c>
      <c r="AQ315" s="9" t="s">
        <v>63</v>
      </c>
      <c r="AR315" s="9" t="s">
        <v>63</v>
      </c>
      <c r="AS315" s="9" t="n">
        <v>3008</v>
      </c>
      <c r="AT315" s="10" t="n">
        <f aca="false">(AS315/Q315)*100</f>
        <v>1.40745558420169</v>
      </c>
    </row>
    <row r="316" customFormat="false" ht="12.8" hidden="false" customHeight="true" outlineLevel="0" collapsed="false">
      <c r="A316" s="33" t="n">
        <v>2016</v>
      </c>
      <c r="B316" s="8" t="n">
        <v>151</v>
      </c>
      <c r="C316" s="9" t="s">
        <v>531</v>
      </c>
      <c r="D316" s="9" t="s">
        <v>532</v>
      </c>
      <c r="E316" s="9" t="s">
        <v>48</v>
      </c>
      <c r="F316" s="9" t="s">
        <v>470</v>
      </c>
      <c r="G316" s="9" t="s">
        <v>50</v>
      </c>
      <c r="H316" s="9" t="s">
        <v>65</v>
      </c>
      <c r="I316" s="9" t="s">
        <v>51</v>
      </c>
      <c r="J316" s="9" t="s">
        <v>51</v>
      </c>
      <c r="K316" s="9" t="s">
        <v>51</v>
      </c>
      <c r="L316" s="9" t="s">
        <v>51</v>
      </c>
      <c r="M316" s="9" t="s">
        <v>51</v>
      </c>
      <c r="N316" s="9" t="s">
        <v>51</v>
      </c>
      <c r="O316" s="9" t="s">
        <v>51</v>
      </c>
      <c r="P316" s="9" t="n">
        <v>206089</v>
      </c>
      <c r="Q316" s="9" t="n">
        <v>160176</v>
      </c>
      <c r="R316" s="10" t="n">
        <f aca="false">(Q316/P316)*100</f>
        <v>77.7217609867581</v>
      </c>
      <c r="S316" s="9" t="n">
        <f aca="false">Y316-AD316</f>
        <v>2212</v>
      </c>
      <c r="T316" s="10" t="n">
        <f aca="false">(S316/Q316)*100</f>
        <v>1.38098092098691</v>
      </c>
      <c r="U316" s="10" t="n">
        <f aca="false">Z316+AE316</f>
        <v>79.9533013684947</v>
      </c>
      <c r="V316" s="9" t="s">
        <v>52</v>
      </c>
      <c r="W316" s="9" t="s">
        <v>53</v>
      </c>
      <c r="X316" s="9" t="s">
        <v>1792</v>
      </c>
      <c r="Y316" s="9" t="n">
        <v>65139</v>
      </c>
      <c r="Z316" s="10" t="n">
        <f aca="false">(Y316/Q316)*100</f>
        <v>40.6671411447408</v>
      </c>
      <c r="AA316" s="9" t="s">
        <v>55</v>
      </c>
      <c r="AB316" s="9" t="s">
        <v>68</v>
      </c>
      <c r="AC316" s="9" t="s">
        <v>1793</v>
      </c>
      <c r="AD316" s="9" t="n">
        <v>62927</v>
      </c>
      <c r="AE316" s="10" t="n">
        <f aca="false">(AD316/Q316)*100</f>
        <v>39.2861602237539</v>
      </c>
      <c r="AF316" s="9" t="s">
        <v>1429</v>
      </c>
      <c r="AG316" s="9" t="s">
        <v>61</v>
      </c>
      <c r="AH316" s="9" t="s">
        <v>1794</v>
      </c>
      <c r="AI316" s="9" t="n">
        <v>14657</v>
      </c>
      <c r="AJ316" s="10" t="n">
        <f aca="false">(AI316/Q316)*100</f>
        <v>9.15055938467686</v>
      </c>
      <c r="AK316" s="9" t="s">
        <v>1427</v>
      </c>
      <c r="AL316" s="9" t="s">
        <v>56</v>
      </c>
      <c r="AM316" s="9" t="s">
        <v>1795</v>
      </c>
      <c r="AN316" s="9" t="n">
        <v>11438</v>
      </c>
      <c r="AO316" s="10" t="n">
        <f aca="false">(AN316/Q316)*100</f>
        <v>7.14089501548297</v>
      </c>
      <c r="AP316" s="9" t="s">
        <v>63</v>
      </c>
      <c r="AQ316" s="9" t="s">
        <v>63</v>
      </c>
      <c r="AR316" s="9" t="s">
        <v>63</v>
      </c>
      <c r="AS316" s="9" t="n">
        <v>1957</v>
      </c>
      <c r="AT316" s="10" t="n">
        <f aca="false">(AS316/Q316)*100</f>
        <v>1.22178104085506</v>
      </c>
    </row>
    <row r="317" customFormat="false" ht="12.8" hidden="false" customHeight="true" outlineLevel="0" collapsed="false">
      <c r="A317" s="33" t="n">
        <v>2016</v>
      </c>
      <c r="B317" s="8" t="n">
        <v>152</v>
      </c>
      <c r="C317" s="9" t="s">
        <v>538</v>
      </c>
      <c r="D317" s="9" t="s">
        <v>532</v>
      </c>
      <c r="E317" s="9" t="s">
        <v>48</v>
      </c>
      <c r="F317" s="9" t="s">
        <v>470</v>
      </c>
      <c r="G317" s="9" t="s">
        <v>77</v>
      </c>
      <c r="H317" s="9" t="s">
        <v>51</v>
      </c>
      <c r="I317" s="9" t="s">
        <v>51</v>
      </c>
      <c r="J317" s="9" t="s">
        <v>51</v>
      </c>
      <c r="K317" s="9" t="s">
        <v>51</v>
      </c>
      <c r="L317" s="9" t="s">
        <v>51</v>
      </c>
      <c r="M317" s="9" t="s">
        <v>51</v>
      </c>
      <c r="N317" s="9" t="s">
        <v>51</v>
      </c>
      <c r="O317" s="9" t="s">
        <v>515</v>
      </c>
      <c r="P317" s="9" t="n">
        <v>231740</v>
      </c>
      <c r="Q317" s="9" t="n">
        <v>185125</v>
      </c>
      <c r="R317" s="10" t="n">
        <f aca="false">(Q317/P317)*100</f>
        <v>79.8847846724778</v>
      </c>
      <c r="S317" s="9" t="n">
        <f aca="false">Y317-AD317</f>
        <v>13777</v>
      </c>
      <c r="T317" s="10" t="n">
        <f aca="false">(S317/Q317)*100</f>
        <v>7.44199864956111</v>
      </c>
      <c r="U317" s="10" t="n">
        <f aca="false">Z317+AE317</f>
        <v>71.0033760972316</v>
      </c>
      <c r="V317" s="9" t="s">
        <v>55</v>
      </c>
      <c r="W317" s="9" t="s">
        <v>68</v>
      </c>
      <c r="X317" s="9" t="s">
        <v>1796</v>
      </c>
      <c r="Y317" s="9" t="n">
        <v>72611</v>
      </c>
      <c r="Z317" s="10" t="n">
        <f aca="false">(Y317/Q317)*100</f>
        <v>39.2226873733964</v>
      </c>
      <c r="AA317" s="9" t="s">
        <v>52</v>
      </c>
      <c r="AB317" s="9" t="s">
        <v>53</v>
      </c>
      <c r="AC317" s="9" t="s">
        <v>1797</v>
      </c>
      <c r="AD317" s="9" t="n">
        <v>58834</v>
      </c>
      <c r="AE317" s="10" t="n">
        <f aca="false">(AD317/Q317)*100</f>
        <v>31.7806887238352</v>
      </c>
      <c r="AF317" s="12" t="s">
        <v>1427</v>
      </c>
      <c r="AG317" s="9" t="s">
        <v>56</v>
      </c>
      <c r="AH317" s="9" t="s">
        <v>1798</v>
      </c>
      <c r="AI317" s="9" t="n">
        <v>29340</v>
      </c>
      <c r="AJ317" s="10" t="n">
        <f aca="false">(AI317/Q317)*100</f>
        <v>15.8487508440243</v>
      </c>
      <c r="AK317" s="9" t="s">
        <v>1429</v>
      </c>
      <c r="AL317" s="9" t="s">
        <v>61</v>
      </c>
      <c r="AM317" s="9" t="s">
        <v>1799</v>
      </c>
      <c r="AN317" s="9" t="n">
        <v>18563</v>
      </c>
      <c r="AO317" s="10" t="n">
        <f aca="false">(AN317/Q317)*100</f>
        <v>10.0272788656313</v>
      </c>
      <c r="AP317" s="9" t="s">
        <v>63</v>
      </c>
      <c r="AQ317" s="9" t="s">
        <v>63</v>
      </c>
      <c r="AR317" s="9" t="s">
        <v>63</v>
      </c>
      <c r="AS317" s="9" t="n">
        <v>2255</v>
      </c>
      <c r="AT317" s="10" t="n">
        <f aca="false">(AS317/Q317)*100</f>
        <v>1.21809588116138</v>
      </c>
    </row>
    <row r="318" customFormat="false" ht="12.8" hidden="false" customHeight="true" outlineLevel="0" collapsed="false">
      <c r="A318" s="33" t="n">
        <v>2016</v>
      </c>
      <c r="B318" s="8" t="n">
        <v>153</v>
      </c>
      <c r="C318" s="9" t="s">
        <v>544</v>
      </c>
      <c r="D318" s="9" t="s">
        <v>532</v>
      </c>
      <c r="E318" s="9" t="s">
        <v>48</v>
      </c>
      <c r="F318" s="9" t="s">
        <v>470</v>
      </c>
      <c r="G318" s="9" t="s">
        <v>88</v>
      </c>
      <c r="H318" s="9" t="s">
        <v>51</v>
      </c>
      <c r="I318" s="9" t="s">
        <v>51</v>
      </c>
      <c r="J318" s="9" t="s">
        <v>51</v>
      </c>
      <c r="K318" s="9" t="s">
        <v>51</v>
      </c>
      <c r="L318" s="9" t="s">
        <v>51</v>
      </c>
      <c r="M318" s="9" t="s">
        <v>51</v>
      </c>
      <c r="N318" s="9" t="s">
        <v>51</v>
      </c>
      <c r="O318" s="9" t="s">
        <v>51</v>
      </c>
      <c r="P318" s="9" t="n">
        <v>201040</v>
      </c>
      <c r="Q318" s="9" t="n">
        <v>159241</v>
      </c>
      <c r="R318" s="10" t="n">
        <f aca="false">(Q318/P318)*100</f>
        <v>79.208615200955</v>
      </c>
      <c r="S318" s="9" t="n">
        <f aca="false">Y318-AD318</f>
        <v>17791</v>
      </c>
      <c r="T318" s="10" t="n">
        <f aca="false">(S318/Q318)*100</f>
        <v>11.1723739489202</v>
      </c>
      <c r="U318" s="10" t="n">
        <f aca="false">Z318+AE318</f>
        <v>57.0248868067897</v>
      </c>
      <c r="V318" s="9" t="s">
        <v>52</v>
      </c>
      <c r="W318" s="9" t="s">
        <v>53</v>
      </c>
      <c r="X318" s="9" t="s">
        <v>545</v>
      </c>
      <c r="Y318" s="9" t="n">
        <v>54299</v>
      </c>
      <c r="Z318" s="10" t="n">
        <f aca="false">(Y318/Q318)*100</f>
        <v>34.098630377855</v>
      </c>
      <c r="AA318" s="9" t="s">
        <v>55</v>
      </c>
      <c r="AB318" s="9" t="s">
        <v>68</v>
      </c>
      <c r="AC318" s="9" t="s">
        <v>1800</v>
      </c>
      <c r="AD318" s="9" t="n">
        <v>36508</v>
      </c>
      <c r="AE318" s="10" t="n">
        <f aca="false">(AD318/Q318)*100</f>
        <v>22.9262564289348</v>
      </c>
      <c r="AF318" s="9" t="s">
        <v>197</v>
      </c>
      <c r="AG318" s="9" t="s">
        <v>550</v>
      </c>
      <c r="AH318" s="9" t="s">
        <v>1801</v>
      </c>
      <c r="AI318" s="9" t="n">
        <v>30528</v>
      </c>
      <c r="AJ318" s="10" t="n">
        <f aca="false">(AI318/Q318)*100</f>
        <v>19.1709421568566</v>
      </c>
      <c r="AK318" s="9" t="s">
        <v>1427</v>
      </c>
      <c r="AL318" s="9" t="s">
        <v>56</v>
      </c>
      <c r="AM318" s="9" t="s">
        <v>1802</v>
      </c>
      <c r="AN318" s="9" t="n">
        <v>19749</v>
      </c>
      <c r="AO318" s="10" t="n">
        <f aca="false">(AN318/Q318)*100</f>
        <v>12.4019567824869</v>
      </c>
      <c r="AP318" s="9" t="s">
        <v>1429</v>
      </c>
      <c r="AQ318" s="9" t="s">
        <v>422</v>
      </c>
      <c r="AR318" s="9" t="s">
        <v>1803</v>
      </c>
      <c r="AS318" s="9" t="n">
        <v>12674</v>
      </c>
      <c r="AT318" s="10" t="n">
        <f aca="false">(AS318/Q318)*100</f>
        <v>7.95900553249477</v>
      </c>
    </row>
    <row r="319" customFormat="false" ht="12.8" hidden="false" customHeight="true" outlineLevel="0" collapsed="false">
      <c r="A319" s="33" t="n">
        <v>2016</v>
      </c>
      <c r="B319" s="8" t="n">
        <v>154</v>
      </c>
      <c r="C319" s="9" t="s">
        <v>549</v>
      </c>
      <c r="D319" s="9" t="s">
        <v>532</v>
      </c>
      <c r="E319" s="9" t="s">
        <v>48</v>
      </c>
      <c r="F319" s="9" t="s">
        <v>470</v>
      </c>
      <c r="G319" s="9" t="s">
        <v>77</v>
      </c>
      <c r="H319" s="9" t="s">
        <v>51</v>
      </c>
      <c r="I319" s="9" t="s">
        <v>51</v>
      </c>
      <c r="J319" s="9" t="s">
        <v>51</v>
      </c>
      <c r="K319" s="22" t="s">
        <v>550</v>
      </c>
      <c r="L319" s="9" t="s">
        <v>68</v>
      </c>
      <c r="M319" s="9" t="s">
        <v>51</v>
      </c>
      <c r="N319" s="9" t="s">
        <v>51</v>
      </c>
      <c r="O319" s="9" t="s">
        <v>51</v>
      </c>
      <c r="P319" s="9" t="n">
        <v>226257</v>
      </c>
      <c r="Q319" s="9" t="n">
        <v>185465</v>
      </c>
      <c r="R319" s="10" t="n">
        <f aca="false">(Q319/P319)*100</f>
        <v>81.9709445453621</v>
      </c>
      <c r="S319" s="9" t="n">
        <f aca="false">Y319-AD319</f>
        <v>3128</v>
      </c>
      <c r="T319" s="10" t="n">
        <f aca="false">(S319/Q319)*100</f>
        <v>1.68657159032702</v>
      </c>
      <c r="U319" s="10" t="n">
        <f aca="false">Z319+AE319</f>
        <v>76.3367751327744</v>
      </c>
      <c r="V319" s="9" t="s">
        <v>55</v>
      </c>
      <c r="W319" s="23" t="s">
        <v>68</v>
      </c>
      <c r="X319" s="9" t="s">
        <v>1804</v>
      </c>
      <c r="Y319" s="9" t="n">
        <v>72353</v>
      </c>
      <c r="Z319" s="10" t="n">
        <f aca="false">(Y319/Q319)*100</f>
        <v>39.0116733615507</v>
      </c>
      <c r="AA319" s="9" t="s">
        <v>52</v>
      </c>
      <c r="AB319" s="9" t="s">
        <v>53</v>
      </c>
      <c r="AC319" s="9" t="s">
        <v>1805</v>
      </c>
      <c r="AD319" s="9" t="n">
        <v>69225</v>
      </c>
      <c r="AE319" s="10" t="n">
        <f aca="false">(AD319/Q319)*100</f>
        <v>37.3251017712237</v>
      </c>
      <c r="AF319" s="9" t="s">
        <v>1427</v>
      </c>
      <c r="AG319" s="9" t="s">
        <v>56</v>
      </c>
      <c r="AH319" s="9" t="s">
        <v>1806</v>
      </c>
      <c r="AI319" s="9" t="n">
        <v>18666</v>
      </c>
      <c r="AJ319" s="10" t="n">
        <f aca="false">(AI319/Q319)*100</f>
        <v>10.0644326422775</v>
      </c>
      <c r="AK319" s="9" t="s">
        <v>1429</v>
      </c>
      <c r="AL319" s="9" t="s">
        <v>61</v>
      </c>
      <c r="AM319" s="9" t="s">
        <v>1807</v>
      </c>
      <c r="AN319" s="9" t="n">
        <v>18409</v>
      </c>
      <c r="AO319" s="10" t="n">
        <f aca="false">(AN319/Q319)*100</f>
        <v>9.92586202248403</v>
      </c>
      <c r="AP319" s="9" t="s">
        <v>63</v>
      </c>
      <c r="AQ319" s="9" t="s">
        <v>63</v>
      </c>
      <c r="AR319" s="9" t="s">
        <v>63</v>
      </c>
      <c r="AS319" s="9" t="n">
        <v>1988</v>
      </c>
      <c r="AT319" s="10" t="n">
        <f aca="false">(AS319/Q319)*100</f>
        <v>1.07190035855822</v>
      </c>
    </row>
    <row r="320" customFormat="false" ht="12.8" hidden="false" customHeight="true" outlineLevel="0" collapsed="false">
      <c r="A320" s="33" t="n">
        <v>2016</v>
      </c>
      <c r="B320" s="8" t="n">
        <v>155</v>
      </c>
      <c r="C320" s="9" t="s">
        <v>532</v>
      </c>
      <c r="D320" s="9" t="s">
        <v>532</v>
      </c>
      <c r="E320" s="9" t="s">
        <v>48</v>
      </c>
      <c r="F320" s="9" t="s">
        <v>470</v>
      </c>
      <c r="G320" s="9" t="s">
        <v>88</v>
      </c>
      <c r="H320" s="9" t="s">
        <v>51</v>
      </c>
      <c r="I320" s="9" t="s">
        <v>51</v>
      </c>
      <c r="J320" s="9" t="s">
        <v>58</v>
      </c>
      <c r="K320" s="9" t="s">
        <v>51</v>
      </c>
      <c r="L320" s="9" t="s">
        <v>51</v>
      </c>
      <c r="M320" s="9" t="s">
        <v>51</v>
      </c>
      <c r="N320" s="9" t="s">
        <v>51</v>
      </c>
      <c r="O320" s="9" t="s">
        <v>51</v>
      </c>
      <c r="P320" s="9" t="n">
        <v>231205</v>
      </c>
      <c r="Q320" s="9" t="n">
        <v>172688</v>
      </c>
      <c r="R320" s="10" t="n">
        <f aca="false">(Q320/P320)*100</f>
        <v>74.6904262451072</v>
      </c>
      <c r="S320" s="9" t="n">
        <f aca="false">Y320-AD320</f>
        <v>24413</v>
      </c>
      <c r="T320" s="10" t="n">
        <f aca="false">(S320/Q320)*100</f>
        <v>14.1370564254609</v>
      </c>
      <c r="U320" s="10" t="n">
        <f aca="false">Z320+AE320</f>
        <v>68.0018298897434</v>
      </c>
      <c r="V320" s="9" t="s">
        <v>55</v>
      </c>
      <c r="W320" s="9" t="s">
        <v>68</v>
      </c>
      <c r="X320" s="9" t="s">
        <v>1808</v>
      </c>
      <c r="Y320" s="9" t="n">
        <v>70922</v>
      </c>
      <c r="Z320" s="10" t="n">
        <f aca="false">(Y320/Q320)*100</f>
        <v>41.0694431576022</v>
      </c>
      <c r="AA320" s="9" t="s">
        <v>52</v>
      </c>
      <c r="AB320" s="9" t="s">
        <v>53</v>
      </c>
      <c r="AC320" s="9" t="s">
        <v>1809</v>
      </c>
      <c r="AD320" s="9" t="n">
        <v>46509</v>
      </c>
      <c r="AE320" s="10" t="n">
        <f aca="false">(AD320/Q320)*100</f>
        <v>26.9323867321412</v>
      </c>
      <c r="AF320" s="9" t="s">
        <v>1429</v>
      </c>
      <c r="AG320" s="9" t="s">
        <v>1338</v>
      </c>
      <c r="AH320" s="9" t="s">
        <v>1810</v>
      </c>
      <c r="AI320" s="9" t="n">
        <v>20608</v>
      </c>
      <c r="AJ320" s="10" t="n">
        <f aca="false">(AI320/Q320)*100</f>
        <v>11.9336607060132</v>
      </c>
      <c r="AK320" s="9" t="s">
        <v>1427</v>
      </c>
      <c r="AL320" s="9" t="s">
        <v>56</v>
      </c>
      <c r="AM320" s="9" t="s">
        <v>1811</v>
      </c>
      <c r="AN320" s="9" t="n">
        <v>16905</v>
      </c>
      <c r="AO320" s="10" t="n">
        <f aca="false">(AN320/Q320)*100</f>
        <v>9.78933104790142</v>
      </c>
      <c r="AP320" s="12" t="s">
        <v>58</v>
      </c>
      <c r="AQ320" s="9" t="s">
        <v>58</v>
      </c>
      <c r="AR320" s="9" t="s">
        <v>121</v>
      </c>
      <c r="AS320" s="9" t="n">
        <v>12497</v>
      </c>
      <c r="AT320" s="10" t="n">
        <f aca="false">(AS320/Q320)*100</f>
        <v>7.23675067173168</v>
      </c>
    </row>
    <row r="321" customFormat="false" ht="12.8" hidden="false" customHeight="true" outlineLevel="0" collapsed="false">
      <c r="A321" s="33" t="n">
        <v>2016</v>
      </c>
      <c r="B321" s="8" t="n">
        <v>156</v>
      </c>
      <c r="C321" s="9" t="s">
        <v>561</v>
      </c>
      <c r="D321" s="9" t="s">
        <v>532</v>
      </c>
      <c r="E321" s="9" t="s">
        <v>48</v>
      </c>
      <c r="F321" s="9" t="s">
        <v>470</v>
      </c>
      <c r="G321" s="9" t="s">
        <v>50</v>
      </c>
      <c r="H321" s="9" t="s">
        <v>51</v>
      </c>
      <c r="I321" s="9" t="s">
        <v>51</v>
      </c>
      <c r="J321" s="9" t="s">
        <v>51</v>
      </c>
      <c r="K321" s="9" t="s">
        <v>53</v>
      </c>
      <c r="L321" s="9" t="s">
        <v>51</v>
      </c>
      <c r="M321" s="9" t="s">
        <v>51</v>
      </c>
      <c r="N321" s="9" t="s">
        <v>51</v>
      </c>
      <c r="O321" s="9" t="s">
        <v>51</v>
      </c>
      <c r="P321" s="9" t="n">
        <v>223575</v>
      </c>
      <c r="Q321" s="9" t="n">
        <v>188205</v>
      </c>
      <c r="R321" s="10" t="n">
        <f aca="false">(Q321/P321)*100</f>
        <v>84.179805434418</v>
      </c>
      <c r="S321" s="9" t="n">
        <f aca="false">Y321-AD321</f>
        <v>28108</v>
      </c>
      <c r="T321" s="10" t="n">
        <f aca="false">(S321/Q321)*100</f>
        <v>14.9347785659255</v>
      </c>
      <c r="U321" s="10" t="n">
        <f aca="false">Z321+AE321</f>
        <v>73.1223931351452</v>
      </c>
      <c r="V321" s="9" t="s">
        <v>52</v>
      </c>
      <c r="W321" s="9" t="s">
        <v>53</v>
      </c>
      <c r="X321" s="9" t="s">
        <v>1812</v>
      </c>
      <c r="Y321" s="9" t="n">
        <v>82864</v>
      </c>
      <c r="Z321" s="10" t="n">
        <f aca="false">(Y321/Q321)*100</f>
        <v>44.0285858505353</v>
      </c>
      <c r="AA321" s="9" t="s">
        <v>55</v>
      </c>
      <c r="AB321" s="9" t="s">
        <v>68</v>
      </c>
      <c r="AC321" s="9" t="s">
        <v>1667</v>
      </c>
      <c r="AD321" s="9" t="n">
        <v>54756</v>
      </c>
      <c r="AE321" s="10" t="n">
        <f aca="false">(AD321/Q321)*100</f>
        <v>29.0938072846099</v>
      </c>
      <c r="AF321" s="9" t="s">
        <v>1427</v>
      </c>
      <c r="AG321" s="9" t="s">
        <v>56</v>
      </c>
      <c r="AH321" s="9" t="s">
        <v>1813</v>
      </c>
      <c r="AI321" s="9" t="n">
        <v>22705</v>
      </c>
      <c r="AJ321" s="10" t="n">
        <f aca="false">(AI321/Q321)*100</f>
        <v>12.0639727956218</v>
      </c>
      <c r="AK321" s="9" t="s">
        <v>1429</v>
      </c>
      <c r="AL321" s="9" t="s">
        <v>61</v>
      </c>
      <c r="AM321" s="9" t="s">
        <v>1814</v>
      </c>
      <c r="AN321" s="9" t="n">
        <v>21063</v>
      </c>
      <c r="AO321" s="10" t="n">
        <f aca="false">(AN321/Q321)*100</f>
        <v>11.1915198852315</v>
      </c>
      <c r="AP321" s="9" t="s">
        <v>63</v>
      </c>
      <c r="AQ321" s="15" t="s">
        <v>63</v>
      </c>
      <c r="AR321" s="9" t="s">
        <v>63</v>
      </c>
      <c r="AS321" s="9" t="n">
        <v>1541</v>
      </c>
      <c r="AT321" s="10" t="n">
        <f aca="false">(AS321/Q321)*100</f>
        <v>0.818788023697564</v>
      </c>
    </row>
    <row r="322" customFormat="false" ht="12.8" hidden="false" customHeight="true" outlineLevel="0" collapsed="false">
      <c r="A322" s="33" t="n">
        <v>2016</v>
      </c>
      <c r="B322" s="8" t="n">
        <v>157</v>
      </c>
      <c r="C322" s="9" t="s">
        <v>567</v>
      </c>
      <c r="D322" s="9" t="s">
        <v>532</v>
      </c>
      <c r="E322" s="9" t="s">
        <v>48</v>
      </c>
      <c r="F322" s="9" t="s">
        <v>470</v>
      </c>
      <c r="G322" s="9" t="s">
        <v>50</v>
      </c>
      <c r="H322" s="9" t="s">
        <v>51</v>
      </c>
      <c r="I322" s="9" t="s">
        <v>51</v>
      </c>
      <c r="J322" s="9" t="s">
        <v>51</v>
      </c>
      <c r="K322" s="9" t="s">
        <v>51</v>
      </c>
      <c r="L322" s="9" t="s">
        <v>51</v>
      </c>
      <c r="M322" s="9" t="s">
        <v>51</v>
      </c>
      <c r="N322" s="9" t="s">
        <v>51</v>
      </c>
      <c r="O322" s="9" t="s">
        <v>51</v>
      </c>
      <c r="P322" s="9" t="n">
        <v>238837</v>
      </c>
      <c r="Q322" s="9" t="n">
        <v>190854</v>
      </c>
      <c r="R322" s="10" t="n">
        <f aca="false">(Q322/P322)*100</f>
        <v>79.9097292295582</v>
      </c>
      <c r="S322" s="9" t="n">
        <f aca="false">Y322-AD322</f>
        <v>5488</v>
      </c>
      <c r="T322" s="10" t="n">
        <f aca="false">(S322/Q322)*100</f>
        <v>2.8754964527859</v>
      </c>
      <c r="U322" s="10" t="n">
        <f aca="false">Z322+AE322</f>
        <v>60.5803388977962</v>
      </c>
      <c r="V322" s="9" t="s">
        <v>52</v>
      </c>
      <c r="W322" s="9" t="s">
        <v>53</v>
      </c>
      <c r="X322" s="9" t="s">
        <v>569</v>
      </c>
      <c r="Y322" s="9" t="n">
        <v>60554</v>
      </c>
      <c r="Z322" s="10" t="n">
        <f aca="false">(Y322/Q322)*100</f>
        <v>31.7279176752911</v>
      </c>
      <c r="AA322" s="9" t="s">
        <v>55</v>
      </c>
      <c r="AB322" s="9" t="s">
        <v>68</v>
      </c>
      <c r="AC322" s="9" t="s">
        <v>563</v>
      </c>
      <c r="AD322" s="9" t="n">
        <v>55066</v>
      </c>
      <c r="AE322" s="10" t="n">
        <f aca="false">(AD322/Q322)*100</f>
        <v>28.8524212225052</v>
      </c>
      <c r="AF322" s="9" t="s">
        <v>1427</v>
      </c>
      <c r="AG322" s="9" t="s">
        <v>56</v>
      </c>
      <c r="AH322" s="9" t="s">
        <v>1815</v>
      </c>
      <c r="AI322" s="9" t="n">
        <v>33681</v>
      </c>
      <c r="AJ322" s="10" t="n">
        <f aca="false">(AI322/Q322)*100</f>
        <v>17.6475211418152</v>
      </c>
      <c r="AK322" s="9" t="s">
        <v>1429</v>
      </c>
      <c r="AL322" s="12" t="s">
        <v>257</v>
      </c>
      <c r="AM322" s="9" t="s">
        <v>579</v>
      </c>
      <c r="AN322" s="9" t="n">
        <v>33662</v>
      </c>
      <c r="AO322" s="10" t="n">
        <f aca="false">(AN322/Q322)*100</f>
        <v>17.637565888061</v>
      </c>
      <c r="AP322" s="9" t="s">
        <v>197</v>
      </c>
      <c r="AQ322" s="9" t="s">
        <v>197</v>
      </c>
      <c r="AR322" s="9" t="s">
        <v>1816</v>
      </c>
      <c r="AS322" s="9" t="n">
        <v>1345</v>
      </c>
      <c r="AT322" s="10" t="n">
        <f aca="false">(AS322/Q322)*100</f>
        <v>0.704727173651063</v>
      </c>
    </row>
    <row r="323" customFormat="false" ht="12.8" hidden="false" customHeight="true" outlineLevel="0" collapsed="false">
      <c r="A323" s="33" t="n">
        <v>2016</v>
      </c>
      <c r="B323" s="8" t="n">
        <v>158</v>
      </c>
      <c r="C323" s="9" t="s">
        <v>572</v>
      </c>
      <c r="D323" s="9" t="s">
        <v>532</v>
      </c>
      <c r="E323" s="9" t="s">
        <v>48</v>
      </c>
      <c r="F323" s="9" t="s">
        <v>470</v>
      </c>
      <c r="G323" s="9" t="s">
        <v>77</v>
      </c>
      <c r="H323" s="9" t="s">
        <v>51</v>
      </c>
      <c r="I323" s="9" t="s">
        <v>51</v>
      </c>
      <c r="J323" s="9" t="s">
        <v>51</v>
      </c>
      <c r="K323" s="9" t="s">
        <v>51</v>
      </c>
      <c r="L323" s="9" t="s">
        <v>51</v>
      </c>
      <c r="M323" s="9" t="s">
        <v>51</v>
      </c>
      <c r="N323" s="9" t="s">
        <v>51</v>
      </c>
      <c r="O323" s="9" t="s">
        <v>51</v>
      </c>
      <c r="P323" s="9" t="n">
        <v>229162</v>
      </c>
      <c r="Q323" s="9" t="n">
        <v>170619</v>
      </c>
      <c r="R323" s="10" t="n">
        <f aca="false">(Q323/P323)*100</f>
        <v>74.453443415575</v>
      </c>
      <c r="S323" s="9" t="n">
        <f aca="false">Y323-AD323</f>
        <v>1506</v>
      </c>
      <c r="T323" s="10" t="n">
        <f aca="false">(S323/Q323)*100</f>
        <v>0.882668401526208</v>
      </c>
      <c r="U323" s="10" t="n">
        <f aca="false">Z323+AE323</f>
        <v>67.7415762605571</v>
      </c>
      <c r="V323" s="9" t="s">
        <v>55</v>
      </c>
      <c r="W323" s="9" t="s">
        <v>68</v>
      </c>
      <c r="X323" s="9" t="s">
        <v>1817</v>
      </c>
      <c r="Y323" s="9" t="n">
        <v>58543</v>
      </c>
      <c r="Z323" s="10" t="n">
        <f aca="false">(Y323/Q323)*100</f>
        <v>34.3121223310417</v>
      </c>
      <c r="AA323" s="9" t="s">
        <v>52</v>
      </c>
      <c r="AB323" s="19" t="s">
        <v>53</v>
      </c>
      <c r="AC323" s="9" t="s">
        <v>1818</v>
      </c>
      <c r="AD323" s="9" t="n">
        <v>57037</v>
      </c>
      <c r="AE323" s="10" t="n">
        <f aca="false">(AD323/Q323)*100</f>
        <v>33.4294539295155</v>
      </c>
      <c r="AF323" s="9" t="s">
        <v>1427</v>
      </c>
      <c r="AG323" s="9" t="s">
        <v>56</v>
      </c>
      <c r="AH323" s="9" t="s">
        <v>1819</v>
      </c>
      <c r="AI323" s="9" t="n">
        <v>24226</v>
      </c>
      <c r="AJ323" s="10" t="n">
        <f aca="false">(AI323/Q323)*100</f>
        <v>14.1988875799296</v>
      </c>
      <c r="AK323" s="9" t="s">
        <v>1429</v>
      </c>
      <c r="AL323" s="9" t="s">
        <v>422</v>
      </c>
      <c r="AM323" s="9" t="s">
        <v>1820</v>
      </c>
      <c r="AN323" s="9" t="n">
        <v>23314</v>
      </c>
      <c r="AO323" s="10" t="n">
        <f aca="false">(AN323/Q323)*100</f>
        <v>13.6643632889655</v>
      </c>
      <c r="AP323" s="12" t="s">
        <v>352</v>
      </c>
      <c r="AQ323" s="9" t="s">
        <v>352</v>
      </c>
      <c r="AR323" s="9" t="s">
        <v>1821</v>
      </c>
      <c r="AS323" s="9" t="n">
        <v>1775</v>
      </c>
      <c r="AT323" s="10" t="n">
        <f aca="false">(AS323/Q323)*100</f>
        <v>1.04032962331276</v>
      </c>
    </row>
    <row r="324" customFormat="false" ht="12.8" hidden="false" customHeight="true" outlineLevel="0" collapsed="false">
      <c r="A324" s="33" t="n">
        <v>2016</v>
      </c>
      <c r="B324" s="8" t="n">
        <v>159</v>
      </c>
      <c r="C324" s="9" t="s">
        <v>578</v>
      </c>
      <c r="D324" s="9" t="s">
        <v>532</v>
      </c>
      <c r="E324" s="9" t="s">
        <v>48</v>
      </c>
      <c r="F324" s="9" t="s">
        <v>470</v>
      </c>
      <c r="G324" s="9" t="s">
        <v>50</v>
      </c>
      <c r="H324" s="9" t="s">
        <v>65</v>
      </c>
      <c r="I324" s="9" t="s">
        <v>51</v>
      </c>
      <c r="J324" s="9" t="s">
        <v>257</v>
      </c>
      <c r="K324" s="9" t="s">
        <v>51</v>
      </c>
      <c r="L324" s="9" t="s">
        <v>51</v>
      </c>
      <c r="M324" s="9" t="s">
        <v>51</v>
      </c>
      <c r="N324" s="9" t="s">
        <v>51</v>
      </c>
      <c r="O324" s="9" t="s">
        <v>51</v>
      </c>
      <c r="P324" s="9" t="n">
        <v>212053</v>
      </c>
      <c r="Q324" s="9" t="n">
        <v>165186</v>
      </c>
      <c r="R324" s="10" t="n">
        <f aca="false">(Q324/P324)*100</f>
        <v>77.8984499158229</v>
      </c>
      <c r="S324" s="9" t="n">
        <f aca="false">Y324-AD324</f>
        <v>87</v>
      </c>
      <c r="T324" s="10" t="n">
        <f aca="false">(S324/Q324)*100</f>
        <v>0.0526679016381534</v>
      </c>
      <c r="U324" s="10" t="n">
        <f aca="false">Z324+AJ324</f>
        <v>51.9390263097357</v>
      </c>
      <c r="V324" s="9" t="s">
        <v>55</v>
      </c>
      <c r="W324" s="9" t="s">
        <v>68</v>
      </c>
      <c r="X324" s="9" t="s">
        <v>1822</v>
      </c>
      <c r="Y324" s="9" t="n">
        <v>48450</v>
      </c>
      <c r="Z324" s="10" t="n">
        <f aca="false">(Y324/Q324)*100</f>
        <v>29.3305728088337</v>
      </c>
      <c r="AA324" s="9" t="s">
        <v>1429</v>
      </c>
      <c r="AB324" s="9" t="s">
        <v>257</v>
      </c>
      <c r="AC324" s="9" t="s">
        <v>1823</v>
      </c>
      <c r="AD324" s="9" t="n">
        <v>48363</v>
      </c>
      <c r="AE324" s="10" t="n">
        <f aca="false">(AD324/Q324)*100</f>
        <v>29.2779049071955</v>
      </c>
      <c r="AF324" s="9" t="s">
        <v>52</v>
      </c>
      <c r="AG324" s="9" t="s">
        <v>66</v>
      </c>
      <c r="AH324" s="9" t="s">
        <v>1824</v>
      </c>
      <c r="AI324" s="9" t="n">
        <v>37346</v>
      </c>
      <c r="AJ324" s="10" t="n">
        <f aca="false">(AI324/Q324)*100</f>
        <v>22.608453500902</v>
      </c>
      <c r="AK324" s="9" t="s">
        <v>1427</v>
      </c>
      <c r="AL324" s="9" t="s">
        <v>56</v>
      </c>
      <c r="AM324" s="9" t="s">
        <v>1825</v>
      </c>
      <c r="AN324" s="9" t="n">
        <v>25890</v>
      </c>
      <c r="AO324" s="10" t="n">
        <f aca="false">(AN324/Q324)*100</f>
        <v>15.6732410736987</v>
      </c>
      <c r="AP324" s="9" t="s">
        <v>197</v>
      </c>
      <c r="AQ324" s="9" t="s">
        <v>197</v>
      </c>
      <c r="AR324" s="9" t="s">
        <v>1826</v>
      </c>
      <c r="AS324" s="9" t="n">
        <v>1360</v>
      </c>
      <c r="AT324" s="10" t="n">
        <f aca="false">(AS324/Q324)*100</f>
        <v>0.823314324458489</v>
      </c>
    </row>
    <row r="325" customFormat="false" ht="12.8" hidden="false" customHeight="true" outlineLevel="0" collapsed="false">
      <c r="A325" s="33" t="n">
        <v>2016</v>
      </c>
      <c r="B325" s="8" t="n">
        <v>81</v>
      </c>
      <c r="C325" s="9" t="s">
        <v>584</v>
      </c>
      <c r="D325" s="9" t="s">
        <v>585</v>
      </c>
      <c r="E325" s="9" t="s">
        <v>586</v>
      </c>
      <c r="F325" s="9" t="s">
        <v>365</v>
      </c>
      <c r="G325" s="9" t="s">
        <v>50</v>
      </c>
      <c r="H325" s="9" t="s">
        <v>65</v>
      </c>
      <c r="I325" s="9" t="s">
        <v>51</v>
      </c>
      <c r="J325" s="9" t="s">
        <v>51</v>
      </c>
      <c r="K325" s="9" t="s">
        <v>51</v>
      </c>
      <c r="L325" s="9" t="s">
        <v>51</v>
      </c>
      <c r="M325" s="9" t="s">
        <v>51</v>
      </c>
      <c r="N325" s="9" t="s">
        <v>51</v>
      </c>
      <c r="O325" s="9" t="s">
        <v>51</v>
      </c>
      <c r="P325" s="9" t="n">
        <v>218854</v>
      </c>
      <c r="Q325" s="9" t="n">
        <v>175981</v>
      </c>
      <c r="R325" s="10" t="n">
        <f aca="false">(Q325/P325)*100</f>
        <v>80.410227823115</v>
      </c>
      <c r="S325" s="9" t="n">
        <f aca="false">Y325-AD325</f>
        <v>2262</v>
      </c>
      <c r="T325" s="10" t="n">
        <f aca="false">(S325/Q325)*100</f>
        <v>1.2853660338332</v>
      </c>
      <c r="U325" s="10" t="n">
        <f aca="false">Z325+AE325</f>
        <v>83.1567044169541</v>
      </c>
      <c r="V325" s="9" t="s">
        <v>55</v>
      </c>
      <c r="W325" s="9" t="s">
        <v>68</v>
      </c>
      <c r="X325" s="9" t="s">
        <v>1827</v>
      </c>
      <c r="Y325" s="9" t="n">
        <v>74301</v>
      </c>
      <c r="Z325" s="10" t="n">
        <f aca="false">(Y325/Q325)*100</f>
        <v>42.2210352253937</v>
      </c>
      <c r="AA325" s="9" t="s">
        <v>52</v>
      </c>
      <c r="AB325" s="9" t="s">
        <v>53</v>
      </c>
      <c r="AC325" s="9" t="s">
        <v>1828</v>
      </c>
      <c r="AD325" s="9" t="n">
        <v>72039</v>
      </c>
      <c r="AE325" s="10" t="n">
        <f aca="false">(AD325/Q325)*100</f>
        <v>40.9356691915605</v>
      </c>
      <c r="AF325" s="9" t="s">
        <v>1427</v>
      </c>
      <c r="AG325" s="9" t="s">
        <v>56</v>
      </c>
      <c r="AH325" s="9" t="s">
        <v>1829</v>
      </c>
      <c r="AI325" s="9" t="n">
        <v>10715</v>
      </c>
      <c r="AJ325" s="10" t="n">
        <f aca="false">(AI325/Q325)*100</f>
        <v>6.08872548741057</v>
      </c>
      <c r="AK325" s="9" t="s">
        <v>1429</v>
      </c>
      <c r="AL325" s="9" t="s">
        <v>61</v>
      </c>
      <c r="AM325" s="9" t="s">
        <v>1830</v>
      </c>
      <c r="AN325" s="9" t="n">
        <v>7114</v>
      </c>
      <c r="AO325" s="10" t="n">
        <f aca="false">(AN325/Q325)*100</f>
        <v>4.04248185883703</v>
      </c>
      <c r="AP325" s="9" t="s">
        <v>197</v>
      </c>
      <c r="AQ325" s="9" t="s">
        <v>664</v>
      </c>
      <c r="AR325" s="9" t="s">
        <v>1831</v>
      </c>
      <c r="AS325" s="9" t="n">
        <v>3786</v>
      </c>
      <c r="AT325" s="10" t="n">
        <f aca="false">(AS325/Q325)*100</f>
        <v>2.15136861365716</v>
      </c>
    </row>
    <row r="326" customFormat="false" ht="12.8" hidden="false" customHeight="true" outlineLevel="0" collapsed="false">
      <c r="A326" s="33" t="n">
        <v>2016</v>
      </c>
      <c r="B326" s="8" t="n">
        <v>82</v>
      </c>
      <c r="C326" s="9" t="s">
        <v>590</v>
      </c>
      <c r="D326" s="9" t="s">
        <v>585</v>
      </c>
      <c r="E326" s="9" t="s">
        <v>586</v>
      </c>
      <c r="F326" s="9" t="s">
        <v>365</v>
      </c>
      <c r="G326" s="9" t="s">
        <v>77</v>
      </c>
      <c r="H326" s="9" t="s">
        <v>65</v>
      </c>
      <c r="I326" s="9" t="s">
        <v>51</v>
      </c>
      <c r="J326" s="9" t="s">
        <v>51</v>
      </c>
      <c r="K326" s="9" t="s">
        <v>51</v>
      </c>
      <c r="L326" s="9" t="s">
        <v>66</v>
      </c>
      <c r="M326" s="9" t="s">
        <v>68</v>
      </c>
      <c r="N326" s="9" t="s">
        <v>51</v>
      </c>
      <c r="O326" s="9" t="s">
        <v>51</v>
      </c>
      <c r="P326" s="9" t="n">
        <v>234136</v>
      </c>
      <c r="Q326" s="9" t="n">
        <v>186788</v>
      </c>
      <c r="R326" s="10" t="n">
        <f aca="false">(Q326/P326)*100</f>
        <v>79.7775651757953</v>
      </c>
      <c r="S326" s="9" t="n">
        <f aca="false">Y326-AD326</f>
        <v>17334</v>
      </c>
      <c r="T326" s="10" t="n">
        <f aca="false">(S326/Q326)*100</f>
        <v>9.2800394029595</v>
      </c>
      <c r="U326" s="10" t="n">
        <f aca="false">Z326+AE326</f>
        <v>79.4055292631218</v>
      </c>
      <c r="V326" s="9" t="s">
        <v>55</v>
      </c>
      <c r="W326" s="9" t="s">
        <v>68</v>
      </c>
      <c r="X326" s="9" t="s">
        <v>1832</v>
      </c>
      <c r="Y326" s="9" t="n">
        <v>82827</v>
      </c>
      <c r="Z326" s="10" t="n">
        <f aca="false">(Y326/Q326)*100</f>
        <v>44.3427843330407</v>
      </c>
      <c r="AA326" s="9" t="s">
        <v>52</v>
      </c>
      <c r="AB326" s="9" t="s">
        <v>66</v>
      </c>
      <c r="AC326" s="9" t="s">
        <v>1833</v>
      </c>
      <c r="AD326" s="9" t="n">
        <v>65493</v>
      </c>
      <c r="AE326" s="10" t="n">
        <f aca="false">(AD326/Q326)*100</f>
        <v>35.0627449300812</v>
      </c>
      <c r="AF326" s="9" t="s">
        <v>1427</v>
      </c>
      <c r="AG326" s="9" t="s">
        <v>56</v>
      </c>
      <c r="AH326" s="9" t="s">
        <v>1834</v>
      </c>
      <c r="AI326" s="9" t="n">
        <v>18363</v>
      </c>
      <c r="AJ326" s="10" t="n">
        <f aca="false">(AI326/Q326)*100</f>
        <v>9.83093132321134</v>
      </c>
      <c r="AK326" s="9" t="s">
        <v>1429</v>
      </c>
      <c r="AL326" s="9" t="s">
        <v>257</v>
      </c>
      <c r="AM326" s="9" t="s">
        <v>1835</v>
      </c>
      <c r="AN326" s="9" t="n">
        <v>8532</v>
      </c>
      <c r="AO326" s="10" t="n">
        <f aca="false">(AN326/Q326)*100</f>
        <v>4.56774525130094</v>
      </c>
      <c r="AP326" s="9" t="s">
        <v>63</v>
      </c>
      <c r="AQ326" s="9" t="s">
        <v>63</v>
      </c>
      <c r="AR326" s="9" t="s">
        <v>63</v>
      </c>
      <c r="AS326" s="9" t="n">
        <v>2742</v>
      </c>
      <c r="AT326" s="10" t="n">
        <f aca="false">(AS326/Q326)*100</f>
        <v>1.46797438807632</v>
      </c>
    </row>
    <row r="327" customFormat="false" ht="12.8" hidden="false" customHeight="true" outlineLevel="0" collapsed="false">
      <c r="A327" s="33" t="n">
        <v>2016</v>
      </c>
      <c r="B327" s="8" t="n">
        <v>83</v>
      </c>
      <c r="C327" s="9" t="s">
        <v>594</v>
      </c>
      <c r="D327" s="9" t="s">
        <v>585</v>
      </c>
      <c r="E327" s="9" t="s">
        <v>586</v>
      </c>
      <c r="F327" s="9" t="s">
        <v>365</v>
      </c>
      <c r="G327" s="9" t="s">
        <v>50</v>
      </c>
      <c r="H327" s="9" t="s">
        <v>595</v>
      </c>
      <c r="I327" s="9" t="s">
        <v>316</v>
      </c>
      <c r="J327" s="9" t="s">
        <v>51</v>
      </c>
      <c r="K327" s="9" t="s">
        <v>51</v>
      </c>
      <c r="L327" s="9" t="s">
        <v>51</v>
      </c>
      <c r="M327" s="9" t="s">
        <v>68</v>
      </c>
      <c r="N327" s="9" t="s">
        <v>51</v>
      </c>
      <c r="O327" s="9" t="s">
        <v>51</v>
      </c>
      <c r="P327" s="9" t="n">
        <v>260157</v>
      </c>
      <c r="Q327" s="9" t="n">
        <v>222566</v>
      </c>
      <c r="R327" s="10" t="n">
        <f aca="false">(Q327/P327)*100</f>
        <v>85.5506482623954</v>
      </c>
      <c r="S327" s="9" t="n">
        <f aca="false">Y327-AD327</f>
        <v>17394</v>
      </c>
      <c r="T327" s="10" t="n">
        <f aca="false">(S327/Q327)*100</f>
        <v>7.8152098703306</v>
      </c>
      <c r="U327" s="10" t="n">
        <f aca="false">Z327+AE327</f>
        <v>82.550793921803</v>
      </c>
      <c r="V327" s="9" t="s">
        <v>55</v>
      </c>
      <c r="W327" s="9" t="s">
        <v>68</v>
      </c>
      <c r="X327" s="9" t="s">
        <v>1836</v>
      </c>
      <c r="Y327" s="9" t="n">
        <v>100562</v>
      </c>
      <c r="Z327" s="10" t="n">
        <f aca="false">(Y327/Q327)*100</f>
        <v>45.1830018960668</v>
      </c>
      <c r="AA327" s="9" t="s">
        <v>52</v>
      </c>
      <c r="AB327" s="9" t="s">
        <v>53</v>
      </c>
      <c r="AC327" s="9" t="s">
        <v>1837</v>
      </c>
      <c r="AD327" s="9" t="n">
        <v>83168</v>
      </c>
      <c r="AE327" s="10" t="n">
        <f aca="false">(AD327/Q327)*100</f>
        <v>37.3677920257362</v>
      </c>
      <c r="AF327" s="9" t="s">
        <v>1427</v>
      </c>
      <c r="AG327" s="9" t="s">
        <v>56</v>
      </c>
      <c r="AH327" s="9" t="s">
        <v>1838</v>
      </c>
      <c r="AI327" s="9" t="n">
        <v>17998</v>
      </c>
      <c r="AJ327" s="10" t="n">
        <f aca="false">(AI327/Q327)*100</f>
        <v>8.08659004520008</v>
      </c>
      <c r="AK327" s="9" t="s">
        <v>1429</v>
      </c>
      <c r="AL327" s="9" t="s">
        <v>61</v>
      </c>
      <c r="AM327" s="9" t="s">
        <v>1839</v>
      </c>
      <c r="AN327" s="9" t="n">
        <v>10455</v>
      </c>
      <c r="AO327" s="10" t="n">
        <f aca="false">(AN327/Q327)*100</f>
        <v>4.69748299380858</v>
      </c>
      <c r="AP327" s="9" t="s">
        <v>63</v>
      </c>
      <c r="AQ327" s="9" t="s">
        <v>63</v>
      </c>
      <c r="AR327" s="9" t="s">
        <v>63</v>
      </c>
      <c r="AS327" s="9" t="n">
        <v>3136</v>
      </c>
      <c r="AT327" s="10" t="n">
        <f aca="false">(AS327/Q327)*100</f>
        <v>1.40902024567993</v>
      </c>
    </row>
    <row r="328" customFormat="false" ht="12.8" hidden="false" customHeight="true" outlineLevel="0" collapsed="false">
      <c r="A328" s="33" t="n">
        <v>2016</v>
      </c>
      <c r="B328" s="8" t="n">
        <v>84</v>
      </c>
      <c r="C328" s="9" t="s">
        <v>600</v>
      </c>
      <c r="D328" s="9" t="s">
        <v>585</v>
      </c>
      <c r="E328" s="9" t="s">
        <v>586</v>
      </c>
      <c r="F328" s="9" t="s">
        <v>365</v>
      </c>
      <c r="G328" s="9" t="s">
        <v>77</v>
      </c>
      <c r="H328" s="9" t="s">
        <v>51</v>
      </c>
      <c r="I328" s="9" t="s">
        <v>51</v>
      </c>
      <c r="J328" s="9" t="s">
        <v>51</v>
      </c>
      <c r="K328" s="9" t="s">
        <v>51</v>
      </c>
      <c r="L328" s="9" t="s">
        <v>51</v>
      </c>
      <c r="M328" s="9" t="s">
        <v>68</v>
      </c>
      <c r="N328" s="9" t="s">
        <v>51</v>
      </c>
      <c r="O328" s="9" t="s">
        <v>51</v>
      </c>
      <c r="P328" s="9" t="n">
        <v>265892</v>
      </c>
      <c r="Q328" s="9" t="n">
        <v>227295</v>
      </c>
      <c r="R328" s="10" t="n">
        <f aca="false">(Q328/P328)*100</f>
        <v>85.4839558918659</v>
      </c>
      <c r="S328" s="9" t="n">
        <f aca="false">Y328-AD328</f>
        <v>19956</v>
      </c>
      <c r="T328" s="10" t="n">
        <f aca="false">(S328/Q328)*100</f>
        <v>8.779779581601</v>
      </c>
      <c r="U328" s="10" t="n">
        <f aca="false">Z328+AE328</f>
        <v>69.6812512373788</v>
      </c>
      <c r="V328" s="9" t="s">
        <v>55</v>
      </c>
      <c r="W328" s="9" t="s">
        <v>68</v>
      </c>
      <c r="X328" s="9" t="s">
        <v>1840</v>
      </c>
      <c r="Y328" s="9" t="n">
        <v>89169</v>
      </c>
      <c r="Z328" s="10" t="n">
        <f aca="false">(Y328/Q328)*100</f>
        <v>39.2305154094899</v>
      </c>
      <c r="AA328" s="9" t="s">
        <v>52</v>
      </c>
      <c r="AB328" s="9" t="s">
        <v>53</v>
      </c>
      <c r="AC328" s="9" t="s">
        <v>1841</v>
      </c>
      <c r="AD328" s="9" t="n">
        <v>69213</v>
      </c>
      <c r="AE328" s="10" t="n">
        <f aca="false">(AD328/Q328)*100</f>
        <v>30.4507358278889</v>
      </c>
      <c r="AF328" s="9" t="s">
        <v>1427</v>
      </c>
      <c r="AG328" s="9" t="s">
        <v>56</v>
      </c>
      <c r="AH328" s="9" t="s">
        <v>1842</v>
      </c>
      <c r="AI328" s="9" t="n">
        <v>48721</v>
      </c>
      <c r="AJ328" s="10" t="n">
        <f aca="false">(AI328/Q328)*100</f>
        <v>21.4351393563431</v>
      </c>
      <c r="AK328" s="9" t="s">
        <v>1429</v>
      </c>
      <c r="AL328" s="9" t="s">
        <v>61</v>
      </c>
      <c r="AM328" s="9" t="s">
        <v>1843</v>
      </c>
      <c r="AN328" s="9" t="n">
        <v>9744</v>
      </c>
      <c r="AO328" s="10" t="n">
        <f aca="false">(AN328/Q328)*100</f>
        <v>4.28693987989177</v>
      </c>
      <c r="AP328" s="9" t="s">
        <v>63</v>
      </c>
      <c r="AQ328" s="9" t="s">
        <v>63</v>
      </c>
      <c r="AR328" s="9" t="s">
        <v>63</v>
      </c>
      <c r="AS328" s="9" t="n">
        <v>1739</v>
      </c>
      <c r="AT328" s="10" t="n">
        <f aca="false">(AS328/Q328)*100</f>
        <v>0.765085021667877</v>
      </c>
    </row>
    <row r="329" customFormat="false" ht="12.8" hidden="false" customHeight="true" outlineLevel="0" collapsed="false">
      <c r="A329" s="33" t="n">
        <v>2016</v>
      </c>
      <c r="B329" s="8" t="n">
        <v>85</v>
      </c>
      <c r="C329" s="9" t="s">
        <v>605</v>
      </c>
      <c r="D329" s="9" t="s">
        <v>585</v>
      </c>
      <c r="E329" s="9" t="s">
        <v>586</v>
      </c>
      <c r="F329" s="9" t="s">
        <v>365</v>
      </c>
      <c r="G329" s="9" t="s">
        <v>50</v>
      </c>
      <c r="H329" s="9" t="s">
        <v>51</v>
      </c>
      <c r="I329" s="9" t="s">
        <v>51</v>
      </c>
      <c r="J329" s="9" t="s">
        <v>51</v>
      </c>
      <c r="K329" s="9" t="s">
        <v>51</v>
      </c>
      <c r="L329" s="9" t="s">
        <v>68</v>
      </c>
      <c r="M329" s="9" t="s">
        <v>51</v>
      </c>
      <c r="N329" s="9" t="s">
        <v>51</v>
      </c>
      <c r="O329" s="9" t="s">
        <v>51</v>
      </c>
      <c r="P329" s="9" t="n">
        <v>263189</v>
      </c>
      <c r="Q329" s="9" t="n">
        <v>207574</v>
      </c>
      <c r="R329" s="10" t="n">
        <f aca="false">(Q329/P329)*100</f>
        <v>78.8687977081109</v>
      </c>
      <c r="S329" s="9" t="n">
        <f aca="false">Y329-AD329</f>
        <v>6282</v>
      </c>
      <c r="T329" s="10" t="n">
        <f aca="false">(S329/Q329)*100</f>
        <v>3.02639058841666</v>
      </c>
      <c r="U329" s="10" t="n">
        <f aca="false">Z329+AE329</f>
        <v>67.0700569435478</v>
      </c>
      <c r="V329" s="9" t="s">
        <v>55</v>
      </c>
      <c r="W329" s="9" t="s">
        <v>68</v>
      </c>
      <c r="X329" s="9" t="s">
        <v>1844</v>
      </c>
      <c r="Y329" s="9" t="n">
        <v>72751</v>
      </c>
      <c r="Z329" s="10" t="n">
        <f aca="false">(Y329/Q329)*100</f>
        <v>35.0482237659823</v>
      </c>
      <c r="AA329" s="9" t="s">
        <v>52</v>
      </c>
      <c r="AB329" s="9" t="s">
        <v>53</v>
      </c>
      <c r="AC329" s="9" t="s">
        <v>1845</v>
      </c>
      <c r="AD329" s="9" t="n">
        <v>66469</v>
      </c>
      <c r="AE329" s="10" t="n">
        <f aca="false">(AD329/Q329)*100</f>
        <v>32.0218331775656</v>
      </c>
      <c r="AF329" s="9" t="s">
        <v>1427</v>
      </c>
      <c r="AG329" s="9" t="s">
        <v>56</v>
      </c>
      <c r="AH329" s="9" t="s">
        <v>1846</v>
      </c>
      <c r="AI329" s="9" t="n">
        <v>49939</v>
      </c>
      <c r="AJ329" s="10" t="n">
        <f aca="false">(AI329/Q329)*100</f>
        <v>24.0584080857911</v>
      </c>
      <c r="AK329" s="9" t="s">
        <v>1429</v>
      </c>
      <c r="AL329" s="9" t="s">
        <v>61</v>
      </c>
      <c r="AM329" s="9" t="s">
        <v>1847</v>
      </c>
      <c r="AN329" s="9" t="n">
        <v>5892</v>
      </c>
      <c r="AO329" s="10" t="n">
        <f aca="false">(AN329/Q329)*100</f>
        <v>2.83850578588841</v>
      </c>
      <c r="AP329" s="9" t="s">
        <v>63</v>
      </c>
      <c r="AQ329" s="9" t="s">
        <v>63</v>
      </c>
      <c r="AR329" s="9" t="s">
        <v>63</v>
      </c>
      <c r="AS329" s="9" t="n">
        <v>1829</v>
      </c>
      <c r="AT329" s="10" t="n">
        <f aca="false">(AS329/Q329)*100</f>
        <v>0.881131548267124</v>
      </c>
    </row>
    <row r="330" customFormat="false" ht="12.8" hidden="false" customHeight="true" outlineLevel="0" collapsed="false">
      <c r="A330" s="33" t="n">
        <v>2016</v>
      </c>
      <c r="B330" s="8" t="n">
        <v>86</v>
      </c>
      <c r="C330" s="9" t="s">
        <v>611</v>
      </c>
      <c r="D330" s="9" t="s">
        <v>585</v>
      </c>
      <c r="E330" s="9" t="s">
        <v>586</v>
      </c>
      <c r="F330" s="9" t="s">
        <v>365</v>
      </c>
      <c r="G330" s="9" t="s">
        <v>77</v>
      </c>
      <c r="H330" s="9" t="s">
        <v>51</v>
      </c>
      <c r="I330" s="9" t="s">
        <v>51</v>
      </c>
      <c r="J330" s="9" t="s">
        <v>51</v>
      </c>
      <c r="K330" s="9" t="s">
        <v>68</v>
      </c>
      <c r="L330" s="9" t="s">
        <v>51</v>
      </c>
      <c r="M330" s="9" t="s">
        <v>68</v>
      </c>
      <c r="N330" s="9" t="s">
        <v>51</v>
      </c>
      <c r="O330" s="9" t="s">
        <v>51</v>
      </c>
      <c r="P330" s="9" t="n">
        <v>261304</v>
      </c>
      <c r="Q330" s="9" t="n">
        <v>225644</v>
      </c>
      <c r="R330" s="10" t="n">
        <f aca="false">(Q330/P330)*100</f>
        <v>86.3530600373511</v>
      </c>
      <c r="S330" s="9" t="n">
        <f aca="false">Y330-AD330</f>
        <v>42022</v>
      </c>
      <c r="T330" s="10" t="n">
        <f aca="false">(S330/Q330)*100</f>
        <v>18.6231408767794</v>
      </c>
      <c r="U330" s="10" t="n">
        <f aca="false">Z330+AJ330</f>
        <v>68.1835103082732</v>
      </c>
      <c r="V330" s="9" t="s">
        <v>55</v>
      </c>
      <c r="W330" s="9" t="s">
        <v>68</v>
      </c>
      <c r="X330" s="9" t="s">
        <v>1848</v>
      </c>
      <c r="Y330" s="9" t="n">
        <v>98703</v>
      </c>
      <c r="Z330" s="10" t="n">
        <f aca="false">(Y330/Q330)*100</f>
        <v>43.7427983903849</v>
      </c>
      <c r="AA330" s="9" t="s">
        <v>1427</v>
      </c>
      <c r="AB330" s="9" t="s">
        <v>56</v>
      </c>
      <c r="AC330" s="9" t="s">
        <v>1849</v>
      </c>
      <c r="AD330" s="9" t="n">
        <v>56681</v>
      </c>
      <c r="AE330" s="10" t="n">
        <f aca="false">(AD330/Q330)*100</f>
        <v>25.1196575136055</v>
      </c>
      <c r="AF330" s="9" t="s">
        <v>52</v>
      </c>
      <c r="AG330" s="9" t="s">
        <v>53</v>
      </c>
      <c r="AH330" s="9" t="s">
        <v>1850</v>
      </c>
      <c r="AI330" s="9" t="n">
        <v>55149</v>
      </c>
      <c r="AJ330" s="10" t="n">
        <f aca="false">(AI330/Q330)*100</f>
        <v>24.4407119178884</v>
      </c>
      <c r="AK330" s="9" t="s">
        <v>1429</v>
      </c>
      <c r="AL330" s="9" t="s">
        <v>422</v>
      </c>
      <c r="AM330" s="9" t="s">
        <v>1851</v>
      </c>
      <c r="AN330" s="9" t="n">
        <v>5437</v>
      </c>
      <c r="AO330" s="10" t="n">
        <f aca="false">(AN330/Q330)*100</f>
        <v>2.40954778323377</v>
      </c>
      <c r="AP330" s="9" t="s">
        <v>63</v>
      </c>
      <c r="AQ330" s="9" t="s">
        <v>63</v>
      </c>
      <c r="AR330" s="9" t="s">
        <v>63</v>
      </c>
      <c r="AS330" s="9" t="n">
        <v>1913</v>
      </c>
      <c r="AT330" s="10" t="n">
        <f aca="false">(AS330/Q330)*100</f>
        <v>0.847795642693801</v>
      </c>
    </row>
    <row r="331" customFormat="false" ht="12.8" hidden="false" customHeight="true" outlineLevel="0" collapsed="false">
      <c r="A331" s="33" t="n">
        <v>2016</v>
      </c>
      <c r="B331" s="8" t="n">
        <v>87</v>
      </c>
      <c r="C331" s="9" t="s">
        <v>616</v>
      </c>
      <c r="D331" s="9" t="s">
        <v>585</v>
      </c>
      <c r="E331" s="9" t="s">
        <v>586</v>
      </c>
      <c r="F331" s="9" t="s">
        <v>365</v>
      </c>
      <c r="G331" s="9" t="s">
        <v>50</v>
      </c>
      <c r="H331" s="9" t="s">
        <v>51</v>
      </c>
      <c r="I331" s="9" t="s">
        <v>51</v>
      </c>
      <c r="J331" s="9" t="s">
        <v>51</v>
      </c>
      <c r="K331" s="9" t="s">
        <v>51</v>
      </c>
      <c r="L331" s="9" t="s">
        <v>68</v>
      </c>
      <c r="M331" s="9" t="s">
        <v>68</v>
      </c>
      <c r="N331" s="9" t="s">
        <v>51</v>
      </c>
      <c r="O331" s="9" t="s">
        <v>51</v>
      </c>
      <c r="P331" s="9" t="n">
        <v>256847</v>
      </c>
      <c r="Q331" s="9" t="n">
        <v>215863</v>
      </c>
      <c r="R331" s="10" t="n">
        <f aca="false">(Q331/P331)*100</f>
        <v>84.0434188446819</v>
      </c>
      <c r="S331" s="9" t="n">
        <f aca="false">Y331-AD331</f>
        <v>37374</v>
      </c>
      <c r="T331" s="10" t="n">
        <f aca="false">(S331/Q331)*100</f>
        <v>17.3137591898565</v>
      </c>
      <c r="U331" s="10" t="n">
        <f aca="false">Z331+AE331</f>
        <v>71.8186998234992</v>
      </c>
      <c r="V331" s="9" t="s">
        <v>55</v>
      </c>
      <c r="W331" s="9" t="s">
        <v>68</v>
      </c>
      <c r="X331" s="9" t="s">
        <v>354</v>
      </c>
      <c r="Y331" s="9" t="n">
        <v>96202</v>
      </c>
      <c r="Z331" s="10" t="n">
        <f aca="false">(Y331/Q331)*100</f>
        <v>44.5662295066778</v>
      </c>
      <c r="AA331" s="9" t="s">
        <v>52</v>
      </c>
      <c r="AB331" s="9" t="s">
        <v>66</v>
      </c>
      <c r="AC331" s="9" t="s">
        <v>1852</v>
      </c>
      <c r="AD331" s="9" t="n">
        <v>58828</v>
      </c>
      <c r="AE331" s="10" t="n">
        <f aca="false">(AD331/Q331)*100</f>
        <v>27.2524703168213</v>
      </c>
      <c r="AF331" s="9" t="s">
        <v>1427</v>
      </c>
      <c r="AG331" s="9" t="s">
        <v>56</v>
      </c>
      <c r="AH331" s="9" t="s">
        <v>1853</v>
      </c>
      <c r="AI331" s="9" t="n">
        <v>37927</v>
      </c>
      <c r="AJ331" s="10" t="n">
        <f aca="false">(AI331/Q331)*100</f>
        <v>17.5699401935487</v>
      </c>
      <c r="AK331" s="9" t="s">
        <v>1429</v>
      </c>
      <c r="AL331" s="9" t="s">
        <v>1338</v>
      </c>
      <c r="AM331" s="9" t="s">
        <v>1854</v>
      </c>
      <c r="AN331" s="9" t="n">
        <v>5633</v>
      </c>
      <c r="AO331" s="10" t="n">
        <f aca="false">(AN331/Q331)*100</f>
        <v>2.60952548607219</v>
      </c>
      <c r="AP331" s="9" t="s">
        <v>197</v>
      </c>
      <c r="AQ331" s="9" t="s">
        <v>664</v>
      </c>
      <c r="AR331" s="9" t="s">
        <v>1606</v>
      </c>
      <c r="AS331" s="9" t="n">
        <v>5091</v>
      </c>
      <c r="AT331" s="10" t="n">
        <f aca="false">(AS331/Q331)*100</f>
        <v>2.3584403070466</v>
      </c>
    </row>
    <row r="332" customFormat="false" ht="12.8" hidden="false" customHeight="true" outlineLevel="0" collapsed="false">
      <c r="A332" s="33" t="n">
        <v>2016</v>
      </c>
      <c r="B332" s="8" t="n">
        <v>88</v>
      </c>
      <c r="C332" s="9" t="s">
        <v>622</v>
      </c>
      <c r="D332" s="9" t="s">
        <v>585</v>
      </c>
      <c r="E332" s="9" t="s">
        <v>586</v>
      </c>
      <c r="F332" s="9" t="s">
        <v>365</v>
      </c>
      <c r="G332" s="9" t="s">
        <v>88</v>
      </c>
      <c r="H332" s="9" t="s">
        <v>51</v>
      </c>
      <c r="I332" s="9" t="s">
        <v>51</v>
      </c>
      <c r="J332" s="9" t="s">
        <v>51</v>
      </c>
      <c r="K332" s="9" t="s">
        <v>51</v>
      </c>
      <c r="L332" s="9" t="s">
        <v>51</v>
      </c>
      <c r="M332" s="9" t="s">
        <v>51</v>
      </c>
      <c r="N332" s="9" t="s">
        <v>51</v>
      </c>
      <c r="O332" s="9" t="s">
        <v>51</v>
      </c>
      <c r="P332" s="9" t="n">
        <v>271212</v>
      </c>
      <c r="Q332" s="9" t="n">
        <v>202478</v>
      </c>
      <c r="R332" s="10" t="n">
        <f aca="false">(Q332/P332)*100</f>
        <v>74.6567261035647</v>
      </c>
      <c r="S332" s="9" t="n">
        <f aca="false">Y332-AD332</f>
        <v>7247</v>
      </c>
      <c r="T332" s="10" t="n">
        <f aca="false">(S332/Q332)*100</f>
        <v>3.57915427848952</v>
      </c>
      <c r="U332" s="10" t="n">
        <f aca="false">Z332+AE332</f>
        <v>76.1875364237102</v>
      </c>
      <c r="V332" s="9" t="s">
        <v>55</v>
      </c>
      <c r="W332" s="9" t="s">
        <v>68</v>
      </c>
      <c r="X332" s="9" t="s">
        <v>1855</v>
      </c>
      <c r="Y332" s="9" t="n">
        <v>80755</v>
      </c>
      <c r="Z332" s="10" t="n">
        <f aca="false">(Y332/Q332)*100</f>
        <v>39.8833453510999</v>
      </c>
      <c r="AA332" s="9" t="s">
        <v>52</v>
      </c>
      <c r="AB332" s="9" t="s">
        <v>53</v>
      </c>
      <c r="AC332" s="9" t="s">
        <v>1856</v>
      </c>
      <c r="AD332" s="9" t="n">
        <v>73508</v>
      </c>
      <c r="AE332" s="10" t="n">
        <f aca="false">(AD332/Q332)*100</f>
        <v>36.3041910726104</v>
      </c>
      <c r="AF332" s="9" t="s">
        <v>1427</v>
      </c>
      <c r="AG332" s="9" t="s">
        <v>56</v>
      </c>
      <c r="AH332" s="9" t="s">
        <v>1819</v>
      </c>
      <c r="AI332" s="9" t="n">
        <v>29982</v>
      </c>
      <c r="AJ332" s="10" t="n">
        <f aca="false">(AI332/Q332)*100</f>
        <v>14.8075346457393</v>
      </c>
      <c r="AK332" s="9" t="s">
        <v>1429</v>
      </c>
      <c r="AL332" s="9" t="s">
        <v>61</v>
      </c>
      <c r="AM332" s="9" t="s">
        <v>627</v>
      </c>
      <c r="AN332" s="9" t="n">
        <v>8962</v>
      </c>
      <c r="AO332" s="10" t="n">
        <f aca="false">(AN332/Q332)*100</f>
        <v>4.42615987909798</v>
      </c>
      <c r="AP332" s="9" t="s">
        <v>63</v>
      </c>
      <c r="AQ332" s="9" t="s">
        <v>63</v>
      </c>
      <c r="AR332" s="9" t="s">
        <v>63</v>
      </c>
      <c r="AS332" s="9" t="n">
        <v>3107</v>
      </c>
      <c r="AT332" s="10" t="n">
        <f aca="false">(AS332/Q332)*100</f>
        <v>1.53448769742886</v>
      </c>
    </row>
    <row r="333" customFormat="false" ht="12.8" hidden="false" customHeight="true" outlineLevel="0" collapsed="false">
      <c r="A333" s="33" t="n">
        <v>2016</v>
      </c>
      <c r="B333" s="8" t="n">
        <v>89</v>
      </c>
      <c r="C333" s="9" t="s">
        <v>628</v>
      </c>
      <c r="D333" s="9" t="s">
        <v>585</v>
      </c>
      <c r="E333" s="9" t="s">
        <v>586</v>
      </c>
      <c r="F333" s="9" t="s">
        <v>365</v>
      </c>
      <c r="G333" s="9" t="s">
        <v>88</v>
      </c>
      <c r="H333" s="9" t="s">
        <v>51</v>
      </c>
      <c r="I333" s="9" t="s">
        <v>51</v>
      </c>
      <c r="J333" s="9" t="s">
        <v>51</v>
      </c>
      <c r="K333" s="9" t="s">
        <v>51</v>
      </c>
      <c r="L333" s="9" t="s">
        <v>51</v>
      </c>
      <c r="M333" s="9" t="s">
        <v>51</v>
      </c>
      <c r="N333" s="9" t="s">
        <v>51</v>
      </c>
      <c r="O333" s="9" t="s">
        <v>51</v>
      </c>
      <c r="P333" s="9" t="n">
        <v>265999</v>
      </c>
      <c r="Q333" s="9" t="n">
        <v>191841</v>
      </c>
      <c r="R333" s="10" t="n">
        <f aca="false">(Q333/P333)*100</f>
        <v>72.1209478231121</v>
      </c>
      <c r="S333" s="9" t="n">
        <f aca="false">Y333-AD333</f>
        <v>9873</v>
      </c>
      <c r="T333" s="10" t="n">
        <f aca="false">(S333/Q333)*100</f>
        <v>5.1464494034122</v>
      </c>
      <c r="U333" s="10" t="n">
        <f aca="false">Z333+AE333</f>
        <v>85.1189266110998</v>
      </c>
      <c r="V333" s="9" t="s">
        <v>52</v>
      </c>
      <c r="W333" s="9" t="s">
        <v>53</v>
      </c>
      <c r="X333" s="9" t="s">
        <v>1667</v>
      </c>
      <c r="Y333" s="9" t="n">
        <v>86583</v>
      </c>
      <c r="Z333" s="10" t="n">
        <f aca="false">(Y333/Q333)*100</f>
        <v>45.132688007256</v>
      </c>
      <c r="AA333" s="9" t="s">
        <v>55</v>
      </c>
      <c r="AB333" s="9" t="s">
        <v>68</v>
      </c>
      <c r="AC333" s="9" t="s">
        <v>1857</v>
      </c>
      <c r="AD333" s="9" t="n">
        <v>76710</v>
      </c>
      <c r="AE333" s="10" t="n">
        <f aca="false">(AD333/Q333)*100</f>
        <v>39.9862386038438</v>
      </c>
      <c r="AF333" s="9" t="s">
        <v>1427</v>
      </c>
      <c r="AG333" s="9" t="s">
        <v>56</v>
      </c>
      <c r="AH333" s="9" t="s">
        <v>1858</v>
      </c>
      <c r="AI333" s="9" t="n">
        <v>7975</v>
      </c>
      <c r="AJ333" s="10" t="n">
        <f aca="false">(AI333/Q333)*100</f>
        <v>4.15708842218295</v>
      </c>
      <c r="AK333" s="9" t="s">
        <v>1431</v>
      </c>
      <c r="AL333" s="9" t="s">
        <v>171</v>
      </c>
      <c r="AM333" s="9" t="s">
        <v>1859</v>
      </c>
      <c r="AN333" s="9" t="n">
        <v>5922</v>
      </c>
      <c r="AO333" s="10" t="n">
        <f aca="false">(AN333/Q333)*100</f>
        <v>3.08693136503667</v>
      </c>
      <c r="AP333" s="9" t="s">
        <v>1429</v>
      </c>
      <c r="AQ333" s="9" t="s">
        <v>1338</v>
      </c>
      <c r="AR333" s="9" t="s">
        <v>1860</v>
      </c>
      <c r="AS333" s="9" t="n">
        <v>4157</v>
      </c>
      <c r="AT333" s="10" t="n">
        <f aca="false">(AS333/Q333)*100</f>
        <v>2.1668986295943</v>
      </c>
    </row>
    <row r="334" customFormat="false" ht="12.8" hidden="false" customHeight="true" outlineLevel="0" collapsed="false">
      <c r="A334" s="33" t="n">
        <v>2016</v>
      </c>
      <c r="B334" s="8" t="n">
        <v>90</v>
      </c>
      <c r="C334" s="9" t="s">
        <v>632</v>
      </c>
      <c r="D334" s="9" t="s">
        <v>585</v>
      </c>
      <c r="E334" s="9" t="s">
        <v>586</v>
      </c>
      <c r="F334" s="9" t="s">
        <v>365</v>
      </c>
      <c r="G334" s="9" t="s">
        <v>88</v>
      </c>
      <c r="H334" s="9" t="s">
        <v>51</v>
      </c>
      <c r="I334" s="9" t="s">
        <v>51</v>
      </c>
      <c r="J334" s="9" t="s">
        <v>51</v>
      </c>
      <c r="K334" s="9" t="s">
        <v>51</v>
      </c>
      <c r="L334" s="9" t="s">
        <v>51</v>
      </c>
      <c r="M334" s="9" t="s">
        <v>68</v>
      </c>
      <c r="N334" s="9" t="s">
        <v>51</v>
      </c>
      <c r="O334" s="9" t="s">
        <v>51</v>
      </c>
      <c r="P334" s="9" t="n">
        <v>263233</v>
      </c>
      <c r="Q334" s="9" t="n">
        <v>197889</v>
      </c>
      <c r="R334" s="10" t="n">
        <f aca="false">(Q334/P334)*100</f>
        <v>75.1763646655245</v>
      </c>
      <c r="S334" s="9" t="n">
        <f aca="false">Y334-AD334</f>
        <v>30453</v>
      </c>
      <c r="T334" s="10" t="n">
        <f aca="false">(S334/Q334)*100</f>
        <v>15.3889301578157</v>
      </c>
      <c r="U334" s="10" t="n">
        <f aca="false">Z334+AE334</f>
        <v>87.3919217339013</v>
      </c>
      <c r="V334" s="9" t="s">
        <v>55</v>
      </c>
      <c r="W334" s="9" t="s">
        <v>68</v>
      </c>
      <c r="X334" s="9" t="s">
        <v>1861</v>
      </c>
      <c r="Y334" s="9" t="n">
        <v>101696</v>
      </c>
      <c r="Z334" s="10" t="n">
        <f aca="false">(Y334/Q334)*100</f>
        <v>51.3904259458585</v>
      </c>
      <c r="AA334" s="9" t="s">
        <v>52</v>
      </c>
      <c r="AB334" s="9" t="s">
        <v>53</v>
      </c>
      <c r="AC334" s="9" t="s">
        <v>1862</v>
      </c>
      <c r="AD334" s="9" t="n">
        <v>71243</v>
      </c>
      <c r="AE334" s="10" t="n">
        <f aca="false">(AD334/Q334)*100</f>
        <v>36.0014957880428</v>
      </c>
      <c r="AF334" s="9" t="s">
        <v>1427</v>
      </c>
      <c r="AG334" s="9" t="s">
        <v>56</v>
      </c>
      <c r="AH334" s="9" t="s">
        <v>1863</v>
      </c>
      <c r="AI334" s="9" t="n">
        <v>6325</v>
      </c>
      <c r="AJ334" s="10" t="n">
        <f aca="false">(AI334/Q334)*100</f>
        <v>3.19623627387071</v>
      </c>
      <c r="AK334" s="9" t="s">
        <v>1431</v>
      </c>
      <c r="AL334" s="9" t="s">
        <v>171</v>
      </c>
      <c r="AM334" s="9" t="s">
        <v>1849</v>
      </c>
      <c r="AN334" s="9" t="n">
        <v>4686</v>
      </c>
      <c r="AO334" s="10" t="n">
        <f aca="false">(AN334/Q334)*100</f>
        <v>2.36799417855464</v>
      </c>
      <c r="AP334" s="9" t="s">
        <v>63</v>
      </c>
      <c r="AQ334" s="9" t="s">
        <v>63</v>
      </c>
      <c r="AR334" s="9" t="s">
        <v>63</v>
      </c>
      <c r="AS334" s="9" t="n">
        <v>4121</v>
      </c>
      <c r="AT334" s="10" t="n">
        <f aca="false">(AS334/Q334)*100</f>
        <v>2.0824805825488</v>
      </c>
    </row>
    <row r="335" customFormat="false" ht="12.8" hidden="false" customHeight="true" outlineLevel="0" collapsed="false">
      <c r="A335" s="33" t="n">
        <v>2016</v>
      </c>
      <c r="B335" s="8" t="n">
        <v>91</v>
      </c>
      <c r="C335" s="9" t="s">
        <v>638</v>
      </c>
      <c r="D335" s="9" t="s">
        <v>585</v>
      </c>
      <c r="E335" s="9" t="s">
        <v>586</v>
      </c>
      <c r="F335" s="9" t="s">
        <v>365</v>
      </c>
      <c r="G335" s="9" t="s">
        <v>50</v>
      </c>
      <c r="H335" s="9" t="s">
        <v>51</v>
      </c>
      <c r="I335" s="9" t="s">
        <v>51</v>
      </c>
      <c r="J335" s="9" t="s">
        <v>51</v>
      </c>
      <c r="K335" s="9" t="s">
        <v>51</v>
      </c>
      <c r="L335" s="9" t="s">
        <v>51</v>
      </c>
      <c r="M335" s="9" t="s">
        <v>68</v>
      </c>
      <c r="N335" s="9" t="s">
        <v>51</v>
      </c>
      <c r="O335" s="9" t="s">
        <v>51</v>
      </c>
      <c r="P335" s="9" t="n">
        <v>239268</v>
      </c>
      <c r="Q335" s="9" t="n">
        <v>206718</v>
      </c>
      <c r="R335" s="10" t="n">
        <f aca="false">(Q335/P335)*100</f>
        <v>86.3960078238628</v>
      </c>
      <c r="S335" s="9" t="n">
        <f aca="false">Y335-AD335</f>
        <v>14481</v>
      </c>
      <c r="T335" s="10" t="n">
        <f aca="false">(S335/Q335)*100</f>
        <v>7.00519548370244</v>
      </c>
      <c r="U335" s="10" t="n">
        <f aca="false">Z335+AE335</f>
        <v>84.7062181329154</v>
      </c>
      <c r="V335" s="9" t="s">
        <v>55</v>
      </c>
      <c r="W335" s="9" t="s">
        <v>68</v>
      </c>
      <c r="X335" s="9" t="s">
        <v>1864</v>
      </c>
      <c r="Y335" s="9" t="n">
        <v>94792</v>
      </c>
      <c r="Z335" s="10" t="n">
        <f aca="false">(Y335/Q335)*100</f>
        <v>45.8557068083089</v>
      </c>
      <c r="AA335" s="9" t="s">
        <v>52</v>
      </c>
      <c r="AB335" s="9" t="s">
        <v>53</v>
      </c>
      <c r="AC335" s="9" t="s">
        <v>1865</v>
      </c>
      <c r="AD335" s="9" t="n">
        <v>80311</v>
      </c>
      <c r="AE335" s="10" t="n">
        <f aca="false">(AD335/Q335)*100</f>
        <v>38.8505113246065</v>
      </c>
      <c r="AF335" s="9" t="s">
        <v>1427</v>
      </c>
      <c r="AG335" s="9" t="s">
        <v>56</v>
      </c>
      <c r="AH335" s="9" t="s">
        <v>1866</v>
      </c>
      <c r="AI335" s="9" t="n">
        <v>17218</v>
      </c>
      <c r="AJ335" s="10" t="n">
        <f aca="false">(AI335/Q335)*100</f>
        <v>8.32922145144593</v>
      </c>
      <c r="AK335" s="9" t="s">
        <v>1429</v>
      </c>
      <c r="AL335" s="9" t="s">
        <v>392</v>
      </c>
      <c r="AM335" s="9" t="s">
        <v>1867</v>
      </c>
      <c r="AN335" s="9" t="n">
        <v>6483</v>
      </c>
      <c r="AO335" s="10" t="n">
        <f aca="false">(AN335/Q335)*100</f>
        <v>3.13615650306214</v>
      </c>
      <c r="AP335" s="9" t="s">
        <v>63</v>
      </c>
      <c r="AQ335" s="9" t="s">
        <v>63</v>
      </c>
      <c r="AR335" s="9" t="s">
        <v>63</v>
      </c>
      <c r="AS335" s="9" t="n">
        <v>2828</v>
      </c>
      <c r="AT335" s="10" t="n">
        <f aca="false">(AS335/Q335)*100</f>
        <v>1.36804729147921</v>
      </c>
    </row>
    <row r="336" customFormat="false" ht="12.8" hidden="false" customHeight="true" outlineLevel="0" collapsed="false">
      <c r="A336" s="33" t="n">
        <v>2016</v>
      </c>
      <c r="B336" s="8" t="n">
        <v>92</v>
      </c>
      <c r="C336" s="9" t="s">
        <v>643</v>
      </c>
      <c r="D336" s="9" t="s">
        <v>644</v>
      </c>
      <c r="E336" s="9" t="s">
        <v>586</v>
      </c>
      <c r="F336" s="9" t="s">
        <v>645</v>
      </c>
      <c r="G336" s="9" t="s">
        <v>77</v>
      </c>
      <c r="H336" s="9" t="s">
        <v>65</v>
      </c>
      <c r="I336" s="9" t="s">
        <v>51</v>
      </c>
      <c r="J336" s="9" t="s">
        <v>51</v>
      </c>
      <c r="K336" s="9" t="s">
        <v>51</v>
      </c>
      <c r="L336" s="9" t="s">
        <v>51</v>
      </c>
      <c r="M336" s="9" t="s">
        <v>51</v>
      </c>
      <c r="N336" s="9" t="s">
        <v>51</v>
      </c>
      <c r="O336" s="9" t="s">
        <v>51</v>
      </c>
      <c r="P336" s="9" t="n">
        <v>221806</v>
      </c>
      <c r="Q336" s="9" t="n">
        <v>186869</v>
      </c>
      <c r="R336" s="10" t="n">
        <f aca="false">(Q336/P336)*100</f>
        <v>84.2488480924772</v>
      </c>
      <c r="S336" s="9" t="n">
        <f aca="false">Y336-AD336</f>
        <v>9631</v>
      </c>
      <c r="T336" s="10" t="n">
        <f aca="false">(S336/Q336)*100</f>
        <v>5.15387785025874</v>
      </c>
      <c r="U336" s="10" t="n">
        <f aca="false">Z336+AE336</f>
        <v>87.8535230562587</v>
      </c>
      <c r="V336" s="9" t="s">
        <v>55</v>
      </c>
      <c r="W336" s="9" t="s">
        <v>68</v>
      </c>
      <c r="X336" s="9" t="s">
        <v>1868</v>
      </c>
      <c r="Y336" s="9" t="n">
        <v>86901</v>
      </c>
      <c r="Z336" s="10" t="n">
        <f aca="false">(Y336/Q336)*100</f>
        <v>46.5037004532587</v>
      </c>
      <c r="AA336" s="9" t="s">
        <v>52</v>
      </c>
      <c r="AB336" s="9" t="s">
        <v>53</v>
      </c>
      <c r="AC336" s="9" t="s">
        <v>1869</v>
      </c>
      <c r="AD336" s="9" t="n">
        <v>77270</v>
      </c>
      <c r="AE336" s="10" t="n">
        <f aca="false">(AD336/Q336)*100</f>
        <v>41.349822603</v>
      </c>
      <c r="AF336" s="9" t="s">
        <v>1427</v>
      </c>
      <c r="AG336" s="9" t="s">
        <v>56</v>
      </c>
      <c r="AH336" s="9" t="s">
        <v>1870</v>
      </c>
      <c r="AI336" s="9" t="n">
        <v>6952</v>
      </c>
      <c r="AJ336" s="10" t="n">
        <f aca="false">(AI336/Q336)*100</f>
        <v>3.72025322552162</v>
      </c>
      <c r="AK336" s="9" t="s">
        <v>1429</v>
      </c>
      <c r="AL336" s="9" t="s">
        <v>257</v>
      </c>
      <c r="AM336" s="9" t="s">
        <v>1871</v>
      </c>
      <c r="AN336" s="9" t="n">
        <v>4341</v>
      </c>
      <c r="AO336" s="10" t="n">
        <f aca="false">(AN336/Q336)*100</f>
        <v>2.32301772899732</v>
      </c>
      <c r="AP336" s="9" t="s">
        <v>63</v>
      </c>
      <c r="AQ336" s="15" t="s">
        <v>63</v>
      </c>
      <c r="AR336" s="9" t="s">
        <v>63</v>
      </c>
      <c r="AS336" s="9" t="n">
        <v>2795</v>
      </c>
      <c r="AT336" s="10" t="n">
        <f aca="false">(AS336/Q336)*100</f>
        <v>1.49570019639427</v>
      </c>
    </row>
    <row r="337" customFormat="false" ht="12.8" hidden="false" customHeight="true" outlineLevel="0" collapsed="false">
      <c r="A337" s="33" t="n">
        <v>2016</v>
      </c>
      <c r="B337" s="8" t="n">
        <v>93</v>
      </c>
      <c r="C337" s="9" t="s">
        <v>650</v>
      </c>
      <c r="D337" s="9" t="s">
        <v>644</v>
      </c>
      <c r="E337" s="9" t="s">
        <v>586</v>
      </c>
      <c r="F337" s="9" t="s">
        <v>645</v>
      </c>
      <c r="G337" s="9" t="s">
        <v>50</v>
      </c>
      <c r="H337" s="9" t="s">
        <v>595</v>
      </c>
      <c r="I337" s="9" t="s">
        <v>51</v>
      </c>
      <c r="J337" s="9" t="s">
        <v>51</v>
      </c>
      <c r="K337" s="9" t="s">
        <v>51</v>
      </c>
      <c r="L337" s="9" t="s">
        <v>51</v>
      </c>
      <c r="M337" s="9" t="s">
        <v>51</v>
      </c>
      <c r="N337" s="9" t="s">
        <v>68</v>
      </c>
      <c r="O337" s="9" t="s">
        <v>51</v>
      </c>
      <c r="P337" s="9" t="n">
        <v>229911</v>
      </c>
      <c r="Q337" s="9" t="n">
        <v>189917</v>
      </c>
      <c r="R337" s="10" t="n">
        <f aca="false">(Q337/P337)*100</f>
        <v>82.6045730739286</v>
      </c>
      <c r="S337" s="9" t="n">
        <f aca="false">Y337-AD337</f>
        <v>12333</v>
      </c>
      <c r="T337" s="10" t="n">
        <f aca="false">(S337/Q337)*100</f>
        <v>6.49388943591148</v>
      </c>
      <c r="U337" s="10" t="n">
        <f aca="false">Z337+AE337</f>
        <v>89.6944454682835</v>
      </c>
      <c r="V337" s="9" t="s">
        <v>55</v>
      </c>
      <c r="W337" s="9" t="s">
        <v>68</v>
      </c>
      <c r="X337" s="9" t="s">
        <v>1872</v>
      </c>
      <c r="Y337" s="9" t="n">
        <v>91339</v>
      </c>
      <c r="Z337" s="10" t="n">
        <f aca="false">(Y337/Q337)*100</f>
        <v>48.0941674520975</v>
      </c>
      <c r="AA337" s="9" t="s">
        <v>52</v>
      </c>
      <c r="AB337" s="9" t="s">
        <v>53</v>
      </c>
      <c r="AC337" s="9" t="s">
        <v>1873</v>
      </c>
      <c r="AD337" s="9" t="n">
        <v>79006</v>
      </c>
      <c r="AE337" s="10" t="n">
        <f aca="false">(AD337/Q337)*100</f>
        <v>41.600278016186</v>
      </c>
      <c r="AF337" s="9" t="s">
        <v>1429</v>
      </c>
      <c r="AG337" s="9" t="s">
        <v>61</v>
      </c>
      <c r="AH337" s="9" t="s">
        <v>1874</v>
      </c>
      <c r="AI337" s="9" t="n">
        <v>5609</v>
      </c>
      <c r="AJ337" s="10" t="n">
        <f aca="false">(AI337/Q337)*100</f>
        <v>2.95339543063549</v>
      </c>
      <c r="AK337" s="9" t="s">
        <v>197</v>
      </c>
      <c r="AL337" s="9" t="s">
        <v>664</v>
      </c>
      <c r="AM337" s="9" t="s">
        <v>1875</v>
      </c>
      <c r="AN337" s="9" t="n">
        <v>4014</v>
      </c>
      <c r="AO337" s="10" t="n">
        <f aca="false">(AN337/Q337)*100</f>
        <v>2.1135548687058</v>
      </c>
      <c r="AP337" s="9" t="s">
        <v>63</v>
      </c>
      <c r="AQ337" s="9" t="s">
        <v>63</v>
      </c>
      <c r="AR337" s="9" t="s">
        <v>63</v>
      </c>
      <c r="AS337" s="9" t="n">
        <v>2664</v>
      </c>
      <c r="AT337" s="10" t="n">
        <f aca="false">(AS337/Q337)*100</f>
        <v>1.40271802945497</v>
      </c>
    </row>
    <row r="338" customFormat="false" ht="12.8" hidden="false" customHeight="true" outlineLevel="0" collapsed="false">
      <c r="A338" s="33" t="n">
        <v>2016</v>
      </c>
      <c r="B338" s="8" t="n">
        <v>94</v>
      </c>
      <c r="C338" s="9" t="s">
        <v>644</v>
      </c>
      <c r="D338" s="9" t="s">
        <v>644</v>
      </c>
      <c r="E338" s="9" t="s">
        <v>586</v>
      </c>
      <c r="F338" s="9" t="s">
        <v>645</v>
      </c>
      <c r="G338" s="9" t="s">
        <v>77</v>
      </c>
      <c r="H338" s="9" t="s">
        <v>51</v>
      </c>
      <c r="I338" s="9" t="s">
        <v>51</v>
      </c>
      <c r="J338" s="9" t="s">
        <v>51</v>
      </c>
      <c r="K338" s="9" t="s">
        <v>51</v>
      </c>
      <c r="L338" s="9" t="s">
        <v>68</v>
      </c>
      <c r="M338" s="9" t="s">
        <v>51</v>
      </c>
      <c r="N338" s="9" t="s">
        <v>51</v>
      </c>
      <c r="O338" s="9" t="s">
        <v>51</v>
      </c>
      <c r="P338" s="9" t="n">
        <v>242615</v>
      </c>
      <c r="Q338" s="9" t="n">
        <v>194441</v>
      </c>
      <c r="R338" s="10" t="n">
        <f aca="false">(Q338/P338)*100</f>
        <v>80.1438493085753</v>
      </c>
      <c r="S338" s="9" t="n">
        <f aca="false">Y338-AD338</f>
        <v>13534</v>
      </c>
      <c r="T338" s="10" t="n">
        <f aca="false">(S338/Q338)*100</f>
        <v>6.96046615682906</v>
      </c>
      <c r="U338" s="10" t="n">
        <f aca="false">Z338+AE338</f>
        <v>84.6621854444279</v>
      </c>
      <c r="V338" s="9" t="s">
        <v>55</v>
      </c>
      <c r="W338" s="9" t="s">
        <v>68</v>
      </c>
      <c r="X338" s="9" t="s">
        <v>1876</v>
      </c>
      <c r="Y338" s="9" t="n">
        <v>89076</v>
      </c>
      <c r="Z338" s="10" t="n">
        <f aca="false">(Y338/Q338)*100</f>
        <v>45.8113258006285</v>
      </c>
      <c r="AA338" s="9" t="s">
        <v>52</v>
      </c>
      <c r="AB338" s="9" t="s">
        <v>66</v>
      </c>
      <c r="AC338" s="9" t="s">
        <v>1877</v>
      </c>
      <c r="AD338" s="9" t="n">
        <v>75542</v>
      </c>
      <c r="AE338" s="10" t="n">
        <f aca="false">(AD338/Q338)*100</f>
        <v>38.8508596437994</v>
      </c>
      <c r="AF338" s="9" t="s">
        <v>197</v>
      </c>
      <c r="AG338" s="9" t="s">
        <v>664</v>
      </c>
      <c r="AH338" s="9" t="s">
        <v>1878</v>
      </c>
      <c r="AI338" s="9" t="n">
        <v>10506</v>
      </c>
      <c r="AJ338" s="10" t="n">
        <f aca="false">(AI338/Q338)*100</f>
        <v>5.40318142778529</v>
      </c>
      <c r="AK338" s="9" t="s">
        <v>1429</v>
      </c>
      <c r="AL338" s="9" t="s">
        <v>1338</v>
      </c>
      <c r="AM338" s="9" t="s">
        <v>1879</v>
      </c>
      <c r="AN338" s="9" t="n">
        <v>4341</v>
      </c>
      <c r="AO338" s="10" t="n">
        <f aca="false">(AN338/Q338)*100</f>
        <v>2.23255383381077</v>
      </c>
      <c r="AP338" s="9" t="s">
        <v>63</v>
      </c>
      <c r="AQ338" s="9" t="s">
        <v>63</v>
      </c>
      <c r="AR338" s="9" t="s">
        <v>63</v>
      </c>
      <c r="AS338" s="9" t="n">
        <v>3828</v>
      </c>
      <c r="AT338" s="10" t="n">
        <f aca="false">(AS338/Q338)*100</f>
        <v>1.96872058876472</v>
      </c>
    </row>
    <row r="339" customFormat="false" ht="12.8" hidden="false" customHeight="true" outlineLevel="0" collapsed="false">
      <c r="A339" s="33" t="n">
        <v>2016</v>
      </c>
      <c r="B339" s="8" t="n">
        <v>95</v>
      </c>
      <c r="C339" s="9" t="s">
        <v>658</v>
      </c>
      <c r="D339" s="9" t="s">
        <v>644</v>
      </c>
      <c r="E339" s="9" t="s">
        <v>586</v>
      </c>
      <c r="F339" s="9" t="s">
        <v>645</v>
      </c>
      <c r="G339" s="9" t="s">
        <v>50</v>
      </c>
      <c r="H339" s="9" t="s">
        <v>51</v>
      </c>
      <c r="I339" s="9" t="s">
        <v>51</v>
      </c>
      <c r="J339" s="9" t="s">
        <v>51</v>
      </c>
      <c r="K339" s="9" t="s">
        <v>51</v>
      </c>
      <c r="L339" s="9" t="s">
        <v>51</v>
      </c>
      <c r="M339" s="9" t="s">
        <v>51</v>
      </c>
      <c r="N339" s="9" t="s">
        <v>51</v>
      </c>
      <c r="O339" s="9" t="s">
        <v>51</v>
      </c>
      <c r="P339" s="9" t="n">
        <v>208633</v>
      </c>
      <c r="Q339" s="9" t="n">
        <v>175306</v>
      </c>
      <c r="R339" s="10" t="n">
        <f aca="false">(Q339/P339)*100</f>
        <v>84.02601697718</v>
      </c>
      <c r="S339" s="9" t="n">
        <f aca="false">Y339-AD339</f>
        <v>818</v>
      </c>
      <c r="T339" s="10" t="n">
        <f aca="false">(S339/Q339)*100</f>
        <v>0.466612665852852</v>
      </c>
      <c r="U339" s="10" t="n">
        <f aca="false">Z339+AE339</f>
        <v>84.4340752740922</v>
      </c>
      <c r="V339" s="9" t="s">
        <v>52</v>
      </c>
      <c r="W339" s="9" t="s">
        <v>53</v>
      </c>
      <c r="X339" s="9" t="s">
        <v>1880</v>
      </c>
      <c r="Y339" s="9" t="n">
        <v>74418</v>
      </c>
      <c r="Z339" s="10" t="n">
        <f aca="false">(Y339/Q339)*100</f>
        <v>42.4503439699725</v>
      </c>
      <c r="AA339" s="9" t="s">
        <v>55</v>
      </c>
      <c r="AB339" s="9" t="s">
        <v>68</v>
      </c>
      <c r="AC339" s="9" t="s">
        <v>1881</v>
      </c>
      <c r="AD339" s="9" t="n">
        <v>73600</v>
      </c>
      <c r="AE339" s="10" t="n">
        <f aca="false">(AD339/Q339)*100</f>
        <v>41.9837313041197</v>
      </c>
      <c r="AF339" s="9" t="s">
        <v>1429</v>
      </c>
      <c r="AG339" s="9" t="s">
        <v>61</v>
      </c>
      <c r="AH339" s="9" t="s">
        <v>1882</v>
      </c>
      <c r="AI339" s="9" t="n">
        <v>6014</v>
      </c>
      <c r="AJ339" s="10" t="n">
        <f aca="false">(AI339/Q339)*100</f>
        <v>3.4305728269426</v>
      </c>
      <c r="AK339" s="9" t="s">
        <v>197</v>
      </c>
      <c r="AL339" s="9" t="s">
        <v>664</v>
      </c>
      <c r="AM339" s="9" t="s">
        <v>1883</v>
      </c>
      <c r="AN339" s="9" t="n">
        <v>5116</v>
      </c>
      <c r="AO339" s="10" t="n">
        <f aca="false">(AN339/Q339)*100</f>
        <v>2.9183256705418</v>
      </c>
      <c r="AP339" s="9" t="s">
        <v>1431</v>
      </c>
      <c r="AQ339" s="9" t="s">
        <v>171</v>
      </c>
      <c r="AR339" s="9" t="s">
        <v>1884</v>
      </c>
      <c r="AS339" s="9" t="n">
        <v>4323</v>
      </c>
      <c r="AT339" s="10" t="n">
        <f aca="false">(AS339/Q339)*100</f>
        <v>2.46597378298518</v>
      </c>
    </row>
    <row r="340" customFormat="false" ht="12.8" hidden="false" customHeight="true" outlineLevel="0" collapsed="false">
      <c r="A340" s="33" t="n">
        <v>2016</v>
      </c>
      <c r="B340" s="8" t="n">
        <v>96</v>
      </c>
      <c r="C340" s="9" t="s">
        <v>663</v>
      </c>
      <c r="D340" s="9" t="s">
        <v>644</v>
      </c>
      <c r="E340" s="9" t="s">
        <v>586</v>
      </c>
      <c r="F340" s="9" t="s">
        <v>645</v>
      </c>
      <c r="G340" s="9" t="s">
        <v>77</v>
      </c>
      <c r="H340" s="9" t="s">
        <v>51</v>
      </c>
      <c r="I340" s="9" t="s">
        <v>316</v>
      </c>
      <c r="J340" s="9" t="s">
        <v>51</v>
      </c>
      <c r="K340" s="9" t="s">
        <v>51</v>
      </c>
      <c r="L340" s="9" t="s">
        <v>68</v>
      </c>
      <c r="M340" s="9" t="s">
        <v>51</v>
      </c>
      <c r="N340" s="9" t="s">
        <v>51</v>
      </c>
      <c r="O340" s="9" t="s">
        <v>51</v>
      </c>
      <c r="P340" s="9" t="n">
        <v>216720</v>
      </c>
      <c r="Q340" s="9" t="n">
        <v>176564</v>
      </c>
      <c r="R340" s="10" t="n">
        <f aca="false">(Q340/P340)*100</f>
        <v>81.4710225175341</v>
      </c>
      <c r="S340" s="9" t="n">
        <f aca="false">Y340-AD340</f>
        <v>3390</v>
      </c>
      <c r="T340" s="10" t="n">
        <f aca="false">(S340/Q340)*100</f>
        <v>1.91998368863415</v>
      </c>
      <c r="U340" s="10" t="n">
        <f aca="false">Z340+AE340</f>
        <v>80.8862508778687</v>
      </c>
      <c r="V340" s="9" t="s">
        <v>55</v>
      </c>
      <c r="W340" s="19" t="s">
        <v>68</v>
      </c>
      <c r="X340" s="9" t="s">
        <v>1885</v>
      </c>
      <c r="Y340" s="9" t="n">
        <v>73103</v>
      </c>
      <c r="Z340" s="10" t="n">
        <f aca="false">(Y340/Q340)*100</f>
        <v>41.4031172832514</v>
      </c>
      <c r="AA340" s="9" t="s">
        <v>52</v>
      </c>
      <c r="AB340" s="9" t="s">
        <v>53</v>
      </c>
      <c r="AC340" s="9" t="s">
        <v>1886</v>
      </c>
      <c r="AD340" s="9" t="n">
        <v>69713</v>
      </c>
      <c r="AE340" s="10" t="n">
        <f aca="false">(AD340/Q340)*100</f>
        <v>39.4831335946173</v>
      </c>
      <c r="AF340" s="9" t="s">
        <v>1429</v>
      </c>
      <c r="AG340" s="9" t="s">
        <v>61</v>
      </c>
      <c r="AH340" s="9" t="s">
        <v>1887</v>
      </c>
      <c r="AI340" s="9" t="n">
        <v>6688</v>
      </c>
      <c r="AJ340" s="10" t="n">
        <f aca="false">(AI340/Q340)*100</f>
        <v>3.78786162524637</v>
      </c>
      <c r="AK340" s="9" t="s">
        <v>197</v>
      </c>
      <c r="AL340" s="9" t="s">
        <v>664</v>
      </c>
      <c r="AM340" s="9" t="s">
        <v>1888</v>
      </c>
      <c r="AN340" s="9" t="n">
        <v>6471</v>
      </c>
      <c r="AO340" s="10" t="n">
        <f aca="false">(AN340/Q340)*100</f>
        <v>3.66496001449899</v>
      </c>
      <c r="AP340" s="9" t="s">
        <v>197</v>
      </c>
      <c r="AQ340" s="9" t="s">
        <v>197</v>
      </c>
      <c r="AR340" s="9" t="s">
        <v>1889</v>
      </c>
      <c r="AS340" s="9" t="n">
        <v>5923</v>
      </c>
      <c r="AT340" s="10" t="n">
        <f aca="false">(AS340/Q340)*100</f>
        <v>3.35459096984663</v>
      </c>
    </row>
    <row r="341" customFormat="false" ht="12.8" hidden="false" customHeight="true" outlineLevel="0" collapsed="false">
      <c r="A341" s="33" t="n">
        <v>2016</v>
      </c>
      <c r="B341" s="8" t="n">
        <v>97</v>
      </c>
      <c r="C341" s="9" t="s">
        <v>669</v>
      </c>
      <c r="D341" s="9" t="s">
        <v>644</v>
      </c>
      <c r="E341" s="9" t="s">
        <v>586</v>
      </c>
      <c r="F341" s="9" t="s">
        <v>645</v>
      </c>
      <c r="G341" s="9" t="s">
        <v>77</v>
      </c>
      <c r="H341" s="9" t="s">
        <v>51</v>
      </c>
      <c r="I341" s="9" t="s">
        <v>51</v>
      </c>
      <c r="J341" s="9" t="s">
        <v>51</v>
      </c>
      <c r="K341" s="9" t="s">
        <v>68</v>
      </c>
      <c r="L341" s="9" t="s">
        <v>51</v>
      </c>
      <c r="M341" s="9" t="s">
        <v>68</v>
      </c>
      <c r="N341" s="9" t="s">
        <v>51</v>
      </c>
      <c r="O341" s="9" t="s">
        <v>51</v>
      </c>
      <c r="P341" s="9" t="n">
        <v>231009</v>
      </c>
      <c r="Q341" s="9" t="n">
        <v>186652</v>
      </c>
      <c r="R341" s="10" t="n">
        <f aca="false">(Q341/P341)*100</f>
        <v>80.7985836049678</v>
      </c>
      <c r="S341" s="9" t="n">
        <f aca="false">Y341-AD341</f>
        <v>47329</v>
      </c>
      <c r="T341" s="10" t="n">
        <f aca="false">(S341/Q341)*100</f>
        <v>25.3568137496518</v>
      </c>
      <c r="U341" s="10" t="n">
        <f aca="false">Z341+AE341</f>
        <v>85.0432891155734</v>
      </c>
      <c r="V341" s="9" t="s">
        <v>55</v>
      </c>
      <c r="W341" s="9" t="s">
        <v>68</v>
      </c>
      <c r="X341" s="9" t="s">
        <v>1890</v>
      </c>
      <c r="Y341" s="9" t="n">
        <v>103032</v>
      </c>
      <c r="Z341" s="10" t="n">
        <f aca="false">(Y341/Q341)*100</f>
        <v>55.2000514326126</v>
      </c>
      <c r="AA341" s="9" t="s">
        <v>52</v>
      </c>
      <c r="AB341" s="9" t="s">
        <v>53</v>
      </c>
      <c r="AC341" s="9" t="s">
        <v>1891</v>
      </c>
      <c r="AD341" s="9" t="n">
        <v>55703</v>
      </c>
      <c r="AE341" s="10" t="n">
        <f aca="false">(AD341/Q341)*100</f>
        <v>29.8432376829608</v>
      </c>
      <c r="AF341" s="9" t="s">
        <v>1429</v>
      </c>
      <c r="AG341" s="9" t="s">
        <v>61</v>
      </c>
      <c r="AH341" s="9" t="s">
        <v>1892</v>
      </c>
      <c r="AI341" s="9" t="n">
        <v>9784</v>
      </c>
      <c r="AJ341" s="10" t="n">
        <f aca="false">(AI341/Q341)*100</f>
        <v>5.24184043031953</v>
      </c>
      <c r="AK341" s="9" t="s">
        <v>63</v>
      </c>
      <c r="AL341" s="9" t="s">
        <v>63</v>
      </c>
      <c r="AM341" s="9" t="s">
        <v>63</v>
      </c>
      <c r="AN341" s="9" t="n">
        <v>2994</v>
      </c>
      <c r="AO341" s="10" t="n">
        <f aca="false">(AN341/Q341)*100</f>
        <v>1.60405460429034</v>
      </c>
      <c r="AP341" s="9" t="s">
        <v>58</v>
      </c>
      <c r="AQ341" s="9" t="s">
        <v>58</v>
      </c>
      <c r="AR341" s="9" t="s">
        <v>1893</v>
      </c>
      <c r="AS341" s="9" t="n">
        <v>2908</v>
      </c>
      <c r="AT341" s="10" t="n">
        <f aca="false">(AS341/Q341)*100</f>
        <v>1.55797955553651</v>
      </c>
    </row>
    <row r="342" customFormat="false" ht="12.8" hidden="false" customHeight="true" outlineLevel="0" collapsed="false">
      <c r="A342" s="33" t="n">
        <v>2016</v>
      </c>
      <c r="B342" s="8" t="n">
        <v>98</v>
      </c>
      <c r="C342" s="9" t="s">
        <v>675</v>
      </c>
      <c r="D342" s="9" t="s">
        <v>676</v>
      </c>
      <c r="E342" s="9" t="s">
        <v>586</v>
      </c>
      <c r="F342" s="9" t="s">
        <v>645</v>
      </c>
      <c r="G342" s="9" t="s">
        <v>88</v>
      </c>
      <c r="H342" s="9" t="s">
        <v>51</v>
      </c>
      <c r="I342" s="9" t="s">
        <v>316</v>
      </c>
      <c r="J342" s="9" t="s">
        <v>51</v>
      </c>
      <c r="K342" s="9" t="s">
        <v>51</v>
      </c>
      <c r="L342" s="9" t="s">
        <v>51</v>
      </c>
      <c r="M342" s="9" t="s">
        <v>51</v>
      </c>
      <c r="N342" s="9" t="s">
        <v>51</v>
      </c>
      <c r="O342" s="9" t="s">
        <v>51</v>
      </c>
      <c r="P342" s="9" t="n">
        <v>212746</v>
      </c>
      <c r="Q342" s="9" t="n">
        <v>148018</v>
      </c>
      <c r="R342" s="10" t="n">
        <f aca="false">(Q342/P342)*100</f>
        <v>69.5749861336993</v>
      </c>
      <c r="S342" s="9" t="n">
        <f aca="false">Y342-AD342</f>
        <v>7794</v>
      </c>
      <c r="T342" s="10" t="n">
        <f aca="false">(S342/Q342)*100</f>
        <v>5.26557580834763</v>
      </c>
      <c r="U342" s="10" t="n">
        <f aca="false">Z342+AE342</f>
        <v>82.3980867191828</v>
      </c>
      <c r="V342" s="9" t="s">
        <v>55</v>
      </c>
      <c r="W342" s="9" t="s">
        <v>68</v>
      </c>
      <c r="X342" s="9" t="s">
        <v>1894</v>
      </c>
      <c r="Y342" s="9" t="n">
        <v>64879</v>
      </c>
      <c r="Z342" s="10" t="n">
        <f aca="false">(Y342/Q342)*100</f>
        <v>43.8318312637652</v>
      </c>
      <c r="AA342" s="9" t="s">
        <v>52</v>
      </c>
      <c r="AB342" s="9" t="s">
        <v>53</v>
      </c>
      <c r="AC342" s="9" t="s">
        <v>1895</v>
      </c>
      <c r="AD342" s="9" t="n">
        <v>57085</v>
      </c>
      <c r="AE342" s="10" t="n">
        <f aca="false">(AD342/Q342)*100</f>
        <v>38.5662554554176</v>
      </c>
      <c r="AF342" s="9" t="s">
        <v>1429</v>
      </c>
      <c r="AG342" s="9" t="s">
        <v>61</v>
      </c>
      <c r="AH342" s="9" t="s">
        <v>1896</v>
      </c>
      <c r="AI342" s="9" t="n">
        <v>6776</v>
      </c>
      <c r="AJ342" s="10" t="n">
        <f aca="false">(AI342/Q342)*100</f>
        <v>4.57782161628991</v>
      </c>
      <c r="AK342" s="9" t="s">
        <v>1431</v>
      </c>
      <c r="AL342" s="9" t="s">
        <v>171</v>
      </c>
      <c r="AM342" s="9" t="s">
        <v>1897</v>
      </c>
      <c r="AN342" s="9" t="n">
        <v>5549</v>
      </c>
      <c r="AO342" s="10" t="n">
        <f aca="false">(AN342/Q342)*100</f>
        <v>3.7488683808726</v>
      </c>
      <c r="AP342" s="9" t="s">
        <v>63</v>
      </c>
      <c r="AQ342" s="9" t="s">
        <v>63</v>
      </c>
      <c r="AR342" s="9" t="s">
        <v>63</v>
      </c>
      <c r="AS342" s="9" t="n">
        <v>3096</v>
      </c>
      <c r="AT342" s="10" t="n">
        <f aca="false">(AS342/Q342)*100</f>
        <v>2.09163750354687</v>
      </c>
    </row>
    <row r="343" customFormat="false" ht="12.8" hidden="false" customHeight="true" outlineLevel="0" collapsed="false">
      <c r="A343" s="33" t="n">
        <v>2016</v>
      </c>
      <c r="B343" s="8" t="n">
        <v>99</v>
      </c>
      <c r="C343" s="9" t="s">
        <v>682</v>
      </c>
      <c r="D343" s="9" t="s">
        <v>676</v>
      </c>
      <c r="E343" s="9" t="s">
        <v>586</v>
      </c>
      <c r="F343" s="9" t="s">
        <v>645</v>
      </c>
      <c r="G343" s="9" t="s">
        <v>88</v>
      </c>
      <c r="H343" s="9" t="s">
        <v>51</v>
      </c>
      <c r="I343" s="9" t="s">
        <v>51</v>
      </c>
      <c r="J343" s="9" t="s">
        <v>51</v>
      </c>
      <c r="K343" s="9" t="s">
        <v>51</v>
      </c>
      <c r="L343" s="9" t="s">
        <v>51</v>
      </c>
      <c r="M343" s="9" t="s">
        <v>51</v>
      </c>
      <c r="N343" s="9" t="s">
        <v>51</v>
      </c>
      <c r="O343" s="9" t="s">
        <v>51</v>
      </c>
      <c r="P343" s="9" t="n">
        <v>256208</v>
      </c>
      <c r="Q343" s="9" t="n">
        <v>189367</v>
      </c>
      <c r="R343" s="10" t="n">
        <f aca="false">(Q343/P343)*100</f>
        <v>73.9114313370387</v>
      </c>
      <c r="S343" s="9" t="n">
        <f aca="false">Y343-AD343</f>
        <v>4906</v>
      </c>
      <c r="T343" s="10" t="n">
        <f aca="false">(S343/Q343)*100</f>
        <v>2.59073650636066</v>
      </c>
      <c r="U343" s="10" t="n">
        <f aca="false">Z343+AE343</f>
        <v>84.3272587092788</v>
      </c>
      <c r="V343" s="9" t="s">
        <v>55</v>
      </c>
      <c r="W343" s="9" t="s">
        <v>68</v>
      </c>
      <c r="X343" s="9" t="s">
        <v>1898</v>
      </c>
      <c r="Y343" s="9" t="n">
        <v>82297</v>
      </c>
      <c r="Z343" s="10" t="n">
        <f aca="false">(Y343/Q343)*100</f>
        <v>43.4589976078197</v>
      </c>
      <c r="AA343" s="9" t="s">
        <v>52</v>
      </c>
      <c r="AB343" s="9" t="s">
        <v>53</v>
      </c>
      <c r="AC343" s="9" t="s">
        <v>1899</v>
      </c>
      <c r="AD343" s="9" t="n">
        <v>77391</v>
      </c>
      <c r="AE343" s="10" t="n">
        <f aca="false">(AD343/Q343)*100</f>
        <v>40.8682611014591</v>
      </c>
      <c r="AF343" s="9" t="s">
        <v>197</v>
      </c>
      <c r="AG343" s="9" t="s">
        <v>664</v>
      </c>
      <c r="AH343" s="9" t="s">
        <v>1900</v>
      </c>
      <c r="AI343" s="9" t="n">
        <v>7477</v>
      </c>
      <c r="AJ343" s="10" t="n">
        <f aca="false">(AI343/Q343)*100</f>
        <v>3.94841762292269</v>
      </c>
      <c r="AK343" s="9" t="s">
        <v>1429</v>
      </c>
      <c r="AL343" s="9" t="s">
        <v>271</v>
      </c>
      <c r="AM343" s="9" t="s">
        <v>1901</v>
      </c>
      <c r="AN343" s="9" t="n">
        <v>6624</v>
      </c>
      <c r="AO343" s="10" t="n">
        <f aca="false">(AN343/Q343)*100</f>
        <v>3.49796955118896</v>
      </c>
      <c r="AP343" s="9" t="s">
        <v>1431</v>
      </c>
      <c r="AQ343" s="9" t="s">
        <v>171</v>
      </c>
      <c r="AR343" s="9" t="s">
        <v>1902</v>
      </c>
      <c r="AS343" s="9" t="n">
        <v>4177</v>
      </c>
      <c r="AT343" s="10" t="n">
        <f aca="false">(AS343/Q343)*100</f>
        <v>2.20576974868905</v>
      </c>
    </row>
    <row r="344" customFormat="false" ht="12.8" hidden="false" customHeight="true" outlineLevel="0" collapsed="false">
      <c r="A344" s="33" t="n">
        <v>2016</v>
      </c>
      <c r="B344" s="8" t="n">
        <v>100</v>
      </c>
      <c r="C344" s="9" t="s">
        <v>687</v>
      </c>
      <c r="D344" s="9" t="s">
        <v>676</v>
      </c>
      <c r="E344" s="9" t="s">
        <v>586</v>
      </c>
      <c r="F344" s="9" t="s">
        <v>645</v>
      </c>
      <c r="G344" s="9" t="s">
        <v>50</v>
      </c>
      <c r="H344" s="9" t="s">
        <v>51</v>
      </c>
      <c r="I344" s="9" t="s">
        <v>526</v>
      </c>
      <c r="J344" s="9" t="s">
        <v>51</v>
      </c>
      <c r="K344" s="9" t="s">
        <v>51</v>
      </c>
      <c r="L344" s="9" t="s">
        <v>51</v>
      </c>
      <c r="M344" s="9" t="s">
        <v>51</v>
      </c>
      <c r="N344" s="9" t="s">
        <v>51</v>
      </c>
      <c r="O344" s="9" t="s">
        <v>51</v>
      </c>
      <c r="P344" s="9" t="n">
        <v>222002</v>
      </c>
      <c r="Q344" s="9" t="n">
        <v>176676</v>
      </c>
      <c r="R344" s="10" t="n">
        <f aca="false">(Q344/P344)*100</f>
        <v>79.5830668192178</v>
      </c>
      <c r="S344" s="9" t="n">
        <f aca="false">Y344-AD344</f>
        <v>2222</v>
      </c>
      <c r="T344" s="10" t="n">
        <f aca="false">(S344/Q344)*100</f>
        <v>1.25766940614458</v>
      </c>
      <c r="U344" s="10" t="n">
        <f aca="false">Z344+AE344</f>
        <v>85.983382010007</v>
      </c>
      <c r="V344" s="9" t="s">
        <v>55</v>
      </c>
      <c r="W344" s="9" t="s">
        <v>68</v>
      </c>
      <c r="X344" s="9" t="s">
        <v>1903</v>
      </c>
      <c r="Y344" s="9" t="n">
        <v>77067</v>
      </c>
      <c r="Z344" s="10" t="n">
        <f aca="false">(Y344/Q344)*100</f>
        <v>43.6205257080758</v>
      </c>
      <c r="AA344" s="9" t="s">
        <v>52</v>
      </c>
      <c r="AB344" s="9" t="s">
        <v>53</v>
      </c>
      <c r="AC344" s="9" t="s">
        <v>1904</v>
      </c>
      <c r="AD344" s="9" t="n">
        <v>74845</v>
      </c>
      <c r="AE344" s="10" t="n">
        <f aca="false">(AD344/Q344)*100</f>
        <v>42.3628563019312</v>
      </c>
      <c r="AF344" s="9" t="s">
        <v>197</v>
      </c>
      <c r="AG344" s="9" t="s">
        <v>664</v>
      </c>
      <c r="AH344" s="9" t="s">
        <v>1905</v>
      </c>
      <c r="AI344" s="9" t="n">
        <v>5607</v>
      </c>
      <c r="AJ344" s="10" t="n">
        <f aca="false">(AI344/Q344)*100</f>
        <v>3.17360592270597</v>
      </c>
      <c r="AK344" s="9" t="s">
        <v>1429</v>
      </c>
      <c r="AL344" s="9" t="s">
        <v>61</v>
      </c>
      <c r="AM344" s="9" t="s">
        <v>1906</v>
      </c>
      <c r="AN344" s="9" t="n">
        <v>4853</v>
      </c>
      <c r="AO344" s="10" t="n">
        <f aca="false">(AN344/Q344)*100</f>
        <v>2.74683601621046</v>
      </c>
      <c r="AP344" s="9" t="s">
        <v>1431</v>
      </c>
      <c r="AQ344" s="9" t="s">
        <v>171</v>
      </c>
      <c r="AR344" s="9" t="s">
        <v>1907</v>
      </c>
      <c r="AS344" s="9" t="n">
        <v>4052</v>
      </c>
      <c r="AT344" s="10" t="n">
        <f aca="false">(AS344/Q344)*100</f>
        <v>2.29346374153818</v>
      </c>
    </row>
    <row r="345" customFormat="false" ht="12.8" hidden="false" customHeight="true" outlineLevel="0" collapsed="false">
      <c r="A345" s="33" t="n">
        <v>2016</v>
      </c>
      <c r="B345" s="8" t="n">
        <v>101</v>
      </c>
      <c r="C345" s="9" t="s">
        <v>692</v>
      </c>
      <c r="D345" s="9" t="s">
        <v>693</v>
      </c>
      <c r="E345" s="9" t="s">
        <v>586</v>
      </c>
      <c r="F345" s="9" t="s">
        <v>694</v>
      </c>
      <c r="G345" s="9" t="s">
        <v>77</v>
      </c>
      <c r="H345" s="9" t="s">
        <v>65</v>
      </c>
      <c r="I345" s="9" t="s">
        <v>51</v>
      </c>
      <c r="J345" s="9" t="s">
        <v>51</v>
      </c>
      <c r="K345" s="9" t="s">
        <v>51</v>
      </c>
      <c r="L345" s="9" t="s">
        <v>51</v>
      </c>
      <c r="M345" s="9" t="s">
        <v>51</v>
      </c>
      <c r="N345" s="9" t="s">
        <v>51</v>
      </c>
      <c r="O345" s="9" t="s">
        <v>51</v>
      </c>
      <c r="P345" s="9" t="n">
        <v>238070</v>
      </c>
      <c r="Q345" s="9" t="n">
        <v>182911</v>
      </c>
      <c r="R345" s="10" t="n">
        <f aca="false">(Q345/P345)*100</f>
        <v>76.8307640609905</v>
      </c>
      <c r="S345" s="9" t="n">
        <f aca="false">Y345-AD345</f>
        <v>10017</v>
      </c>
      <c r="T345" s="10" t="n">
        <f aca="false">(S345/Q345)*100</f>
        <v>5.47643389407963</v>
      </c>
      <c r="U345" s="10" t="n">
        <f aca="false">Z345+AE345</f>
        <v>85.8663503015128</v>
      </c>
      <c r="V345" s="9" t="s">
        <v>52</v>
      </c>
      <c r="W345" s="9" t="s">
        <v>66</v>
      </c>
      <c r="X345" s="9" t="s">
        <v>1908</v>
      </c>
      <c r="Y345" s="9" t="n">
        <v>83538</v>
      </c>
      <c r="Z345" s="10" t="n">
        <f aca="false">(Y345/Q345)*100</f>
        <v>45.6713920977962</v>
      </c>
      <c r="AA345" s="9" t="s">
        <v>55</v>
      </c>
      <c r="AB345" s="9" t="s">
        <v>68</v>
      </c>
      <c r="AC345" s="9" t="s">
        <v>1873</v>
      </c>
      <c r="AD345" s="9" t="n">
        <v>73521</v>
      </c>
      <c r="AE345" s="10" t="n">
        <f aca="false">(AD345/Q345)*100</f>
        <v>40.1949582037166</v>
      </c>
      <c r="AF345" s="9" t="s">
        <v>1431</v>
      </c>
      <c r="AG345" s="9" t="s">
        <v>171</v>
      </c>
      <c r="AH345" s="9" t="s">
        <v>1909</v>
      </c>
      <c r="AI345" s="9" t="n">
        <v>7753</v>
      </c>
      <c r="AJ345" s="10" t="n">
        <f aca="false">(AI345/Q345)*100</f>
        <v>4.23867345320948</v>
      </c>
      <c r="AK345" s="9" t="s">
        <v>1429</v>
      </c>
      <c r="AL345" s="9" t="s">
        <v>271</v>
      </c>
      <c r="AM345" s="9" t="s">
        <v>1910</v>
      </c>
      <c r="AN345" s="9" t="n">
        <v>7029</v>
      </c>
      <c r="AO345" s="10" t="n">
        <f aca="false">(AN345/Q345)*100</f>
        <v>3.84285253483935</v>
      </c>
      <c r="AP345" s="9" t="s">
        <v>63</v>
      </c>
      <c r="AQ345" s="9" t="s">
        <v>63</v>
      </c>
      <c r="AR345" s="9" t="s">
        <v>63</v>
      </c>
      <c r="AS345" s="9" t="n">
        <v>2883</v>
      </c>
      <c r="AT345" s="10" t="n">
        <f aca="false">(AS345/Q345)*100</f>
        <v>1.5761763917971</v>
      </c>
    </row>
    <row r="346" customFormat="false" ht="12.8" hidden="false" customHeight="true" outlineLevel="0" collapsed="false">
      <c r="A346" s="33" t="n">
        <v>2016</v>
      </c>
      <c r="B346" s="8" t="n">
        <v>102</v>
      </c>
      <c r="C346" s="9" t="s">
        <v>699</v>
      </c>
      <c r="D346" s="9" t="s">
        <v>693</v>
      </c>
      <c r="E346" s="9" t="s">
        <v>586</v>
      </c>
      <c r="F346" s="9" t="s">
        <v>694</v>
      </c>
      <c r="G346" s="9" t="s">
        <v>77</v>
      </c>
      <c r="H346" s="9" t="s">
        <v>51</v>
      </c>
      <c r="I346" s="9" t="s">
        <v>51</v>
      </c>
      <c r="J346" s="9" t="s">
        <v>51</v>
      </c>
      <c r="K346" s="9" t="s">
        <v>51</v>
      </c>
      <c r="L346" s="9" t="s">
        <v>51</v>
      </c>
      <c r="M346" s="9" t="s">
        <v>51</v>
      </c>
      <c r="N346" s="9" t="s">
        <v>68</v>
      </c>
      <c r="O346" s="9" t="s">
        <v>126</v>
      </c>
      <c r="P346" s="9" t="n">
        <v>233793</v>
      </c>
      <c r="Q346" s="9" t="n">
        <v>184428</v>
      </c>
      <c r="R346" s="10" t="n">
        <f aca="false">(Q346/P346)*100</f>
        <v>78.8851676483043</v>
      </c>
      <c r="S346" s="9" t="n">
        <f aca="false">Y346-AD346</f>
        <v>13135</v>
      </c>
      <c r="T346" s="10" t="n">
        <f aca="false">(S346/Q346)*100</f>
        <v>7.12202051749192</v>
      </c>
      <c r="U346" s="10" t="n">
        <f aca="false">Z346+AE346</f>
        <v>83.238445355369</v>
      </c>
      <c r="V346" s="9" t="s">
        <v>55</v>
      </c>
      <c r="W346" s="9" t="s">
        <v>68</v>
      </c>
      <c r="X346" s="9" t="s">
        <v>1911</v>
      </c>
      <c r="Y346" s="9" t="n">
        <v>83325</v>
      </c>
      <c r="Z346" s="10" t="n">
        <f aca="false">(Y346/Q346)*100</f>
        <v>45.1802329364305</v>
      </c>
      <c r="AA346" s="9" t="s">
        <v>52</v>
      </c>
      <c r="AB346" s="9" t="s">
        <v>66</v>
      </c>
      <c r="AC346" s="9" t="s">
        <v>1912</v>
      </c>
      <c r="AD346" s="9" t="n">
        <v>70190</v>
      </c>
      <c r="AE346" s="10" t="n">
        <f aca="false">(AD346/Q346)*100</f>
        <v>38.0582124189386</v>
      </c>
      <c r="AF346" s="9" t="s">
        <v>1429</v>
      </c>
      <c r="AG346" s="9" t="s">
        <v>61</v>
      </c>
      <c r="AH346" s="9" t="s">
        <v>1913</v>
      </c>
      <c r="AI346" s="9" t="n">
        <v>12108</v>
      </c>
      <c r="AJ346" s="10" t="n">
        <f aca="false">(AI346/Q346)*100</f>
        <v>6.56516364109571</v>
      </c>
      <c r="AK346" s="9" t="s">
        <v>1431</v>
      </c>
      <c r="AL346" s="9" t="s">
        <v>171</v>
      </c>
      <c r="AM346" s="9" t="s">
        <v>1914</v>
      </c>
      <c r="AN346" s="9" t="n">
        <v>7161</v>
      </c>
      <c r="AO346" s="10" t="n">
        <f aca="false">(AN346/Q346)*100</f>
        <v>3.88281605829917</v>
      </c>
      <c r="AP346" s="9" t="s">
        <v>63</v>
      </c>
      <c r="AQ346" s="9" t="s">
        <v>63</v>
      </c>
      <c r="AR346" s="9" t="s">
        <v>63</v>
      </c>
      <c r="AS346" s="9" t="n">
        <v>3141</v>
      </c>
      <c r="AT346" s="10" t="n">
        <f aca="false">(AS346/Q346)*100</f>
        <v>1.70310365020496</v>
      </c>
    </row>
    <row r="347" customFormat="false" ht="12.8" hidden="false" customHeight="true" outlineLevel="0" collapsed="false">
      <c r="A347" s="33" t="n">
        <v>2016</v>
      </c>
      <c r="B347" s="8" t="n">
        <v>103</v>
      </c>
      <c r="C347" s="9" t="s">
        <v>704</v>
      </c>
      <c r="D347" s="9" t="s">
        <v>676</v>
      </c>
      <c r="E347" s="9" t="s">
        <v>586</v>
      </c>
      <c r="F347" s="9" t="s">
        <v>645</v>
      </c>
      <c r="G347" s="9" t="s">
        <v>50</v>
      </c>
      <c r="H347" s="9" t="s">
        <v>51</v>
      </c>
      <c r="I347" s="9" t="s">
        <v>526</v>
      </c>
      <c r="J347" s="9" t="s">
        <v>51</v>
      </c>
      <c r="K347" s="9" t="s">
        <v>51</v>
      </c>
      <c r="L347" s="9" t="s">
        <v>51</v>
      </c>
      <c r="M347" s="9" t="s">
        <v>68</v>
      </c>
      <c r="N347" s="9" t="s">
        <v>68</v>
      </c>
      <c r="O347" s="9" t="s">
        <v>51</v>
      </c>
      <c r="P347" s="9" t="n">
        <v>212885</v>
      </c>
      <c r="Q347" s="9" t="n">
        <v>182263</v>
      </c>
      <c r="R347" s="10" t="n">
        <f aca="false">(Q347/P347)*100</f>
        <v>85.6157080113676</v>
      </c>
      <c r="S347" s="9" t="n">
        <f aca="false">Y347-AD347</f>
        <v>12771</v>
      </c>
      <c r="T347" s="10" t="n">
        <f aca="false">(S347/Q347)*100</f>
        <v>7.00690760055524</v>
      </c>
      <c r="U347" s="10" t="n">
        <f aca="false">Z347+AE347</f>
        <v>81.0987419278735</v>
      </c>
      <c r="V347" s="9" t="s">
        <v>55</v>
      </c>
      <c r="W347" s="9" t="s">
        <v>68</v>
      </c>
      <c r="X347" s="9" t="s">
        <v>1915</v>
      </c>
      <c r="Y347" s="9" t="n">
        <v>80292</v>
      </c>
      <c r="Z347" s="10" t="n">
        <f aca="false">(Y347/Q347)*100</f>
        <v>44.0528247642144</v>
      </c>
      <c r="AA347" s="9" t="s">
        <v>52</v>
      </c>
      <c r="AB347" s="19" t="s">
        <v>53</v>
      </c>
      <c r="AC347" s="9" t="s">
        <v>1916</v>
      </c>
      <c r="AD347" s="9" t="n">
        <v>67521</v>
      </c>
      <c r="AE347" s="10" t="n">
        <f aca="false">(AD347/Q347)*100</f>
        <v>37.0459171636591</v>
      </c>
      <c r="AF347" s="9" t="s">
        <v>197</v>
      </c>
      <c r="AG347" s="9" t="s">
        <v>664</v>
      </c>
      <c r="AH347" s="9" t="s">
        <v>1917</v>
      </c>
      <c r="AI347" s="9" t="n">
        <v>14545</v>
      </c>
      <c r="AJ347" s="10" t="n">
        <f aca="false">(AI347/Q347)*100</f>
        <v>7.9802263761707</v>
      </c>
      <c r="AK347" s="9" t="s">
        <v>1429</v>
      </c>
      <c r="AL347" s="9" t="s">
        <v>1338</v>
      </c>
      <c r="AM347" s="9" t="s">
        <v>1918</v>
      </c>
      <c r="AN347" s="9" t="n">
        <v>6304</v>
      </c>
      <c r="AO347" s="10" t="n">
        <f aca="false">(AN347/Q347)*100</f>
        <v>3.45873819700104</v>
      </c>
      <c r="AP347" s="9" t="s">
        <v>1431</v>
      </c>
      <c r="AQ347" s="9" t="s">
        <v>171</v>
      </c>
      <c r="AR347" s="9" t="s">
        <v>1919</v>
      </c>
      <c r="AS347" s="9" t="n">
        <v>2625</v>
      </c>
      <c r="AT347" s="10" t="n">
        <f aca="false">(AS347/Q347)*100</f>
        <v>1.44022648590224</v>
      </c>
    </row>
    <row r="348" customFormat="false" ht="12.8" hidden="false" customHeight="true" outlineLevel="0" collapsed="false">
      <c r="A348" s="33" t="n">
        <v>2016</v>
      </c>
      <c r="B348" s="8" t="n">
        <v>104</v>
      </c>
      <c r="C348" s="9" t="s">
        <v>710</v>
      </c>
      <c r="D348" s="9" t="s">
        <v>676</v>
      </c>
      <c r="E348" s="9" t="s">
        <v>586</v>
      </c>
      <c r="F348" s="9" t="s">
        <v>645</v>
      </c>
      <c r="G348" s="9" t="s">
        <v>77</v>
      </c>
      <c r="H348" s="9" t="s">
        <v>51</v>
      </c>
      <c r="I348" s="9" t="s">
        <v>51</v>
      </c>
      <c r="J348" s="9" t="s">
        <v>51</v>
      </c>
      <c r="K348" s="9" t="s">
        <v>68</v>
      </c>
      <c r="L348" s="9" t="s">
        <v>51</v>
      </c>
      <c r="M348" s="9" t="s">
        <v>68</v>
      </c>
      <c r="N348" s="9" t="s">
        <v>51</v>
      </c>
      <c r="O348" s="9" t="s">
        <v>51</v>
      </c>
      <c r="P348" s="9" t="n">
        <v>228069</v>
      </c>
      <c r="Q348" s="9" t="n">
        <v>188950</v>
      </c>
      <c r="R348" s="10" t="n">
        <f aca="false">(Q348/P348)*100</f>
        <v>82.8477346767864</v>
      </c>
      <c r="S348" s="9" t="n">
        <f aca="false">Y348-AD348</f>
        <v>24887</v>
      </c>
      <c r="T348" s="10" t="n">
        <f aca="false">(S348/Q348)*100</f>
        <v>13.1712093146335</v>
      </c>
      <c r="U348" s="10" t="n">
        <f aca="false">Z348+AE348</f>
        <v>77.5914263032548</v>
      </c>
      <c r="V348" s="9" t="s">
        <v>55</v>
      </c>
      <c r="W348" s="9" t="s">
        <v>68</v>
      </c>
      <c r="X348" s="9" t="s">
        <v>1920</v>
      </c>
      <c r="Y348" s="9" t="n">
        <v>85748</v>
      </c>
      <c r="Z348" s="10" t="n">
        <f aca="false">(Y348/Q348)*100</f>
        <v>45.3813178089442</v>
      </c>
      <c r="AA348" s="9" t="s">
        <v>52</v>
      </c>
      <c r="AB348" s="9" t="s">
        <v>53</v>
      </c>
      <c r="AC348" s="9" t="s">
        <v>1921</v>
      </c>
      <c r="AD348" s="9" t="n">
        <v>60861</v>
      </c>
      <c r="AE348" s="10" t="n">
        <f aca="false">(AD348/Q348)*100</f>
        <v>32.2101084943107</v>
      </c>
      <c r="AF348" s="9" t="s">
        <v>1427</v>
      </c>
      <c r="AG348" s="9" t="s">
        <v>56</v>
      </c>
      <c r="AH348" s="9" t="s">
        <v>1922</v>
      </c>
      <c r="AI348" s="9" t="n">
        <v>20727</v>
      </c>
      <c r="AJ348" s="10" t="n">
        <f aca="false">(AI348/Q348)*100</f>
        <v>10.96956866896</v>
      </c>
      <c r="AK348" s="9" t="s">
        <v>1429</v>
      </c>
      <c r="AL348" s="9" t="s">
        <v>61</v>
      </c>
      <c r="AM348" s="9" t="s">
        <v>1923</v>
      </c>
      <c r="AN348" s="9" t="n">
        <v>6927</v>
      </c>
      <c r="AO348" s="10" t="n">
        <f aca="false">(AN348/Q348)*100</f>
        <v>3.6660492193702</v>
      </c>
      <c r="AP348" s="9" t="s">
        <v>197</v>
      </c>
      <c r="AQ348" s="9" t="s">
        <v>664</v>
      </c>
      <c r="AR348" s="9" t="s">
        <v>1924</v>
      </c>
      <c r="AS348" s="9" t="n">
        <v>4389</v>
      </c>
      <c r="AT348" s="10" t="n">
        <f aca="false">(AS348/Q348)*100</f>
        <v>2.32283672929346</v>
      </c>
    </row>
    <row r="349" customFormat="false" ht="12.8" hidden="false" customHeight="true" outlineLevel="0" collapsed="false">
      <c r="A349" s="33" t="n">
        <v>2016</v>
      </c>
      <c r="B349" s="8" t="n">
        <v>105</v>
      </c>
      <c r="C349" s="9" t="s">
        <v>715</v>
      </c>
      <c r="D349" s="9" t="s">
        <v>676</v>
      </c>
      <c r="E349" s="9" t="s">
        <v>586</v>
      </c>
      <c r="F349" s="9" t="s">
        <v>645</v>
      </c>
      <c r="G349" s="9" t="s">
        <v>50</v>
      </c>
      <c r="H349" s="9" t="s">
        <v>51</v>
      </c>
      <c r="I349" s="9" t="s">
        <v>51</v>
      </c>
      <c r="J349" s="9" t="s">
        <v>51</v>
      </c>
      <c r="K349" s="9" t="s">
        <v>51</v>
      </c>
      <c r="L349" s="9" t="s">
        <v>51</v>
      </c>
      <c r="M349" s="9" t="s">
        <v>51</v>
      </c>
      <c r="N349" s="9" t="s">
        <v>68</v>
      </c>
      <c r="O349" s="9" t="s">
        <v>51</v>
      </c>
      <c r="P349" s="9" t="n">
        <v>207641</v>
      </c>
      <c r="Q349" s="9" t="n">
        <v>169581</v>
      </c>
      <c r="R349" s="10" t="n">
        <f aca="false">(Q349/P349)*100</f>
        <v>81.6702866967506</v>
      </c>
      <c r="S349" s="9" t="n">
        <f aca="false">Y349-AD349</f>
        <v>5312</v>
      </c>
      <c r="T349" s="10" t="n">
        <f aca="false">(S349/Q349)*100</f>
        <v>3.13242639210761</v>
      </c>
      <c r="U349" s="10" t="n">
        <f aca="false">Z349+AE349</f>
        <v>81.2815114900844</v>
      </c>
      <c r="V349" s="9" t="s">
        <v>55</v>
      </c>
      <c r="W349" s="9" t="s">
        <v>68</v>
      </c>
      <c r="X349" s="9" t="s">
        <v>1925</v>
      </c>
      <c r="Y349" s="9" t="n">
        <v>71575</v>
      </c>
      <c r="Z349" s="10" t="n">
        <f aca="false">(Y349/Q349)*100</f>
        <v>42.206968941096</v>
      </c>
      <c r="AA349" s="9" t="s">
        <v>52</v>
      </c>
      <c r="AB349" s="9" t="s">
        <v>53</v>
      </c>
      <c r="AC349" s="9" t="s">
        <v>1926</v>
      </c>
      <c r="AD349" s="9" t="n">
        <v>66263</v>
      </c>
      <c r="AE349" s="10" t="n">
        <f aca="false">(AD349/Q349)*100</f>
        <v>39.0745425489884</v>
      </c>
      <c r="AF349" s="9" t="s">
        <v>1427</v>
      </c>
      <c r="AG349" s="9" t="s">
        <v>56</v>
      </c>
      <c r="AH349" s="9" t="s">
        <v>1927</v>
      </c>
      <c r="AI349" s="9" t="n">
        <v>11570</v>
      </c>
      <c r="AJ349" s="10" t="n">
        <f aca="false">(AI349/Q349)*100</f>
        <v>6.82269829756871</v>
      </c>
      <c r="AK349" s="9" t="s">
        <v>197</v>
      </c>
      <c r="AL349" s="9" t="s">
        <v>664</v>
      </c>
      <c r="AM349" s="9" t="s">
        <v>1928</v>
      </c>
      <c r="AN349" s="9" t="n">
        <v>5995</v>
      </c>
      <c r="AO349" s="10" t="n">
        <f aca="false">(AN349/Q349)*100</f>
        <v>3.53518377648439</v>
      </c>
      <c r="AP349" s="9" t="s">
        <v>1429</v>
      </c>
      <c r="AQ349" s="9" t="s">
        <v>61</v>
      </c>
      <c r="AR349" s="9" t="s">
        <v>1929</v>
      </c>
      <c r="AS349" s="9" t="n">
        <v>5828</v>
      </c>
      <c r="AT349" s="10" t="n">
        <f aca="false">(AS349/Q349)*100</f>
        <v>3.4367057630277</v>
      </c>
    </row>
    <row r="350" customFormat="false" ht="12.8" hidden="false" customHeight="true" outlineLevel="0" collapsed="false">
      <c r="A350" s="33" t="n">
        <v>2016</v>
      </c>
      <c r="B350" s="8" t="n">
        <v>106</v>
      </c>
      <c r="C350" s="9" t="s">
        <v>722</v>
      </c>
      <c r="D350" s="9" t="s">
        <v>676</v>
      </c>
      <c r="E350" s="9" t="s">
        <v>586</v>
      </c>
      <c r="F350" s="9" t="s">
        <v>645</v>
      </c>
      <c r="G350" s="9" t="s">
        <v>77</v>
      </c>
      <c r="H350" s="9" t="s">
        <v>51</v>
      </c>
      <c r="I350" s="9" t="s">
        <v>51</v>
      </c>
      <c r="J350" s="9" t="s">
        <v>51</v>
      </c>
      <c r="K350" s="9" t="s">
        <v>68</v>
      </c>
      <c r="L350" s="9" t="s">
        <v>51</v>
      </c>
      <c r="M350" s="9" t="s">
        <v>68</v>
      </c>
      <c r="N350" s="9" t="s">
        <v>68</v>
      </c>
      <c r="O350" s="9" t="s">
        <v>51</v>
      </c>
      <c r="P350" s="9" t="n">
        <v>242690</v>
      </c>
      <c r="Q350" s="9" t="n">
        <v>204628</v>
      </c>
      <c r="R350" s="10" t="n">
        <f aca="false">(Q350/P350)*100</f>
        <v>84.3166179076188</v>
      </c>
      <c r="S350" s="9" t="n">
        <f aca="false">Y350-AD350</f>
        <v>11223</v>
      </c>
      <c r="T350" s="10" t="n">
        <f aca="false">(S350/Q350)*100</f>
        <v>5.48458666458158</v>
      </c>
      <c r="U350" s="10" t="n">
        <f aca="false">Z350+AE350</f>
        <v>88.5172117207811</v>
      </c>
      <c r="V350" s="9" t="s">
        <v>55</v>
      </c>
      <c r="W350" s="9" t="s">
        <v>68</v>
      </c>
      <c r="X350" s="9" t="s">
        <v>1930</v>
      </c>
      <c r="Y350" s="9" t="n">
        <v>96177</v>
      </c>
      <c r="Z350" s="10" t="n">
        <f aca="false">(Y350/Q350)*100</f>
        <v>47.0008991926814</v>
      </c>
      <c r="AA350" s="9" t="s">
        <v>52</v>
      </c>
      <c r="AB350" s="9" t="s">
        <v>66</v>
      </c>
      <c r="AC350" s="9" t="s">
        <v>1931</v>
      </c>
      <c r="AD350" s="9" t="n">
        <v>84954</v>
      </c>
      <c r="AE350" s="10" t="n">
        <f aca="false">(AD350/Q350)*100</f>
        <v>41.5163125280998</v>
      </c>
      <c r="AF350" s="9" t="s">
        <v>1429</v>
      </c>
      <c r="AG350" s="9" t="s">
        <v>422</v>
      </c>
      <c r="AH350" s="9" t="s">
        <v>1932</v>
      </c>
      <c r="AI350" s="9" t="n">
        <v>7531</v>
      </c>
      <c r="AJ350" s="10" t="n">
        <f aca="false">(AI350/Q350)*100</f>
        <v>3.68033700177884</v>
      </c>
      <c r="AK350" s="9" t="s">
        <v>197</v>
      </c>
      <c r="AL350" s="9" t="s">
        <v>664</v>
      </c>
      <c r="AM350" s="9" t="s">
        <v>1933</v>
      </c>
      <c r="AN350" s="9" t="n">
        <v>3341</v>
      </c>
      <c r="AO350" s="10" t="n">
        <f aca="false">(AN350/Q350)*100</f>
        <v>1.63271888500108</v>
      </c>
      <c r="AP350" s="9" t="s">
        <v>1431</v>
      </c>
      <c r="AQ350" s="9" t="s">
        <v>171</v>
      </c>
      <c r="AR350" s="9" t="s">
        <v>1934</v>
      </c>
      <c r="AS350" s="9" t="n">
        <v>3149</v>
      </c>
      <c r="AT350" s="10" t="n">
        <f aca="false">(AS350/Q350)*100</f>
        <v>1.53889008346854</v>
      </c>
    </row>
    <row r="351" customFormat="false" ht="12.8" hidden="false" customHeight="true" outlineLevel="0" collapsed="false">
      <c r="A351" s="33" t="n">
        <v>2016</v>
      </c>
      <c r="B351" s="8" t="n">
        <v>107</v>
      </c>
      <c r="C351" s="9" t="s">
        <v>728</v>
      </c>
      <c r="D351" s="9" t="s">
        <v>676</v>
      </c>
      <c r="E351" s="9" t="s">
        <v>586</v>
      </c>
      <c r="F351" s="9" t="s">
        <v>645</v>
      </c>
      <c r="G351" s="9" t="s">
        <v>50</v>
      </c>
      <c r="H351" s="9" t="s">
        <v>65</v>
      </c>
      <c r="I351" s="9" t="s">
        <v>51</v>
      </c>
      <c r="J351" s="9" t="s">
        <v>51</v>
      </c>
      <c r="K351" s="9" t="s">
        <v>51</v>
      </c>
      <c r="L351" s="9" t="s">
        <v>68</v>
      </c>
      <c r="M351" s="9" t="s">
        <v>51</v>
      </c>
      <c r="N351" s="9" t="s">
        <v>68</v>
      </c>
      <c r="O351" s="9" t="s">
        <v>51</v>
      </c>
      <c r="P351" s="9" t="n">
        <v>239778</v>
      </c>
      <c r="Q351" s="9" t="n">
        <v>196551</v>
      </c>
      <c r="R351" s="10" t="n">
        <f aca="false">(Q351/P351)*100</f>
        <v>81.972074168606</v>
      </c>
      <c r="S351" s="9" t="n">
        <f aca="false">Y351-AD351</f>
        <v>13104</v>
      </c>
      <c r="T351" s="10" t="n">
        <f aca="false">(S351/Q351)*100</f>
        <v>6.66697193094922</v>
      </c>
      <c r="U351" s="10" t="n">
        <f aca="false">Z351+AE351</f>
        <v>77.7955848609267</v>
      </c>
      <c r="V351" s="9" t="s">
        <v>55</v>
      </c>
      <c r="W351" s="9" t="s">
        <v>68</v>
      </c>
      <c r="X351" s="9" t="s">
        <v>1935</v>
      </c>
      <c r="Y351" s="9" t="n">
        <v>83006</v>
      </c>
      <c r="Z351" s="10" t="n">
        <f aca="false">(Y351/Q351)*100</f>
        <v>42.231278395938</v>
      </c>
      <c r="AA351" s="9" t="s">
        <v>52</v>
      </c>
      <c r="AB351" s="9" t="s">
        <v>53</v>
      </c>
      <c r="AC351" s="9" t="s">
        <v>1936</v>
      </c>
      <c r="AD351" s="9" t="n">
        <v>69902</v>
      </c>
      <c r="AE351" s="10" t="n">
        <f aca="false">(AD351/Q351)*100</f>
        <v>35.5643064649887</v>
      </c>
      <c r="AF351" s="9" t="s">
        <v>1429</v>
      </c>
      <c r="AG351" s="9" t="s">
        <v>392</v>
      </c>
      <c r="AH351" s="9" t="s">
        <v>1937</v>
      </c>
      <c r="AI351" s="9" t="n">
        <v>27965</v>
      </c>
      <c r="AJ351" s="10" t="n">
        <f aca="false">(AI351/Q351)*100</f>
        <v>14.2278594359734</v>
      </c>
      <c r="AK351" s="9" t="s">
        <v>1431</v>
      </c>
      <c r="AL351" s="9" t="s">
        <v>171</v>
      </c>
      <c r="AM351" s="9" t="s">
        <v>1938</v>
      </c>
      <c r="AN351" s="9" t="n">
        <v>3557</v>
      </c>
      <c r="AO351" s="10" t="n">
        <f aca="false">(AN351/Q351)*100</f>
        <v>1.80970842173278</v>
      </c>
      <c r="AP351" s="9" t="s">
        <v>63</v>
      </c>
      <c r="AQ351" s="9" t="s">
        <v>63</v>
      </c>
      <c r="AR351" s="9" t="s">
        <v>63</v>
      </c>
      <c r="AS351" s="9" t="n">
        <v>2980</v>
      </c>
      <c r="AT351" s="10" t="n">
        <f aca="false">(AS351/Q351)*100</f>
        <v>1.51614593667801</v>
      </c>
    </row>
    <row r="352" customFormat="false" ht="12.8" hidden="false" customHeight="true" outlineLevel="0" collapsed="false">
      <c r="A352" s="33" t="n">
        <v>2016</v>
      </c>
      <c r="B352" s="8" t="n">
        <v>108</v>
      </c>
      <c r="C352" s="9" t="s">
        <v>734</v>
      </c>
      <c r="D352" s="9" t="s">
        <v>735</v>
      </c>
      <c r="E352" s="9" t="s">
        <v>586</v>
      </c>
      <c r="F352" s="9" t="s">
        <v>736</v>
      </c>
      <c r="G352" s="9" t="s">
        <v>77</v>
      </c>
      <c r="H352" s="9" t="s">
        <v>51</v>
      </c>
      <c r="I352" s="9" t="s">
        <v>316</v>
      </c>
      <c r="J352" s="9" t="s">
        <v>51</v>
      </c>
      <c r="K352" s="9" t="s">
        <v>51</v>
      </c>
      <c r="L352" s="9" t="s">
        <v>51</v>
      </c>
      <c r="M352" s="9" t="s">
        <v>51</v>
      </c>
      <c r="N352" s="9" t="s">
        <v>66</v>
      </c>
      <c r="O352" s="9" t="s">
        <v>51</v>
      </c>
      <c r="P352" s="9" t="n">
        <v>202898</v>
      </c>
      <c r="Q352" s="9" t="n">
        <v>140155</v>
      </c>
      <c r="R352" s="10" t="n">
        <f aca="false">(Q352/P352)*100</f>
        <v>69.0765803507181</v>
      </c>
      <c r="S352" s="9" t="n">
        <f aca="false">Y352-AD352</f>
        <v>10418</v>
      </c>
      <c r="T352" s="10" t="n">
        <f aca="false">(S352/Q352)*100</f>
        <v>7.43319895829617</v>
      </c>
      <c r="U352" s="10" t="n">
        <f aca="false">Z352+AE352</f>
        <v>89.2411972459063</v>
      </c>
      <c r="V352" s="9" t="s">
        <v>52</v>
      </c>
      <c r="W352" s="9" t="s">
        <v>66</v>
      </c>
      <c r="X352" s="9" t="s">
        <v>1939</v>
      </c>
      <c r="Y352" s="9" t="n">
        <v>67747</v>
      </c>
      <c r="Z352" s="10" t="n">
        <f aca="false">(Y352/Q352)*100</f>
        <v>48.3371981021013</v>
      </c>
      <c r="AA352" s="9" t="s">
        <v>55</v>
      </c>
      <c r="AB352" s="9" t="s">
        <v>68</v>
      </c>
      <c r="AC352" s="9" t="s">
        <v>1940</v>
      </c>
      <c r="AD352" s="9" t="n">
        <v>57329</v>
      </c>
      <c r="AE352" s="10" t="n">
        <f aca="false">(AD352/Q352)*100</f>
        <v>40.9039991438051</v>
      </c>
      <c r="AF352" s="9" t="s">
        <v>1431</v>
      </c>
      <c r="AG352" s="9" t="s">
        <v>171</v>
      </c>
      <c r="AH352" s="9" t="s">
        <v>1941</v>
      </c>
      <c r="AI352" s="9" t="n">
        <v>5818</v>
      </c>
      <c r="AJ352" s="10" t="n">
        <f aca="false">(AI352/Q352)*100</f>
        <v>4.15111840462345</v>
      </c>
      <c r="AK352" s="9" t="s">
        <v>1429</v>
      </c>
      <c r="AL352" s="9" t="s">
        <v>61</v>
      </c>
      <c r="AM352" s="9" t="s">
        <v>1942</v>
      </c>
      <c r="AN352" s="9" t="n">
        <v>3111</v>
      </c>
      <c r="AO352" s="10" t="n">
        <f aca="false">(AN352/Q352)*100</f>
        <v>2.21968534836431</v>
      </c>
      <c r="AP352" s="9" t="s">
        <v>63</v>
      </c>
      <c r="AQ352" s="9" t="s">
        <v>63</v>
      </c>
      <c r="AR352" s="9" t="s">
        <v>63</v>
      </c>
      <c r="AS352" s="9" t="n">
        <v>2912</v>
      </c>
      <c r="AT352" s="10" t="n">
        <f aca="false">(AS352/Q352)*100</f>
        <v>2.07769968962934</v>
      </c>
    </row>
    <row r="353" customFormat="false" ht="12.8" hidden="false" customHeight="true" outlineLevel="0" collapsed="false">
      <c r="A353" s="33" t="n">
        <v>2016</v>
      </c>
      <c r="B353" s="8" t="n">
        <v>109</v>
      </c>
      <c r="C353" s="9" t="s">
        <v>741</v>
      </c>
      <c r="D353" s="9" t="s">
        <v>735</v>
      </c>
      <c r="E353" s="9" t="s">
        <v>586</v>
      </c>
      <c r="F353" s="9" t="s">
        <v>736</v>
      </c>
      <c r="G353" s="9" t="s">
        <v>77</v>
      </c>
      <c r="H353" s="9" t="s">
        <v>65</v>
      </c>
      <c r="I353" s="9" t="s">
        <v>316</v>
      </c>
      <c r="J353" s="9" t="s">
        <v>51</v>
      </c>
      <c r="K353" s="9" t="s">
        <v>51</v>
      </c>
      <c r="L353" s="9" t="s">
        <v>51</v>
      </c>
      <c r="M353" s="9" t="s">
        <v>51</v>
      </c>
      <c r="N353" s="9" t="s">
        <v>51</v>
      </c>
      <c r="O353" s="9" t="s">
        <v>51</v>
      </c>
      <c r="P353" s="9" t="n">
        <v>180136</v>
      </c>
      <c r="Q353" s="9" t="n">
        <v>131095</v>
      </c>
      <c r="R353" s="10" t="n">
        <f aca="false">(Q353/P353)*100</f>
        <v>72.7755695696585</v>
      </c>
      <c r="S353" s="9" t="n">
        <f aca="false">Y353-AD353</f>
        <v>13379</v>
      </c>
      <c r="T353" s="10" t="n">
        <f aca="false">(S353/Q353)*100</f>
        <v>10.2055761089286</v>
      </c>
      <c r="U353" s="10" t="n">
        <f aca="false">Z353+AE353</f>
        <v>84.5775963995576</v>
      </c>
      <c r="V353" s="9" t="s">
        <v>52</v>
      </c>
      <c r="W353" s="9" t="s">
        <v>53</v>
      </c>
      <c r="X353" s="9" t="s">
        <v>1943</v>
      </c>
      <c r="Y353" s="9" t="n">
        <v>62128</v>
      </c>
      <c r="Z353" s="10" t="n">
        <f aca="false">(Y353/Q353)*100</f>
        <v>47.3915862542431</v>
      </c>
      <c r="AA353" s="9" t="s">
        <v>55</v>
      </c>
      <c r="AB353" s="9" t="s">
        <v>68</v>
      </c>
      <c r="AC353" s="9" t="s">
        <v>751</v>
      </c>
      <c r="AD353" s="9" t="n">
        <v>48749</v>
      </c>
      <c r="AE353" s="10" t="n">
        <f aca="false">(AD353/Q353)*100</f>
        <v>37.1860101453145</v>
      </c>
      <c r="AF353" s="9" t="s">
        <v>1429</v>
      </c>
      <c r="AG353" s="9" t="s">
        <v>422</v>
      </c>
      <c r="AH353" s="9" t="s">
        <v>1944</v>
      </c>
      <c r="AI353" s="9" t="n">
        <v>9044</v>
      </c>
      <c r="AJ353" s="10" t="n">
        <f aca="false">(AI353/Q353)*100</f>
        <v>6.89881383729357</v>
      </c>
      <c r="AK353" s="9" t="s">
        <v>1431</v>
      </c>
      <c r="AL353" s="9" t="s">
        <v>171</v>
      </c>
      <c r="AM353" s="9" t="s">
        <v>1945</v>
      </c>
      <c r="AN353" s="9" t="n">
        <v>5548</v>
      </c>
      <c r="AO353" s="10" t="n">
        <f aca="false">(AN353/Q353)*100</f>
        <v>4.2320454632137</v>
      </c>
      <c r="AP353" s="9" t="s">
        <v>58</v>
      </c>
      <c r="AQ353" s="9" t="s">
        <v>58</v>
      </c>
      <c r="AR353" s="9" t="s">
        <v>1946</v>
      </c>
      <c r="AS353" s="9" t="n">
        <v>2347</v>
      </c>
      <c r="AT353" s="10" t="n">
        <f aca="false">(AS353/Q353)*100</f>
        <v>1.7903047408368</v>
      </c>
    </row>
    <row r="354" customFormat="false" ht="12.8" hidden="false" customHeight="true" outlineLevel="0" collapsed="false">
      <c r="A354" s="33" t="n">
        <v>2016</v>
      </c>
      <c r="B354" s="8" t="n">
        <v>110</v>
      </c>
      <c r="C354" s="9" t="s">
        <v>746</v>
      </c>
      <c r="D354" s="9" t="s">
        <v>735</v>
      </c>
      <c r="E354" s="9" t="s">
        <v>586</v>
      </c>
      <c r="F354" s="9" t="s">
        <v>736</v>
      </c>
      <c r="G354" s="9" t="s">
        <v>77</v>
      </c>
      <c r="H354" s="9" t="s">
        <v>51</v>
      </c>
      <c r="I354" s="9" t="s">
        <v>51</v>
      </c>
      <c r="J354" s="9" t="s">
        <v>51</v>
      </c>
      <c r="K354" s="9" t="s">
        <v>51</v>
      </c>
      <c r="L354" s="9" t="s">
        <v>51</v>
      </c>
      <c r="M354" s="9" t="s">
        <v>51</v>
      </c>
      <c r="N354" s="9" t="s">
        <v>53</v>
      </c>
      <c r="O354" s="9" t="s">
        <v>51</v>
      </c>
      <c r="P354" s="9" t="n">
        <v>188075</v>
      </c>
      <c r="Q354" s="9" t="n">
        <v>134870</v>
      </c>
      <c r="R354" s="10" t="n">
        <f aca="false">(Q354/P354)*100</f>
        <v>71.710753688688</v>
      </c>
      <c r="S354" s="9" t="n">
        <f aca="false">Y354-AD354</f>
        <v>3710</v>
      </c>
      <c r="T354" s="10" t="n">
        <f aca="false">(S354/Q354)*100</f>
        <v>2.75079706383925</v>
      </c>
      <c r="U354" s="10" t="n">
        <f aca="false">Z354+AE354</f>
        <v>88.6705716616001</v>
      </c>
      <c r="V354" s="9" t="s">
        <v>55</v>
      </c>
      <c r="W354" s="9" t="s">
        <v>68</v>
      </c>
      <c r="X354" s="9" t="s">
        <v>1947</v>
      </c>
      <c r="Y354" s="9" t="n">
        <v>61650</v>
      </c>
      <c r="Z354" s="10" t="n">
        <f aca="false">(Y354/Q354)*100</f>
        <v>45.7106843627197</v>
      </c>
      <c r="AA354" s="9" t="s">
        <v>52</v>
      </c>
      <c r="AB354" s="9" t="s">
        <v>53</v>
      </c>
      <c r="AC354" s="9" t="s">
        <v>1948</v>
      </c>
      <c r="AD354" s="9" t="n">
        <v>57940</v>
      </c>
      <c r="AE354" s="10" t="n">
        <f aca="false">(AD354/Q354)*100</f>
        <v>42.9598872988804</v>
      </c>
      <c r="AF354" s="9" t="s">
        <v>1429</v>
      </c>
      <c r="AG354" s="9" t="s">
        <v>61</v>
      </c>
      <c r="AH354" s="9" t="s">
        <v>1949</v>
      </c>
      <c r="AI354" s="9" t="n">
        <v>3989</v>
      </c>
      <c r="AJ354" s="10" t="n">
        <f aca="false">(AI354/Q354)*100</f>
        <v>2.95766293467784</v>
      </c>
      <c r="AK354" s="9" t="s">
        <v>1431</v>
      </c>
      <c r="AL354" s="9" t="s">
        <v>171</v>
      </c>
      <c r="AM354" s="9" t="s">
        <v>1950</v>
      </c>
      <c r="AN354" s="9" t="n">
        <v>3547</v>
      </c>
      <c r="AO354" s="10" t="n">
        <f aca="false">(AN354/Q354)*100</f>
        <v>2.62993994216653</v>
      </c>
      <c r="AP354" s="9" t="s">
        <v>197</v>
      </c>
      <c r="AQ354" s="9" t="s">
        <v>197</v>
      </c>
      <c r="AR354" s="9" t="s">
        <v>1951</v>
      </c>
      <c r="AS354" s="9" t="n">
        <v>2319</v>
      </c>
      <c r="AT354" s="10" t="n">
        <f aca="false">(AS354/Q354)*100</f>
        <v>1.71943352858308</v>
      </c>
    </row>
    <row r="355" customFormat="false" ht="12.8" hidden="false" customHeight="true" outlineLevel="0" collapsed="false">
      <c r="A355" s="33" t="n">
        <v>2016</v>
      </c>
      <c r="B355" s="8" t="n">
        <v>111</v>
      </c>
      <c r="C355" s="9" t="s">
        <v>752</v>
      </c>
      <c r="D355" s="9" t="s">
        <v>753</v>
      </c>
      <c r="E355" s="9" t="s">
        <v>586</v>
      </c>
      <c r="F355" s="9" t="s">
        <v>754</v>
      </c>
      <c r="G355" s="9" t="s">
        <v>77</v>
      </c>
      <c r="H355" s="9" t="s">
        <v>51</v>
      </c>
      <c r="I355" s="9" t="s">
        <v>51</v>
      </c>
      <c r="J355" s="9" t="s">
        <v>51</v>
      </c>
      <c r="K355" s="9" t="s">
        <v>51</v>
      </c>
      <c r="L355" s="9" t="s">
        <v>68</v>
      </c>
      <c r="M355" s="9" t="s">
        <v>68</v>
      </c>
      <c r="N355" s="9" t="s">
        <v>51</v>
      </c>
      <c r="O355" s="9" t="s">
        <v>51</v>
      </c>
      <c r="P355" s="9" t="n">
        <v>279110</v>
      </c>
      <c r="Q355" s="9" t="n">
        <v>210761</v>
      </c>
      <c r="R355" s="10" t="n">
        <f aca="false">(Q355/P355)*100</f>
        <v>75.5118053813909</v>
      </c>
      <c r="S355" s="9" t="n">
        <f aca="false">Y355-AD355</f>
        <v>16114</v>
      </c>
      <c r="T355" s="10" t="n">
        <f aca="false">(S355/Q355)*100</f>
        <v>7.64562703726021</v>
      </c>
      <c r="U355" s="10" t="n">
        <f aca="false">Z355+AE355</f>
        <v>81.1706150568654</v>
      </c>
      <c r="V355" s="9" t="s">
        <v>55</v>
      </c>
      <c r="W355" s="9" t="s">
        <v>68</v>
      </c>
      <c r="X355" s="9" t="s">
        <v>1952</v>
      </c>
      <c r="Y355" s="9" t="n">
        <v>93595</v>
      </c>
      <c r="Z355" s="10" t="n">
        <f aca="false">(Y355/Q355)*100</f>
        <v>44.4081210470628</v>
      </c>
      <c r="AA355" s="9" t="s">
        <v>52</v>
      </c>
      <c r="AB355" s="9" t="s">
        <v>53</v>
      </c>
      <c r="AC355" s="9" t="s">
        <v>1953</v>
      </c>
      <c r="AD355" s="9" t="n">
        <v>77481</v>
      </c>
      <c r="AE355" s="10" t="n">
        <f aca="false">(AD355/Q355)*100</f>
        <v>36.7624940098026</v>
      </c>
      <c r="AF355" s="9" t="s">
        <v>1429</v>
      </c>
      <c r="AG355" s="9" t="s">
        <v>1954</v>
      </c>
      <c r="AH355" s="9" t="s">
        <v>1955</v>
      </c>
      <c r="AI355" s="9" t="n">
        <v>13324</v>
      </c>
      <c r="AJ355" s="10" t="n">
        <f aca="false">(AI355/Q355)*100</f>
        <v>6.3218527146863</v>
      </c>
      <c r="AK355" s="9" t="s">
        <v>1431</v>
      </c>
      <c r="AL355" s="9" t="s">
        <v>171</v>
      </c>
      <c r="AM355" s="9" t="s">
        <v>1956</v>
      </c>
      <c r="AN355" s="9" t="n">
        <v>11036</v>
      </c>
      <c r="AO355" s="10" t="n">
        <f aca="false">(AN355/Q355)*100</f>
        <v>5.23626287595902</v>
      </c>
      <c r="AP355" s="9" t="s">
        <v>63</v>
      </c>
      <c r="AQ355" s="9" t="s">
        <v>63</v>
      </c>
      <c r="AR355" s="9" t="s">
        <v>63</v>
      </c>
      <c r="AS355" s="9" t="n">
        <v>3408</v>
      </c>
      <c r="AT355" s="10" t="n">
        <f aca="false">(AS355/Q355)*100</f>
        <v>1.61699745209028</v>
      </c>
    </row>
    <row r="356" customFormat="false" ht="12.8" hidden="false" customHeight="true" outlineLevel="0" collapsed="false">
      <c r="A356" s="33" t="n">
        <v>2016</v>
      </c>
      <c r="B356" s="8" t="n">
        <v>112</v>
      </c>
      <c r="C356" s="9" t="s">
        <v>759</v>
      </c>
      <c r="D356" s="9" t="s">
        <v>693</v>
      </c>
      <c r="E356" s="9" t="s">
        <v>586</v>
      </c>
      <c r="F356" s="9" t="s">
        <v>694</v>
      </c>
      <c r="G356" s="9" t="s">
        <v>77</v>
      </c>
      <c r="H356" s="9" t="s">
        <v>65</v>
      </c>
      <c r="I356" s="9" t="s">
        <v>51</v>
      </c>
      <c r="J356" s="9" t="s">
        <v>51</v>
      </c>
      <c r="K356" s="9" t="s">
        <v>51</v>
      </c>
      <c r="L356" s="9" t="s">
        <v>51</v>
      </c>
      <c r="M356" s="9" t="s">
        <v>68</v>
      </c>
      <c r="N356" s="9" t="s">
        <v>51</v>
      </c>
      <c r="O356" s="9" t="s">
        <v>51</v>
      </c>
      <c r="P356" s="9" t="n">
        <v>249571</v>
      </c>
      <c r="Q356" s="9" t="n">
        <v>194062</v>
      </c>
      <c r="R356" s="10" t="n">
        <f aca="false">(Q356/P356)*100</f>
        <v>77.7582331280477</v>
      </c>
      <c r="S356" s="9" t="n">
        <f aca="false">Y356-AD356</f>
        <v>30674</v>
      </c>
      <c r="T356" s="10" t="n">
        <f aca="false">(S356/Q356)*100</f>
        <v>15.806288711855</v>
      </c>
      <c r="U356" s="10" t="n">
        <f aca="false">Z356+AE356</f>
        <v>80.4165679009801</v>
      </c>
      <c r="V356" s="9" t="s">
        <v>55</v>
      </c>
      <c r="W356" s="9" t="s">
        <v>68</v>
      </c>
      <c r="X356" s="9" t="s">
        <v>1957</v>
      </c>
      <c r="Y356" s="9" t="n">
        <v>93366</v>
      </c>
      <c r="Z356" s="10" t="n">
        <f aca="false">(Y356/Q356)*100</f>
        <v>48.1114283064175</v>
      </c>
      <c r="AA356" s="9" t="s">
        <v>52</v>
      </c>
      <c r="AB356" s="9" t="s">
        <v>53</v>
      </c>
      <c r="AC356" s="9" t="s">
        <v>1958</v>
      </c>
      <c r="AD356" s="9" t="n">
        <v>62692</v>
      </c>
      <c r="AE356" s="10" t="n">
        <f aca="false">(AD356/Q356)*100</f>
        <v>32.3051395945626</v>
      </c>
      <c r="AF356" s="9" t="s">
        <v>1429</v>
      </c>
      <c r="AG356" s="9" t="s">
        <v>392</v>
      </c>
      <c r="AH356" s="9" t="s">
        <v>1959</v>
      </c>
      <c r="AI356" s="9" t="n">
        <v>15016</v>
      </c>
      <c r="AJ356" s="10" t="n">
        <f aca="false">(AI356/Q356)*100</f>
        <v>7.73773330172831</v>
      </c>
      <c r="AK356" s="9" t="s">
        <v>1431</v>
      </c>
      <c r="AL356" s="9" t="s">
        <v>171</v>
      </c>
      <c r="AM356" s="9" t="s">
        <v>1960</v>
      </c>
      <c r="AN356" s="9" t="n">
        <v>8081</v>
      </c>
      <c r="AO356" s="10" t="n">
        <f aca="false">(AN356/Q356)*100</f>
        <v>4.1641331120982</v>
      </c>
      <c r="AP356" s="9" t="s">
        <v>197</v>
      </c>
      <c r="AQ356" s="9" t="s">
        <v>664</v>
      </c>
      <c r="AR356" s="9" t="s">
        <v>1961</v>
      </c>
      <c r="AS356" s="9" t="n">
        <v>4373</v>
      </c>
      <c r="AT356" s="10" t="n">
        <f aca="false">(AS356/Q356)*100</f>
        <v>2.25340355144232</v>
      </c>
    </row>
    <row r="357" customFormat="false" ht="12.8" hidden="false" customHeight="true" outlineLevel="0" collapsed="false">
      <c r="A357" s="33" t="n">
        <v>2016</v>
      </c>
      <c r="B357" s="8" t="n">
        <v>113</v>
      </c>
      <c r="C357" s="9" t="s">
        <v>765</v>
      </c>
      <c r="D357" s="9" t="s">
        <v>693</v>
      </c>
      <c r="E357" s="9" t="s">
        <v>586</v>
      </c>
      <c r="F357" s="9" t="s">
        <v>694</v>
      </c>
      <c r="G357" s="9" t="s">
        <v>88</v>
      </c>
      <c r="H357" s="9" t="s">
        <v>51</v>
      </c>
      <c r="I357" s="9" t="s">
        <v>51</v>
      </c>
      <c r="J357" s="9" t="s">
        <v>51</v>
      </c>
      <c r="K357" s="9" t="s">
        <v>51</v>
      </c>
      <c r="L357" s="9" t="s">
        <v>51</v>
      </c>
      <c r="M357" s="9" t="s">
        <v>68</v>
      </c>
      <c r="N357" s="9" t="s">
        <v>51</v>
      </c>
      <c r="O357" s="9" t="s">
        <v>51</v>
      </c>
      <c r="P357" s="9" t="n">
        <v>329853</v>
      </c>
      <c r="Q357" s="9" t="n">
        <v>219761</v>
      </c>
      <c r="R357" s="10" t="n">
        <f aca="false">(Q357/P357)*100</f>
        <v>66.6239203523994</v>
      </c>
      <c r="S357" s="9" t="n">
        <f aca="false">Y357-AD357</f>
        <v>37774</v>
      </c>
      <c r="T357" s="10" t="n">
        <f aca="false">(S357/Q357)*100</f>
        <v>17.1886731494669</v>
      </c>
      <c r="U357" s="10" t="n">
        <f aca="false">Z357+AE357</f>
        <v>79.9322900787674</v>
      </c>
      <c r="V357" s="9" t="s">
        <v>55</v>
      </c>
      <c r="W357" s="9" t="s">
        <v>68</v>
      </c>
      <c r="X357" s="9" t="s">
        <v>1962</v>
      </c>
      <c r="Y357" s="9" t="n">
        <v>106717</v>
      </c>
      <c r="Z357" s="10" t="n">
        <f aca="false">(Y357/Q357)*100</f>
        <v>48.5604816141172</v>
      </c>
      <c r="AA357" s="9" t="s">
        <v>52</v>
      </c>
      <c r="AB357" s="9" t="s">
        <v>53</v>
      </c>
      <c r="AC357" s="9" t="s">
        <v>1963</v>
      </c>
      <c r="AD357" s="9" t="n">
        <v>68943</v>
      </c>
      <c r="AE357" s="10" t="n">
        <f aca="false">(AD357/Q357)*100</f>
        <v>31.3718084646502</v>
      </c>
      <c r="AF357" s="9" t="s">
        <v>1429</v>
      </c>
      <c r="AG357" s="9" t="s">
        <v>392</v>
      </c>
      <c r="AH357" s="9" t="s">
        <v>1964</v>
      </c>
      <c r="AI357" s="9" t="n">
        <v>20061</v>
      </c>
      <c r="AJ357" s="10" t="n">
        <f aca="false">(AI357/Q357)*100</f>
        <v>9.12855329198538</v>
      </c>
      <c r="AK357" s="9" t="s">
        <v>1431</v>
      </c>
      <c r="AL357" s="9" t="s">
        <v>171</v>
      </c>
      <c r="AM357" s="9" t="s">
        <v>1965</v>
      </c>
      <c r="AN357" s="9" t="n">
        <v>8397</v>
      </c>
      <c r="AO357" s="10" t="n">
        <f aca="false">(AN357/Q357)*100</f>
        <v>3.82096914375162</v>
      </c>
      <c r="AP357" s="9" t="s">
        <v>197</v>
      </c>
      <c r="AQ357" s="9" t="s">
        <v>664</v>
      </c>
      <c r="AR357" s="9" t="s">
        <v>1966</v>
      </c>
      <c r="AS357" s="9" t="n">
        <v>3988</v>
      </c>
      <c r="AT357" s="10" t="n">
        <f aca="false">(AS357/Q357)*100</f>
        <v>1.81469869540091</v>
      </c>
    </row>
    <row r="358" customFormat="false" ht="12.8" hidden="false" customHeight="true" outlineLevel="0" collapsed="false">
      <c r="A358" s="33" t="n">
        <v>2016</v>
      </c>
      <c r="B358" s="8" t="n">
        <v>114</v>
      </c>
      <c r="C358" s="9" t="s">
        <v>772</v>
      </c>
      <c r="D358" s="9" t="s">
        <v>693</v>
      </c>
      <c r="E358" s="9" t="s">
        <v>586</v>
      </c>
      <c r="F358" s="9" t="s">
        <v>694</v>
      </c>
      <c r="G358" s="9" t="s">
        <v>88</v>
      </c>
      <c r="H358" s="9" t="s">
        <v>51</v>
      </c>
      <c r="I358" s="9" t="s">
        <v>51</v>
      </c>
      <c r="J358" s="9" t="s">
        <v>51</v>
      </c>
      <c r="K358" s="9" t="s">
        <v>51</v>
      </c>
      <c r="L358" s="9" t="s">
        <v>51</v>
      </c>
      <c r="M358" s="9" t="s">
        <v>51</v>
      </c>
      <c r="N358" s="9" t="s">
        <v>51</v>
      </c>
      <c r="O358" s="9" t="s">
        <v>51</v>
      </c>
      <c r="P358" s="9" t="n">
        <v>247665</v>
      </c>
      <c r="Q358" s="9" t="n">
        <v>164166</v>
      </c>
      <c r="R358" s="10" t="n">
        <f aca="false">(Q358/P358)*100</f>
        <v>66.2855066319423</v>
      </c>
      <c r="S358" s="9" t="n">
        <f aca="false">Y358-AD358</f>
        <v>15933</v>
      </c>
      <c r="T358" s="10" t="n">
        <f aca="false">(S358/Q358)*100</f>
        <v>9.7054201235335</v>
      </c>
      <c r="U358" s="10" t="n">
        <f aca="false">Z358+AE358</f>
        <v>79.6565671332675</v>
      </c>
      <c r="V358" s="9" t="s">
        <v>55</v>
      </c>
      <c r="W358" s="9" t="s">
        <v>68</v>
      </c>
      <c r="X358" s="9" t="s">
        <v>1967</v>
      </c>
      <c r="Y358" s="9" t="n">
        <v>73351</v>
      </c>
      <c r="Z358" s="10" t="n">
        <f aca="false">(Y358/Q358)*100</f>
        <v>44.6809936284005</v>
      </c>
      <c r="AA358" s="9" t="s">
        <v>52</v>
      </c>
      <c r="AB358" s="9" t="s">
        <v>53</v>
      </c>
      <c r="AC358" s="9" t="s">
        <v>1968</v>
      </c>
      <c r="AD358" s="9" t="n">
        <v>57418</v>
      </c>
      <c r="AE358" s="10" t="n">
        <f aca="false">(AD358/Q358)*100</f>
        <v>34.975573504867</v>
      </c>
      <c r="AF358" s="9" t="s">
        <v>1429</v>
      </c>
      <c r="AG358" s="9" t="s">
        <v>422</v>
      </c>
      <c r="AH358" s="9" t="s">
        <v>1969</v>
      </c>
      <c r="AI358" s="9" t="n">
        <v>13597</v>
      </c>
      <c r="AJ358" s="10" t="n">
        <f aca="false">(AI358/Q358)*100</f>
        <v>8.28247018262003</v>
      </c>
      <c r="AK358" s="9" t="s">
        <v>1431</v>
      </c>
      <c r="AL358" s="9" t="s">
        <v>171</v>
      </c>
      <c r="AM358" s="9" t="s">
        <v>1970</v>
      </c>
      <c r="AN358" s="9" t="n">
        <v>7640</v>
      </c>
      <c r="AO358" s="10" t="n">
        <f aca="false">(AN358/Q358)*100</f>
        <v>4.65382600538479</v>
      </c>
      <c r="AP358" s="9" t="s">
        <v>352</v>
      </c>
      <c r="AQ358" s="9" t="s">
        <v>352</v>
      </c>
      <c r="AR358" s="9" t="s">
        <v>1971</v>
      </c>
      <c r="AS358" s="9" t="n">
        <v>2547</v>
      </c>
      <c r="AT358" s="10" t="n">
        <f aca="false">(AS358/Q358)*100</f>
        <v>1.5514783816381</v>
      </c>
    </row>
    <row r="359" customFormat="false" ht="12.8" hidden="false" customHeight="true" outlineLevel="0" collapsed="false">
      <c r="A359" s="33" t="n">
        <v>2016</v>
      </c>
      <c r="B359" s="8" t="n">
        <v>115</v>
      </c>
      <c r="C359" s="9" t="s">
        <v>777</v>
      </c>
      <c r="D359" s="9" t="s">
        <v>693</v>
      </c>
      <c r="E359" s="9" t="s">
        <v>586</v>
      </c>
      <c r="F359" s="9" t="s">
        <v>694</v>
      </c>
      <c r="G359" s="9" t="s">
        <v>77</v>
      </c>
      <c r="H359" s="9" t="s">
        <v>51</v>
      </c>
      <c r="I359" s="9" t="s">
        <v>51</v>
      </c>
      <c r="J359" s="9" t="s">
        <v>51</v>
      </c>
      <c r="K359" s="9" t="s">
        <v>51</v>
      </c>
      <c r="L359" s="9" t="s">
        <v>51</v>
      </c>
      <c r="M359" s="9" t="s">
        <v>68</v>
      </c>
      <c r="N359" s="9" t="s">
        <v>51</v>
      </c>
      <c r="O359" s="9" t="s">
        <v>51</v>
      </c>
      <c r="P359" s="9" t="n">
        <v>331995</v>
      </c>
      <c r="Q359" s="9" t="n">
        <v>237966</v>
      </c>
      <c r="R359" s="10" t="n">
        <f aca="false">(Q359/P359)*100</f>
        <v>71.6775855058058</v>
      </c>
      <c r="S359" s="9" t="n">
        <f aca="false">Y359-AD359</f>
        <v>32174</v>
      </c>
      <c r="T359" s="10" t="n">
        <f aca="false">(S359/Q359)*100</f>
        <v>13.5204188833699</v>
      </c>
      <c r="U359" s="10" t="n">
        <f aca="false">Z359+AE359</f>
        <v>80.4980543438979</v>
      </c>
      <c r="V359" s="9" t="s">
        <v>55</v>
      </c>
      <c r="W359" s="9" t="s">
        <v>68</v>
      </c>
      <c r="X359" s="9" t="s">
        <v>1972</v>
      </c>
      <c r="Y359" s="9" t="n">
        <v>111866</v>
      </c>
      <c r="Z359" s="10" t="n">
        <f aca="false">(Y359/Q359)*100</f>
        <v>47.0092366136339</v>
      </c>
      <c r="AA359" s="9" t="s">
        <v>52</v>
      </c>
      <c r="AB359" s="9" t="s">
        <v>53</v>
      </c>
      <c r="AC359" s="9" t="s">
        <v>1973</v>
      </c>
      <c r="AD359" s="9" t="n">
        <v>79692</v>
      </c>
      <c r="AE359" s="10" t="n">
        <f aca="false">(AD359/Q359)*100</f>
        <v>33.488817730264</v>
      </c>
      <c r="AF359" s="9" t="s">
        <v>1429</v>
      </c>
      <c r="AG359" s="9" t="s">
        <v>271</v>
      </c>
      <c r="AH359" s="9" t="s">
        <v>1974</v>
      </c>
      <c r="AI359" s="9" t="n">
        <v>14841</v>
      </c>
      <c r="AJ359" s="10" t="n">
        <f aca="false">(AI359/Q359)*100</f>
        <v>6.23660522931847</v>
      </c>
      <c r="AK359" s="9" t="s">
        <v>1431</v>
      </c>
      <c r="AL359" s="9" t="s">
        <v>171</v>
      </c>
      <c r="AM359" s="9" t="s">
        <v>1975</v>
      </c>
      <c r="AN359" s="9" t="n">
        <v>13127</v>
      </c>
      <c r="AO359" s="10" t="n">
        <f aca="false">(AN359/Q359)*100</f>
        <v>5.51633426623972</v>
      </c>
      <c r="AP359" s="9" t="s">
        <v>197</v>
      </c>
      <c r="AQ359" s="9" t="s">
        <v>664</v>
      </c>
      <c r="AR359" s="9" t="s">
        <v>1570</v>
      </c>
      <c r="AS359" s="9" t="n">
        <v>6572</v>
      </c>
      <c r="AT359" s="10" t="n">
        <f aca="false">(AS359/Q359)*100</f>
        <v>2.76173907196826</v>
      </c>
    </row>
    <row r="360" customFormat="false" ht="12.8" hidden="false" customHeight="true" outlineLevel="0" collapsed="false">
      <c r="A360" s="33" t="n">
        <v>2016</v>
      </c>
      <c r="B360" s="8" t="n">
        <v>116</v>
      </c>
      <c r="C360" s="9" t="s">
        <v>783</v>
      </c>
      <c r="D360" s="9" t="s">
        <v>753</v>
      </c>
      <c r="E360" s="9" t="s">
        <v>586</v>
      </c>
      <c r="F360" s="9" t="s">
        <v>754</v>
      </c>
      <c r="G360" s="9" t="s">
        <v>77</v>
      </c>
      <c r="H360" s="9" t="s">
        <v>51</v>
      </c>
      <c r="I360" s="9" t="s">
        <v>51</v>
      </c>
      <c r="J360" s="9" t="s">
        <v>51</v>
      </c>
      <c r="K360" s="9" t="s">
        <v>51</v>
      </c>
      <c r="L360" s="9" t="s">
        <v>51</v>
      </c>
      <c r="M360" s="9" t="s">
        <v>51</v>
      </c>
      <c r="N360" s="9" t="s">
        <v>51</v>
      </c>
      <c r="O360" s="9" t="s">
        <v>51</v>
      </c>
      <c r="P360" s="9" t="n">
        <v>281890</v>
      </c>
      <c r="Q360" s="9" t="n">
        <v>213121</v>
      </c>
      <c r="R360" s="10" t="n">
        <f aca="false">(Q360/P360)*100</f>
        <v>75.6043137394019</v>
      </c>
      <c r="S360" s="9" t="n">
        <f aca="false">Y360-AD360</f>
        <v>36631</v>
      </c>
      <c r="T360" s="10" t="n">
        <f aca="false">(S360/Q360)*100</f>
        <v>17.1878885703427</v>
      </c>
      <c r="U360" s="10" t="n">
        <f aca="false">Z360+AE360</f>
        <v>77.5723649945336</v>
      </c>
      <c r="V360" s="9" t="s">
        <v>55</v>
      </c>
      <c r="W360" s="9" t="s">
        <v>68</v>
      </c>
      <c r="X360" s="9" t="s">
        <v>1976</v>
      </c>
      <c r="Y360" s="9" t="n">
        <v>100977</v>
      </c>
      <c r="Z360" s="10" t="n">
        <f aca="false">(Y360/Q360)*100</f>
        <v>47.3801267824382</v>
      </c>
      <c r="AA360" s="9" t="s">
        <v>52</v>
      </c>
      <c r="AB360" s="19" t="s">
        <v>66</v>
      </c>
      <c r="AC360" s="9" t="s">
        <v>1977</v>
      </c>
      <c r="AD360" s="9" t="n">
        <v>64346</v>
      </c>
      <c r="AE360" s="10" t="n">
        <f aca="false">(AD360/Q360)*100</f>
        <v>30.1922382120955</v>
      </c>
      <c r="AF360" s="9" t="s">
        <v>1431</v>
      </c>
      <c r="AG360" s="9" t="s">
        <v>171</v>
      </c>
      <c r="AH360" s="9" t="s">
        <v>1978</v>
      </c>
      <c r="AI360" s="9" t="n">
        <v>13517</v>
      </c>
      <c r="AJ360" s="10" t="n">
        <f aca="false">(AI360/Q360)*100</f>
        <v>6.34240642639627</v>
      </c>
      <c r="AK360" s="9" t="s">
        <v>1429</v>
      </c>
      <c r="AL360" s="9" t="s">
        <v>61</v>
      </c>
      <c r="AM360" s="9" t="s">
        <v>1979</v>
      </c>
      <c r="AN360" s="9" t="n">
        <v>13106</v>
      </c>
      <c r="AO360" s="10" t="n">
        <f aca="false">(AN360/Q360)*100</f>
        <v>6.14955823217797</v>
      </c>
      <c r="AP360" s="9" t="s">
        <v>197</v>
      </c>
      <c r="AQ360" s="9" t="s">
        <v>664</v>
      </c>
      <c r="AR360" s="9" t="s">
        <v>1980</v>
      </c>
      <c r="AS360" s="9" t="n">
        <v>9672</v>
      </c>
      <c r="AT360" s="10" t="n">
        <f aca="false">(AS360/Q360)*100</f>
        <v>4.53826699386733</v>
      </c>
    </row>
    <row r="361" customFormat="false" ht="12.8" hidden="false" customHeight="true" outlineLevel="0" collapsed="false">
      <c r="A361" s="33" t="n">
        <v>2016</v>
      </c>
      <c r="B361" s="8" t="n">
        <v>117</v>
      </c>
      <c r="C361" s="9" t="s">
        <v>789</v>
      </c>
      <c r="D361" s="9" t="s">
        <v>753</v>
      </c>
      <c r="E361" s="9" t="s">
        <v>586</v>
      </c>
      <c r="F361" s="9" t="s">
        <v>754</v>
      </c>
      <c r="G361" s="9" t="s">
        <v>88</v>
      </c>
      <c r="H361" s="9" t="s">
        <v>51</v>
      </c>
      <c r="I361" s="9" t="s">
        <v>51</v>
      </c>
      <c r="J361" s="9" t="s">
        <v>51</v>
      </c>
      <c r="K361" s="9" t="s">
        <v>51</v>
      </c>
      <c r="L361" s="9" t="s">
        <v>51</v>
      </c>
      <c r="M361" s="9" t="s">
        <v>68</v>
      </c>
      <c r="N361" s="9" t="s">
        <v>51</v>
      </c>
      <c r="O361" s="9" t="s">
        <v>51</v>
      </c>
      <c r="P361" s="9" t="n">
        <v>410090</v>
      </c>
      <c r="Q361" s="9" t="n">
        <v>272400</v>
      </c>
      <c r="R361" s="10" t="n">
        <f aca="false">(Q361/P361)*100</f>
        <v>66.4244434148602</v>
      </c>
      <c r="S361" s="9" t="n">
        <f aca="false">Y361-AD361</f>
        <v>8025</v>
      </c>
      <c r="T361" s="10" t="n">
        <f aca="false">(S361/Q361)*100</f>
        <v>2.94603524229075</v>
      </c>
      <c r="U361" s="10" t="n">
        <f aca="false">Z361+AE361</f>
        <v>78.4563142437592</v>
      </c>
      <c r="V361" s="9" t="s">
        <v>55</v>
      </c>
      <c r="W361" s="9" t="s">
        <v>68</v>
      </c>
      <c r="X361" s="9" t="s">
        <v>1981</v>
      </c>
      <c r="Y361" s="9" t="n">
        <v>110870</v>
      </c>
      <c r="Z361" s="10" t="n">
        <f aca="false">(Y361/Q361)*100</f>
        <v>40.701174743025</v>
      </c>
      <c r="AA361" s="9" t="s">
        <v>52</v>
      </c>
      <c r="AB361" s="9" t="s">
        <v>53</v>
      </c>
      <c r="AC361" s="9" t="s">
        <v>1982</v>
      </c>
      <c r="AD361" s="9" t="n">
        <v>102845</v>
      </c>
      <c r="AE361" s="10" t="n">
        <f aca="false">(AD361/Q361)*100</f>
        <v>37.7551395007342</v>
      </c>
      <c r="AF361" s="9" t="s">
        <v>1431</v>
      </c>
      <c r="AG361" s="9" t="s">
        <v>171</v>
      </c>
      <c r="AH361" s="9" t="s">
        <v>1983</v>
      </c>
      <c r="AI361" s="9" t="n">
        <v>22444</v>
      </c>
      <c r="AJ361" s="10" t="n">
        <f aca="false">(AI361/Q361)*100</f>
        <v>8.23935389133627</v>
      </c>
      <c r="AK361" s="9" t="s">
        <v>1429</v>
      </c>
      <c r="AL361" s="9" t="s">
        <v>422</v>
      </c>
      <c r="AM361" s="9" t="s">
        <v>1984</v>
      </c>
      <c r="AN361" s="9" t="n">
        <v>16874</v>
      </c>
      <c r="AO361" s="10" t="n">
        <f aca="false">(AN361/Q361)*100</f>
        <v>6.19456681350955</v>
      </c>
      <c r="AP361" s="9" t="s">
        <v>63</v>
      </c>
      <c r="AQ361" s="9" t="s">
        <v>63</v>
      </c>
      <c r="AR361" s="9" t="s">
        <v>63</v>
      </c>
      <c r="AS361" s="9" t="n">
        <v>5274</v>
      </c>
      <c r="AT361" s="10" t="n">
        <f aca="false">(AS361/Q361)*100</f>
        <v>1.93612334801762</v>
      </c>
    </row>
    <row r="362" customFormat="false" ht="12.8" hidden="false" customHeight="true" outlineLevel="0" collapsed="false">
      <c r="A362" s="33" t="n">
        <v>2016</v>
      </c>
      <c r="B362" s="8" t="n">
        <v>118</v>
      </c>
      <c r="C362" s="9" t="s">
        <v>794</v>
      </c>
      <c r="D362" s="9" t="s">
        <v>753</v>
      </c>
      <c r="E362" s="9" t="s">
        <v>586</v>
      </c>
      <c r="F362" s="9" t="s">
        <v>754</v>
      </c>
      <c r="G362" s="9" t="s">
        <v>88</v>
      </c>
      <c r="H362" s="9" t="s">
        <v>51</v>
      </c>
      <c r="I362" s="9" t="s">
        <v>51</v>
      </c>
      <c r="J362" s="9" t="s">
        <v>51</v>
      </c>
      <c r="K362" s="9" t="s">
        <v>51</v>
      </c>
      <c r="L362" s="9" t="s">
        <v>51</v>
      </c>
      <c r="M362" s="9" t="s">
        <v>68</v>
      </c>
      <c r="N362" s="9" t="s">
        <v>51</v>
      </c>
      <c r="O362" s="9" t="s">
        <v>51</v>
      </c>
      <c r="P362" s="9" t="n">
        <v>304374</v>
      </c>
      <c r="Q362" s="9" t="n">
        <v>188882</v>
      </c>
      <c r="R362" s="10" t="n">
        <f aca="false">(Q362/P362)*100</f>
        <v>62.0558917647368</v>
      </c>
      <c r="S362" s="9" t="n">
        <f aca="false">Y362-AD362</f>
        <v>7724</v>
      </c>
      <c r="T362" s="10" t="n">
        <f aca="false">(S362/Q362)*100</f>
        <v>4.08932561069874</v>
      </c>
      <c r="U362" s="10" t="n">
        <f aca="false">Z362+AE362</f>
        <v>78.0148452472973</v>
      </c>
      <c r="V362" s="9" t="s">
        <v>55</v>
      </c>
      <c r="W362" s="9" t="s">
        <v>68</v>
      </c>
      <c r="X362" s="9" t="s">
        <v>1985</v>
      </c>
      <c r="Y362" s="9" t="n">
        <v>77540</v>
      </c>
      <c r="Z362" s="10" t="n">
        <f aca="false">(Y362/Q362)*100</f>
        <v>41.052085428998</v>
      </c>
      <c r="AA362" s="9" t="s">
        <v>52</v>
      </c>
      <c r="AB362" s="9" t="s">
        <v>53</v>
      </c>
      <c r="AC362" s="9" t="s">
        <v>1986</v>
      </c>
      <c r="AD362" s="9" t="n">
        <v>69816</v>
      </c>
      <c r="AE362" s="10" t="n">
        <f aca="false">(AD362/Q362)*100</f>
        <v>36.9627598182993</v>
      </c>
      <c r="AF362" s="9" t="s">
        <v>1431</v>
      </c>
      <c r="AG362" s="9" t="s">
        <v>171</v>
      </c>
      <c r="AH362" s="9" t="s">
        <v>1987</v>
      </c>
      <c r="AI362" s="9" t="n">
        <v>16741</v>
      </c>
      <c r="AJ362" s="10" t="n">
        <f aca="false">(AI362/Q362)*100</f>
        <v>8.86320559926303</v>
      </c>
      <c r="AK362" s="9" t="s">
        <v>1429</v>
      </c>
      <c r="AL362" s="9" t="s">
        <v>61</v>
      </c>
      <c r="AM362" s="9" t="s">
        <v>1672</v>
      </c>
      <c r="AN362" s="9" t="n">
        <v>12153</v>
      </c>
      <c r="AO362" s="10" t="n">
        <f aca="false">(AN362/Q362)*100</f>
        <v>6.43417583464809</v>
      </c>
      <c r="AP362" s="9" t="s">
        <v>63</v>
      </c>
      <c r="AQ362" s="9" t="s">
        <v>63</v>
      </c>
      <c r="AR362" s="9" t="s">
        <v>63</v>
      </c>
      <c r="AS362" s="9" t="n">
        <v>4574</v>
      </c>
      <c r="AT362" s="10" t="n">
        <f aca="false">(AS362/Q362)*100</f>
        <v>2.42161772958778</v>
      </c>
    </row>
    <row r="363" customFormat="false" ht="12.8" hidden="false" customHeight="true" outlineLevel="0" collapsed="false">
      <c r="A363" s="33" t="n">
        <v>2016</v>
      </c>
      <c r="B363" s="8" t="n">
        <v>119</v>
      </c>
      <c r="C363" s="9" t="s">
        <v>799</v>
      </c>
      <c r="D363" s="9" t="s">
        <v>753</v>
      </c>
      <c r="E363" s="9" t="s">
        <v>586</v>
      </c>
      <c r="F363" s="9" t="s">
        <v>754</v>
      </c>
      <c r="G363" s="9" t="s">
        <v>77</v>
      </c>
      <c r="H363" s="9" t="s">
        <v>51</v>
      </c>
      <c r="I363" s="9" t="s">
        <v>51</v>
      </c>
      <c r="J363" s="9" t="s">
        <v>51</v>
      </c>
      <c r="K363" s="9" t="s">
        <v>68</v>
      </c>
      <c r="L363" s="9" t="s">
        <v>51</v>
      </c>
      <c r="M363" s="9" t="s">
        <v>68</v>
      </c>
      <c r="N363" s="9" t="s">
        <v>51</v>
      </c>
      <c r="O363" s="9" t="s">
        <v>51</v>
      </c>
      <c r="P363" s="9" t="n">
        <v>297360</v>
      </c>
      <c r="Q363" s="9" t="n">
        <v>199100</v>
      </c>
      <c r="R363" s="10" t="n">
        <f aca="false">(Q363/P363)*100</f>
        <v>66.9558783965564</v>
      </c>
      <c r="S363" s="9" t="n">
        <f aca="false">Y363-AD363</f>
        <v>64041</v>
      </c>
      <c r="T363" s="10" t="n">
        <f aca="false">(S363/Q363)*100</f>
        <v>32.1652435961828</v>
      </c>
      <c r="U363" s="10" t="n">
        <f aca="false">Z363+AE363</f>
        <v>77.8488196885987</v>
      </c>
      <c r="V363" s="9" t="s">
        <v>55</v>
      </c>
      <c r="W363" s="9" t="s">
        <v>68</v>
      </c>
      <c r="X363" s="9" t="s">
        <v>1988</v>
      </c>
      <c r="Y363" s="9" t="n">
        <v>109519</v>
      </c>
      <c r="Z363" s="10" t="n">
        <f aca="false">(Y363/Q363)*100</f>
        <v>55.0070316423908</v>
      </c>
      <c r="AA363" s="9" t="s">
        <v>52</v>
      </c>
      <c r="AB363" s="9" t="s">
        <v>1646</v>
      </c>
      <c r="AC363" s="9" t="s">
        <v>1989</v>
      </c>
      <c r="AD363" s="9" t="n">
        <v>45478</v>
      </c>
      <c r="AE363" s="10" t="n">
        <f aca="false">(AD363/Q363)*100</f>
        <v>22.8417880462079</v>
      </c>
      <c r="AF363" s="9" t="s">
        <v>1431</v>
      </c>
      <c r="AG363" s="9" t="s">
        <v>171</v>
      </c>
      <c r="AH363" s="9" t="s">
        <v>1990</v>
      </c>
      <c r="AI363" s="9" t="n">
        <v>19043</v>
      </c>
      <c r="AJ363" s="10" t="n">
        <f aca="false">(AI363/Q363)*100</f>
        <v>9.56454043194375</v>
      </c>
      <c r="AK363" s="9" t="s">
        <v>1429</v>
      </c>
      <c r="AL363" s="9" t="s">
        <v>61</v>
      </c>
      <c r="AM363" s="9" t="s">
        <v>1991</v>
      </c>
      <c r="AN363" s="9" t="n">
        <v>7968</v>
      </c>
      <c r="AO363" s="10" t="n">
        <f aca="false">(AN363/Q363)*100</f>
        <v>4.00200904068307</v>
      </c>
      <c r="AP363" s="9" t="s">
        <v>352</v>
      </c>
      <c r="AQ363" s="9" t="s">
        <v>352</v>
      </c>
      <c r="AR363" s="9" t="s">
        <v>1992</v>
      </c>
      <c r="AS363" s="9" t="n">
        <v>3643</v>
      </c>
      <c r="AT363" s="10" t="n">
        <f aca="false">(AS363/Q363)*100</f>
        <v>1.82973380210949</v>
      </c>
    </row>
    <row r="364" customFormat="false" ht="12.8" hidden="false" customHeight="true" outlineLevel="0" collapsed="false">
      <c r="A364" s="33" t="n">
        <v>2016</v>
      </c>
      <c r="B364" s="8" t="n">
        <v>120</v>
      </c>
      <c r="C364" s="9" t="s">
        <v>804</v>
      </c>
      <c r="D364" s="9" t="s">
        <v>753</v>
      </c>
      <c r="E364" s="9" t="s">
        <v>586</v>
      </c>
      <c r="F364" s="9" t="s">
        <v>754</v>
      </c>
      <c r="G364" s="9" t="s">
        <v>88</v>
      </c>
      <c r="H364" s="9" t="s">
        <v>51</v>
      </c>
      <c r="I364" s="9" t="s">
        <v>51</v>
      </c>
      <c r="J364" s="9" t="s">
        <v>51</v>
      </c>
      <c r="K364" s="9" t="s">
        <v>51</v>
      </c>
      <c r="L364" s="9" t="s">
        <v>51</v>
      </c>
      <c r="M364" s="9" t="s">
        <v>51</v>
      </c>
      <c r="N364" s="9" t="s">
        <v>51</v>
      </c>
      <c r="O364" s="9" t="s">
        <v>51</v>
      </c>
      <c r="P364" s="9" t="n">
        <v>245307</v>
      </c>
      <c r="Q364" s="9" t="n">
        <v>153533</v>
      </c>
      <c r="R364" s="10" t="n">
        <f aca="false">(Q364/P364)*100</f>
        <v>62.5881038861508</v>
      </c>
      <c r="S364" s="9" t="n">
        <f aca="false">Y364-AD364</f>
        <v>17419</v>
      </c>
      <c r="T364" s="10" t="n">
        <f aca="false">(S364/Q364)*100</f>
        <v>11.3454436505507</v>
      </c>
      <c r="U364" s="10" t="n">
        <f aca="false">Z364+AE364</f>
        <v>66.5374870549003</v>
      </c>
      <c r="V364" s="9" t="s">
        <v>55</v>
      </c>
      <c r="W364" s="9" t="s">
        <v>68</v>
      </c>
      <c r="X364" s="9" t="s">
        <v>1993</v>
      </c>
      <c r="Y364" s="9" t="n">
        <v>59788</v>
      </c>
      <c r="Z364" s="10" t="n">
        <f aca="false">(Y364/Q364)*100</f>
        <v>38.9414653527255</v>
      </c>
      <c r="AA364" s="9" t="s">
        <v>52</v>
      </c>
      <c r="AB364" s="24" t="s">
        <v>66</v>
      </c>
      <c r="AC364" s="9" t="s">
        <v>807</v>
      </c>
      <c r="AD364" s="9" t="n">
        <v>42369</v>
      </c>
      <c r="AE364" s="10" t="n">
        <f aca="false">(AD364/Q364)*100</f>
        <v>27.5960217021748</v>
      </c>
      <c r="AF364" s="9" t="s">
        <v>1431</v>
      </c>
      <c r="AG364" s="9" t="s">
        <v>171</v>
      </c>
      <c r="AH364" s="9" t="s">
        <v>805</v>
      </c>
      <c r="AI364" s="9" t="n">
        <v>33113</v>
      </c>
      <c r="AJ364" s="10" t="n">
        <f aca="false">(AI364/Q364)*100</f>
        <v>21.5673503416204</v>
      </c>
      <c r="AK364" s="9" t="s">
        <v>1429</v>
      </c>
      <c r="AL364" s="9" t="s">
        <v>422</v>
      </c>
      <c r="AM364" s="9" t="s">
        <v>1994</v>
      </c>
      <c r="AN364" s="9" t="n">
        <v>7248</v>
      </c>
      <c r="AO364" s="10" t="n">
        <f aca="false">(AN364/Q364)*100</f>
        <v>4.72080920714114</v>
      </c>
      <c r="AP364" s="9" t="s">
        <v>63</v>
      </c>
      <c r="AQ364" s="9" t="s">
        <v>63</v>
      </c>
      <c r="AR364" s="9" t="s">
        <v>63</v>
      </c>
      <c r="AS364" s="9" t="n">
        <v>3331</v>
      </c>
      <c r="AT364" s="10" t="n">
        <f aca="false">(AS364/Q364)*100</f>
        <v>2.1695661519022</v>
      </c>
    </row>
    <row r="365" customFormat="false" ht="12.8" hidden="false" customHeight="true" outlineLevel="0" collapsed="false">
      <c r="A365" s="33" t="n">
        <v>2016</v>
      </c>
      <c r="B365" s="8" t="n">
        <v>121</v>
      </c>
      <c r="C365" s="9" t="s">
        <v>809</v>
      </c>
      <c r="D365" s="9" t="s">
        <v>753</v>
      </c>
      <c r="E365" s="9" t="s">
        <v>586</v>
      </c>
      <c r="F365" s="9" t="s">
        <v>754</v>
      </c>
      <c r="G365" s="9" t="s">
        <v>88</v>
      </c>
      <c r="H365" s="9" t="s">
        <v>51</v>
      </c>
      <c r="I365" s="9" t="s">
        <v>51</v>
      </c>
      <c r="J365" s="9" t="s">
        <v>51</v>
      </c>
      <c r="K365" s="9" t="s">
        <v>51</v>
      </c>
      <c r="L365" s="9" t="s">
        <v>51</v>
      </c>
      <c r="M365" s="9" t="s">
        <v>51</v>
      </c>
      <c r="N365" s="9" t="s">
        <v>51</v>
      </c>
      <c r="O365" s="9" t="s">
        <v>51</v>
      </c>
      <c r="P365" s="9" t="n">
        <v>304833</v>
      </c>
      <c r="Q365" s="9" t="n">
        <v>188531</v>
      </c>
      <c r="R365" s="10" t="n">
        <f aca="false">(Q365/P365)*100</f>
        <v>61.847306558017</v>
      </c>
      <c r="S365" s="9" t="n">
        <f aca="false">Y365-AD365</f>
        <v>5180</v>
      </c>
      <c r="T365" s="10" t="n">
        <f aca="false">(S365/Q365)*100</f>
        <v>2.74755875691531</v>
      </c>
      <c r="U365" s="10" t="n">
        <f aca="false">Z365+AE365</f>
        <v>77.3018760840392</v>
      </c>
      <c r="V365" s="9" t="s">
        <v>52</v>
      </c>
      <c r="W365" s="9" t="s">
        <v>53</v>
      </c>
      <c r="X365" s="9" t="s">
        <v>1995</v>
      </c>
      <c r="Y365" s="9" t="n">
        <v>75459</v>
      </c>
      <c r="Z365" s="10" t="n">
        <f aca="false">(Y365/Q365)*100</f>
        <v>40.0247174204773</v>
      </c>
      <c r="AA365" s="9" t="s">
        <v>55</v>
      </c>
      <c r="AB365" s="9" t="s">
        <v>68</v>
      </c>
      <c r="AC365" s="9" t="s">
        <v>1996</v>
      </c>
      <c r="AD365" s="9" t="n">
        <v>70279</v>
      </c>
      <c r="AE365" s="10" t="n">
        <f aca="false">(AD365/Q365)*100</f>
        <v>37.277158663562</v>
      </c>
      <c r="AF365" s="9" t="s">
        <v>1431</v>
      </c>
      <c r="AG365" s="9" t="s">
        <v>171</v>
      </c>
      <c r="AH365" s="9" t="s">
        <v>1997</v>
      </c>
      <c r="AI365" s="9" t="n">
        <v>16605</v>
      </c>
      <c r="AJ365" s="10" t="n">
        <f aca="false">(AI365/Q365)*100</f>
        <v>8.80757010783372</v>
      </c>
      <c r="AK365" s="9" t="s">
        <v>1429</v>
      </c>
      <c r="AL365" s="9" t="s">
        <v>271</v>
      </c>
      <c r="AM365" s="9" t="s">
        <v>1998</v>
      </c>
      <c r="AN365" s="9" t="n">
        <v>11035</v>
      </c>
      <c r="AO365" s="10" t="n">
        <f aca="false">(AN365/Q365)*100</f>
        <v>5.85314881902711</v>
      </c>
      <c r="AP365" s="9" t="s">
        <v>58</v>
      </c>
      <c r="AQ365" s="9" t="s">
        <v>58</v>
      </c>
      <c r="AR365" s="9" t="s">
        <v>1999</v>
      </c>
      <c r="AS365" s="9" t="n">
        <v>4354</v>
      </c>
      <c r="AT365" s="10" t="n">
        <f aca="false">(AS365/Q365)*100</f>
        <v>2.30943452270449</v>
      </c>
    </row>
    <row r="366" customFormat="false" ht="12.8" hidden="false" customHeight="true" outlineLevel="0" collapsed="false">
      <c r="A366" s="33" t="n">
        <v>2016</v>
      </c>
      <c r="B366" s="8" t="n">
        <v>122</v>
      </c>
      <c r="C366" s="9" t="s">
        <v>814</v>
      </c>
      <c r="D366" s="9" t="s">
        <v>753</v>
      </c>
      <c r="E366" s="9" t="s">
        <v>586</v>
      </c>
      <c r="F366" s="9" t="s">
        <v>754</v>
      </c>
      <c r="G366" s="9" t="s">
        <v>50</v>
      </c>
      <c r="H366" s="9" t="s">
        <v>51</v>
      </c>
      <c r="I366" s="9" t="s">
        <v>51</v>
      </c>
      <c r="J366" s="9" t="s">
        <v>51</v>
      </c>
      <c r="K366" s="9" t="s">
        <v>68</v>
      </c>
      <c r="L366" s="25" t="s">
        <v>815</v>
      </c>
      <c r="M366" s="9" t="s">
        <v>68</v>
      </c>
      <c r="N366" s="9" t="s">
        <v>51</v>
      </c>
      <c r="O366" s="9" t="s">
        <v>51</v>
      </c>
      <c r="P366" s="9" t="n">
        <v>297116</v>
      </c>
      <c r="Q366" s="9" t="n">
        <v>207989</v>
      </c>
      <c r="R366" s="10" t="n">
        <f aca="false">(Q366/P366)*100</f>
        <v>70.0026252372811</v>
      </c>
      <c r="S366" s="9" t="n">
        <f aca="false">Y366-AD366</f>
        <v>1332</v>
      </c>
      <c r="T366" s="10" t="n">
        <f aca="false">(S366/Q366)*100</f>
        <v>0.64041848366981</v>
      </c>
      <c r="U366" s="10" t="n">
        <f aca="false">Z366+AE366</f>
        <v>84.9814172864911</v>
      </c>
      <c r="V366" s="9" t="s">
        <v>55</v>
      </c>
      <c r="W366" s="9" t="s">
        <v>68</v>
      </c>
      <c r="X366" s="9" t="s">
        <v>2000</v>
      </c>
      <c r="Y366" s="9" t="n">
        <v>89042</v>
      </c>
      <c r="Z366" s="10" t="n">
        <f aca="false">(Y366/Q366)*100</f>
        <v>42.8109178850805</v>
      </c>
      <c r="AA366" s="9" t="s">
        <v>52</v>
      </c>
      <c r="AB366" s="9" t="s">
        <v>53</v>
      </c>
      <c r="AC366" s="9" t="s">
        <v>2001</v>
      </c>
      <c r="AD366" s="9" t="n">
        <v>87710</v>
      </c>
      <c r="AE366" s="10" t="n">
        <f aca="false">(AD366/Q366)*100</f>
        <v>42.1704994014107</v>
      </c>
      <c r="AF366" s="9" t="s">
        <v>1431</v>
      </c>
      <c r="AG366" s="9" t="s">
        <v>171</v>
      </c>
      <c r="AH366" s="9" t="s">
        <v>2002</v>
      </c>
      <c r="AI366" s="9" t="n">
        <v>11354</v>
      </c>
      <c r="AJ366" s="10" t="n">
        <f aca="false">(AI366/Q366)*100</f>
        <v>5.45894254023049</v>
      </c>
      <c r="AK366" s="9" t="s">
        <v>1429</v>
      </c>
      <c r="AL366" s="9" t="s">
        <v>271</v>
      </c>
      <c r="AM366" s="9" t="s">
        <v>2003</v>
      </c>
      <c r="AN366" s="9" t="n">
        <v>8387</v>
      </c>
      <c r="AO366" s="10" t="n">
        <f aca="false">(AN366/Q366)*100</f>
        <v>4.03242479169572</v>
      </c>
      <c r="AP366" s="9" t="s">
        <v>63</v>
      </c>
      <c r="AQ366" s="9" t="s">
        <v>63</v>
      </c>
      <c r="AR366" s="9" t="s">
        <v>63</v>
      </c>
      <c r="AS366" s="9" t="n">
        <v>3884</v>
      </c>
      <c r="AT366" s="10" t="n">
        <f aca="false">(AS366/Q366)*100</f>
        <v>1.86740644937953</v>
      </c>
    </row>
    <row r="367" customFormat="false" ht="12.8" hidden="false" customHeight="true" outlineLevel="0" collapsed="false">
      <c r="A367" s="33" t="n">
        <v>2016</v>
      </c>
      <c r="B367" s="8" t="n">
        <v>123</v>
      </c>
      <c r="C367" s="9" t="s">
        <v>819</v>
      </c>
      <c r="D367" s="9" t="s">
        <v>753</v>
      </c>
      <c r="E367" s="9" t="s">
        <v>586</v>
      </c>
      <c r="F367" s="9" t="s">
        <v>754</v>
      </c>
      <c r="G367" s="9" t="s">
        <v>77</v>
      </c>
      <c r="H367" s="9" t="s">
        <v>51</v>
      </c>
      <c r="I367" s="9" t="s">
        <v>51</v>
      </c>
      <c r="J367" s="9" t="s">
        <v>51</v>
      </c>
      <c r="K367" s="9" t="s">
        <v>68</v>
      </c>
      <c r="L367" s="9" t="s">
        <v>51</v>
      </c>
      <c r="M367" s="9" t="s">
        <v>68</v>
      </c>
      <c r="N367" s="9" t="s">
        <v>68</v>
      </c>
      <c r="O367" s="9" t="s">
        <v>51</v>
      </c>
      <c r="P367" s="9" t="n">
        <v>217007</v>
      </c>
      <c r="Q367" s="9" t="n">
        <v>168616</v>
      </c>
      <c r="R367" s="10" t="n">
        <f aca="false">(Q367/P367)*100</f>
        <v>77.7007193316345</v>
      </c>
      <c r="S367" s="9" t="n">
        <f aca="false">Y367-AD367</f>
        <v>13368</v>
      </c>
      <c r="T367" s="10" t="n">
        <f aca="false">(S367/Q367)*100</f>
        <v>7.9280732552071</v>
      </c>
      <c r="U367" s="10" t="n">
        <f aca="false">Z367+AE367</f>
        <v>85.2457655264032</v>
      </c>
      <c r="V367" s="9" t="s">
        <v>55</v>
      </c>
      <c r="W367" s="9" t="s">
        <v>68</v>
      </c>
      <c r="X367" s="9" t="s">
        <v>820</v>
      </c>
      <c r="Y367" s="9" t="n">
        <v>78553</v>
      </c>
      <c r="Z367" s="10" t="n">
        <f aca="false">(Y367/Q367)*100</f>
        <v>46.5869193908051</v>
      </c>
      <c r="AA367" s="9" t="s">
        <v>52</v>
      </c>
      <c r="AB367" s="9" t="s">
        <v>53</v>
      </c>
      <c r="AC367" s="9" t="s">
        <v>2004</v>
      </c>
      <c r="AD367" s="9" t="n">
        <v>65185</v>
      </c>
      <c r="AE367" s="10" t="n">
        <f aca="false">(AD367/Q367)*100</f>
        <v>38.6588461355981</v>
      </c>
      <c r="AF367" s="9" t="s">
        <v>2005</v>
      </c>
      <c r="AG367" s="9" t="s">
        <v>664</v>
      </c>
      <c r="AH367" s="9" t="s">
        <v>2006</v>
      </c>
      <c r="AI367" s="9" t="n">
        <v>7722</v>
      </c>
      <c r="AJ367" s="10" t="n">
        <f aca="false">(AI367/Q367)*100</f>
        <v>4.57963657066945</v>
      </c>
      <c r="AK367" s="9" t="s">
        <v>1431</v>
      </c>
      <c r="AL367" s="9" t="s">
        <v>171</v>
      </c>
      <c r="AM367" s="9" t="s">
        <v>2007</v>
      </c>
      <c r="AN367" s="9" t="n">
        <v>5363</v>
      </c>
      <c r="AO367" s="10" t="n">
        <f aca="false">(AN367/Q367)*100</f>
        <v>3.18059970584049</v>
      </c>
      <c r="AP367" s="9" t="s">
        <v>1429</v>
      </c>
      <c r="AQ367" s="9" t="s">
        <v>61</v>
      </c>
      <c r="AR367" s="9" t="s">
        <v>2008</v>
      </c>
      <c r="AS367" s="9" t="n">
        <v>4893</v>
      </c>
      <c r="AT367" s="10" t="n">
        <f aca="false">(AS367/Q367)*100</f>
        <v>2.90185984722684</v>
      </c>
    </row>
    <row r="368" customFormat="false" ht="12.8" hidden="false" customHeight="true" outlineLevel="0" collapsed="false">
      <c r="A368" s="33" t="n">
        <v>2016</v>
      </c>
      <c r="B368" s="8" t="n">
        <v>124</v>
      </c>
      <c r="C368" s="9" t="s">
        <v>824</v>
      </c>
      <c r="D368" s="9" t="s">
        <v>753</v>
      </c>
      <c r="E368" s="9" t="s">
        <v>586</v>
      </c>
      <c r="F368" s="9" t="s">
        <v>754</v>
      </c>
      <c r="G368" s="9" t="s">
        <v>77</v>
      </c>
      <c r="H368" s="9" t="s">
        <v>65</v>
      </c>
      <c r="I368" s="9" t="s">
        <v>51</v>
      </c>
      <c r="J368" s="9" t="s">
        <v>51</v>
      </c>
      <c r="K368" s="9" t="s">
        <v>51</v>
      </c>
      <c r="L368" s="9" t="s">
        <v>51</v>
      </c>
      <c r="M368" s="9" t="s">
        <v>51</v>
      </c>
      <c r="N368" s="9" t="s">
        <v>51</v>
      </c>
      <c r="O368" s="9" t="s">
        <v>51</v>
      </c>
      <c r="P368" s="9" t="n">
        <v>196795</v>
      </c>
      <c r="Q368" s="9" t="n">
        <v>143743</v>
      </c>
      <c r="R368" s="10" t="n">
        <f aca="false">(Q368/P368)*100</f>
        <v>73.0419980182423</v>
      </c>
      <c r="S368" s="9" t="n">
        <f aca="false">Y368-AD368</f>
        <v>8244</v>
      </c>
      <c r="T368" s="10" t="n">
        <f aca="false">(S368/Q368)*100</f>
        <v>5.73523580278692</v>
      </c>
      <c r="U368" s="10" t="n">
        <f aca="false">Z368+AE368</f>
        <v>91.6329838670405</v>
      </c>
      <c r="V368" s="9" t="s">
        <v>55</v>
      </c>
      <c r="W368" s="9" t="s">
        <v>68</v>
      </c>
      <c r="X368" s="9" t="s">
        <v>2009</v>
      </c>
      <c r="Y368" s="9" t="n">
        <v>69980</v>
      </c>
      <c r="Z368" s="10" t="n">
        <f aca="false">(Y368/Q368)*100</f>
        <v>48.6841098349137</v>
      </c>
      <c r="AA368" s="9" t="s">
        <v>52</v>
      </c>
      <c r="AB368" s="9" t="s">
        <v>53</v>
      </c>
      <c r="AC368" s="9" t="s">
        <v>2010</v>
      </c>
      <c r="AD368" s="9" t="n">
        <v>61736</v>
      </c>
      <c r="AE368" s="10" t="n">
        <f aca="false">(AD368/Q368)*100</f>
        <v>42.9488740321268</v>
      </c>
      <c r="AF368" s="9" t="s">
        <v>1429</v>
      </c>
      <c r="AG368" s="9" t="s">
        <v>392</v>
      </c>
      <c r="AH368" s="9" t="s">
        <v>2011</v>
      </c>
      <c r="AI368" s="9" t="n">
        <v>3494</v>
      </c>
      <c r="AJ368" s="10" t="n">
        <f aca="false">(AI368/Q368)*100</f>
        <v>2.43072706149169</v>
      </c>
      <c r="AK368" s="9" t="s">
        <v>1431</v>
      </c>
      <c r="AL368" s="9" t="s">
        <v>171</v>
      </c>
      <c r="AM368" s="9" t="s">
        <v>2012</v>
      </c>
      <c r="AN368" s="9" t="n">
        <v>2565</v>
      </c>
      <c r="AO368" s="10" t="n">
        <f aca="false">(AN368/Q368)*100</f>
        <v>1.78443472029942</v>
      </c>
      <c r="AP368" s="9" t="s">
        <v>63</v>
      </c>
      <c r="AQ368" s="9" t="s">
        <v>63</v>
      </c>
      <c r="AR368" s="9" t="s">
        <v>63</v>
      </c>
      <c r="AS368" s="9" t="n">
        <v>2206</v>
      </c>
      <c r="AT368" s="10" t="n">
        <f aca="false">(AS368/Q368)*100</f>
        <v>1.53468342806258</v>
      </c>
    </row>
    <row r="369" customFormat="false" ht="12.8" hidden="false" customHeight="true" outlineLevel="0" collapsed="false">
      <c r="A369" s="33" t="n">
        <v>2016</v>
      </c>
      <c r="B369" s="8" t="n">
        <v>125</v>
      </c>
      <c r="C369" s="9" t="s">
        <v>829</v>
      </c>
      <c r="D369" s="9" t="s">
        <v>693</v>
      </c>
      <c r="E369" s="9" t="s">
        <v>586</v>
      </c>
      <c r="F369" s="9" t="s">
        <v>694</v>
      </c>
      <c r="G369" s="9" t="s">
        <v>77</v>
      </c>
      <c r="H369" s="9" t="s">
        <v>51</v>
      </c>
      <c r="I369" s="9" t="s">
        <v>51</v>
      </c>
      <c r="J369" s="9" t="s">
        <v>51</v>
      </c>
      <c r="K369" s="9" t="s">
        <v>51</v>
      </c>
      <c r="L369" s="9" t="s">
        <v>51</v>
      </c>
      <c r="M369" s="9" t="s">
        <v>68</v>
      </c>
      <c r="N369" s="9" t="s">
        <v>51</v>
      </c>
      <c r="O369" s="9" t="s">
        <v>51</v>
      </c>
      <c r="P369" s="9" t="n">
        <v>248679</v>
      </c>
      <c r="Q369" s="9" t="n">
        <v>182917</v>
      </c>
      <c r="R369" s="10" t="n">
        <f aca="false">(Q369/P369)*100</f>
        <v>73.5554670880935</v>
      </c>
      <c r="S369" s="9" t="n">
        <f aca="false">Y369-AD369</f>
        <v>5687</v>
      </c>
      <c r="T369" s="10" t="n">
        <f aca="false">(S369/Q369)*100</f>
        <v>3.10906039351181</v>
      </c>
      <c r="U369" s="10" t="n">
        <f aca="false">Z369+AE369</f>
        <v>86.3489998195903</v>
      </c>
      <c r="V369" s="9" t="s">
        <v>55</v>
      </c>
      <c r="W369" s="9" t="s">
        <v>68</v>
      </c>
      <c r="X369" s="9" t="s">
        <v>2013</v>
      </c>
      <c r="Y369" s="9" t="n">
        <v>81817</v>
      </c>
      <c r="Z369" s="10" t="n">
        <f aca="false">(Y369/Q369)*100</f>
        <v>44.7290301065511</v>
      </c>
      <c r="AA369" s="9" t="s">
        <v>52</v>
      </c>
      <c r="AB369" s="9" t="s">
        <v>53</v>
      </c>
      <c r="AC369" s="9" t="s">
        <v>2014</v>
      </c>
      <c r="AD369" s="9" t="n">
        <v>76130</v>
      </c>
      <c r="AE369" s="10" t="n">
        <f aca="false">(AD369/Q369)*100</f>
        <v>41.6199697130393</v>
      </c>
      <c r="AF369" s="9" t="s">
        <v>1431</v>
      </c>
      <c r="AG369" s="9" t="s">
        <v>171</v>
      </c>
      <c r="AH369" s="9" t="s">
        <v>2015</v>
      </c>
      <c r="AI369" s="9" t="n">
        <v>7339</v>
      </c>
      <c r="AJ369" s="10" t="n">
        <f aca="false">(AI369/Q369)*100</f>
        <v>4.01220225566787</v>
      </c>
      <c r="AK369" s="9" t="s">
        <v>1429</v>
      </c>
      <c r="AL369" s="9" t="s">
        <v>61</v>
      </c>
      <c r="AM369" s="9" t="s">
        <v>2016</v>
      </c>
      <c r="AN369" s="9" t="n">
        <v>7090</v>
      </c>
      <c r="AO369" s="10" t="n">
        <f aca="false">(AN369/Q369)*100</f>
        <v>3.8760749410935</v>
      </c>
      <c r="AP369" s="9" t="s">
        <v>197</v>
      </c>
      <c r="AQ369" s="9" t="s">
        <v>664</v>
      </c>
      <c r="AR369" s="9" t="s">
        <v>2017</v>
      </c>
      <c r="AS369" s="9" t="n">
        <v>3562</v>
      </c>
      <c r="AT369" s="10" t="n">
        <f aca="false">(AS369/Q369)*100</f>
        <v>1.9473313032687</v>
      </c>
    </row>
    <row r="370" customFormat="false" ht="12.8" hidden="false" customHeight="true" outlineLevel="0" collapsed="false">
      <c r="A370" s="33" t="n">
        <v>2016</v>
      </c>
      <c r="B370" s="8" t="n">
        <v>126</v>
      </c>
      <c r="C370" s="9" t="s">
        <v>834</v>
      </c>
      <c r="D370" s="9" t="s">
        <v>693</v>
      </c>
      <c r="E370" s="9" t="s">
        <v>586</v>
      </c>
      <c r="F370" s="9" t="s">
        <v>694</v>
      </c>
      <c r="G370" s="9" t="s">
        <v>50</v>
      </c>
      <c r="H370" s="9" t="s">
        <v>51</v>
      </c>
      <c r="I370" s="9" t="s">
        <v>51</v>
      </c>
      <c r="J370" s="9" t="s">
        <v>51</v>
      </c>
      <c r="K370" s="9" t="s">
        <v>51</v>
      </c>
      <c r="L370" s="9" t="s">
        <v>51</v>
      </c>
      <c r="M370" s="9" t="s">
        <v>51</v>
      </c>
      <c r="N370" s="9" t="s">
        <v>51</v>
      </c>
      <c r="O370" s="9" t="s">
        <v>51</v>
      </c>
      <c r="P370" s="9" t="n">
        <v>225451</v>
      </c>
      <c r="Q370" s="9" t="n">
        <v>171544</v>
      </c>
      <c r="R370" s="10" t="n">
        <f aca="false">(Q370/P370)*100</f>
        <v>76.0892610811218</v>
      </c>
      <c r="S370" s="9" t="n">
        <f aca="false">Y370-AD370</f>
        <v>1667</v>
      </c>
      <c r="T370" s="10" t="n">
        <f aca="false">(S370/Q370)*100</f>
        <v>0.971762346686564</v>
      </c>
      <c r="U370" s="10" t="n">
        <f aca="false">Z370+AE370</f>
        <v>88.3569230051765</v>
      </c>
      <c r="V370" s="9" t="s">
        <v>52</v>
      </c>
      <c r="W370" s="9" t="s">
        <v>53</v>
      </c>
      <c r="X370" s="9" t="s">
        <v>2018</v>
      </c>
      <c r="Y370" s="9" t="n">
        <v>76619</v>
      </c>
      <c r="Z370" s="10" t="n">
        <f aca="false">(Y370/Q370)*100</f>
        <v>44.6643426759315</v>
      </c>
      <c r="AA370" s="9" t="s">
        <v>55</v>
      </c>
      <c r="AB370" s="9" t="s">
        <v>68</v>
      </c>
      <c r="AC370" s="9" t="s">
        <v>2019</v>
      </c>
      <c r="AD370" s="9" t="n">
        <v>74952</v>
      </c>
      <c r="AE370" s="10" t="n">
        <f aca="false">(AD370/Q370)*100</f>
        <v>43.692580329245</v>
      </c>
      <c r="AF370" s="9" t="s">
        <v>1429</v>
      </c>
      <c r="AG370" s="9" t="s">
        <v>1338</v>
      </c>
      <c r="AH370" s="9" t="s">
        <v>2020</v>
      </c>
      <c r="AI370" s="9" t="n">
        <v>6208</v>
      </c>
      <c r="AJ370" s="10" t="n">
        <f aca="false">(AI370/Q370)*100</f>
        <v>3.61889660961619</v>
      </c>
      <c r="AK370" s="9" t="s">
        <v>1431</v>
      </c>
      <c r="AL370" s="9" t="s">
        <v>171</v>
      </c>
      <c r="AM370" s="9" t="s">
        <v>2021</v>
      </c>
      <c r="AN370" s="9" t="n">
        <v>2619</v>
      </c>
      <c r="AO370" s="10" t="n">
        <f aca="false">(AN370/Q370)*100</f>
        <v>1.52672200718183</v>
      </c>
      <c r="AP370" s="9" t="s">
        <v>1427</v>
      </c>
      <c r="AQ370" s="9" t="s">
        <v>56</v>
      </c>
      <c r="AR370" s="9" t="s">
        <v>2022</v>
      </c>
      <c r="AS370" s="9" t="n">
        <v>2443</v>
      </c>
      <c r="AT370" s="10" t="n">
        <f aca="false">(AS370/Q370)*100</f>
        <v>1.42412442288859</v>
      </c>
    </row>
    <row r="371" customFormat="false" ht="12.8" hidden="false" customHeight="true" outlineLevel="0" collapsed="false">
      <c r="A371" s="33" t="n">
        <v>2016</v>
      </c>
      <c r="B371" s="8" t="n">
        <v>127</v>
      </c>
      <c r="C371" s="9" t="s">
        <v>236</v>
      </c>
      <c r="D371" s="9" t="s">
        <v>840</v>
      </c>
      <c r="E371" s="9" t="s">
        <v>586</v>
      </c>
      <c r="F371" s="9" t="s">
        <v>694</v>
      </c>
      <c r="G371" s="9" t="s">
        <v>77</v>
      </c>
      <c r="H371" s="9" t="s">
        <v>51</v>
      </c>
      <c r="I371" s="9" t="s">
        <v>51</v>
      </c>
      <c r="J371" s="9" t="s">
        <v>51</v>
      </c>
      <c r="K371" s="9" t="s">
        <v>51</v>
      </c>
      <c r="L371" s="9" t="s">
        <v>51</v>
      </c>
      <c r="M371" s="9" t="s">
        <v>51</v>
      </c>
      <c r="N371" s="9" t="s">
        <v>51</v>
      </c>
      <c r="O371" s="9" t="s">
        <v>51</v>
      </c>
      <c r="P371" s="9" t="n">
        <v>257151</v>
      </c>
      <c r="Q371" s="9" t="n">
        <v>197474</v>
      </c>
      <c r="R371" s="10" t="n">
        <f aca="false">(Q371/P371)*100</f>
        <v>76.79301266571</v>
      </c>
      <c r="S371" s="9" t="n">
        <f aca="false">Y371-AD371</f>
        <v>25586</v>
      </c>
      <c r="T371" s="10" t="n">
        <f aca="false">(S371/Q371)*100</f>
        <v>12.956642393429</v>
      </c>
      <c r="U371" s="10" t="n">
        <f aca="false">Z371+AE371</f>
        <v>88.3680889636104</v>
      </c>
      <c r="V371" s="9" t="s">
        <v>52</v>
      </c>
      <c r="W371" s="9" t="s">
        <v>53</v>
      </c>
      <c r="X371" s="9" t="s">
        <v>2023</v>
      </c>
      <c r="Y371" s="9" t="n">
        <v>100045</v>
      </c>
      <c r="Z371" s="10" t="n">
        <f aca="false">(Y371/Q371)*100</f>
        <v>50.6623656785197</v>
      </c>
      <c r="AA371" s="9" t="s">
        <v>55</v>
      </c>
      <c r="AB371" s="9" t="s">
        <v>68</v>
      </c>
      <c r="AC371" s="9" t="s">
        <v>2024</v>
      </c>
      <c r="AD371" s="9" t="n">
        <v>74459</v>
      </c>
      <c r="AE371" s="10" t="n">
        <f aca="false">(AD371/Q371)*100</f>
        <v>37.7057232850907</v>
      </c>
      <c r="AF371" s="9" t="s">
        <v>1429</v>
      </c>
      <c r="AG371" s="9" t="s">
        <v>422</v>
      </c>
      <c r="AH371" s="9" t="s">
        <v>2025</v>
      </c>
      <c r="AI371" s="9" t="n">
        <v>9687</v>
      </c>
      <c r="AJ371" s="10" t="n">
        <f aca="false">(AI371/Q371)*100</f>
        <v>4.90545590811955</v>
      </c>
      <c r="AK371" s="9" t="s">
        <v>1431</v>
      </c>
      <c r="AL371" s="9" t="s">
        <v>171</v>
      </c>
      <c r="AM371" s="9" t="s">
        <v>2026</v>
      </c>
      <c r="AN371" s="9" t="n">
        <v>4092</v>
      </c>
      <c r="AO371" s="10" t="n">
        <f aca="false">(AN371/Q371)*100</f>
        <v>2.07217152637816</v>
      </c>
      <c r="AP371" s="9" t="s">
        <v>63</v>
      </c>
      <c r="AQ371" s="9" t="s">
        <v>63</v>
      </c>
      <c r="AR371" s="9" t="s">
        <v>63</v>
      </c>
      <c r="AS371" s="9" t="n">
        <v>1460</v>
      </c>
      <c r="AT371" s="10" t="n">
        <f aca="false">(AS371/Q371)*100</f>
        <v>0.739337836879792</v>
      </c>
    </row>
    <row r="372" customFormat="false" ht="12.8" hidden="false" customHeight="true" outlineLevel="0" collapsed="false">
      <c r="A372" s="33" t="n">
        <v>2016</v>
      </c>
      <c r="B372" s="8" t="n">
        <v>128</v>
      </c>
      <c r="C372" s="9" t="s">
        <v>846</v>
      </c>
      <c r="D372" s="9" t="s">
        <v>840</v>
      </c>
      <c r="E372" s="9" t="s">
        <v>586</v>
      </c>
      <c r="F372" s="9" t="s">
        <v>694</v>
      </c>
      <c r="G372" s="9" t="s">
        <v>77</v>
      </c>
      <c r="H372" s="9" t="s">
        <v>51</v>
      </c>
      <c r="I372" s="9" t="s">
        <v>51</v>
      </c>
      <c r="J372" s="9" t="s">
        <v>51</v>
      </c>
      <c r="K372" s="9" t="s">
        <v>53</v>
      </c>
      <c r="L372" s="9" t="s">
        <v>51</v>
      </c>
      <c r="M372" s="9" t="s">
        <v>53</v>
      </c>
      <c r="N372" s="9" t="s">
        <v>51</v>
      </c>
      <c r="O372" s="9" t="s">
        <v>51</v>
      </c>
      <c r="P372" s="9" t="n">
        <v>223074</v>
      </c>
      <c r="Q372" s="9" t="n">
        <v>189414</v>
      </c>
      <c r="R372" s="10" t="n">
        <f aca="false">(Q372/P372)*100</f>
        <v>84.9108367626886</v>
      </c>
      <c r="S372" s="9" t="n">
        <f aca="false">Y372-AD372</f>
        <v>65727</v>
      </c>
      <c r="T372" s="10" t="n">
        <f aca="false">(S372/Q372)*100</f>
        <v>34.7001805568754</v>
      </c>
      <c r="U372" s="10" t="n">
        <f aca="false">Z372+AE372</f>
        <v>93.8172468772108</v>
      </c>
      <c r="V372" s="9" t="s">
        <v>52</v>
      </c>
      <c r="W372" s="9" t="s">
        <v>53</v>
      </c>
      <c r="X372" s="9" t="s">
        <v>2027</v>
      </c>
      <c r="Y372" s="9" t="n">
        <v>121715</v>
      </c>
      <c r="Z372" s="10" t="n">
        <f aca="false">(Y372/Q372)*100</f>
        <v>64.2587137170431</v>
      </c>
      <c r="AA372" s="9" t="s">
        <v>55</v>
      </c>
      <c r="AB372" s="9" t="s">
        <v>68</v>
      </c>
      <c r="AC372" s="9" t="s">
        <v>2028</v>
      </c>
      <c r="AD372" s="9" t="n">
        <v>55988</v>
      </c>
      <c r="AE372" s="10" t="n">
        <f aca="false">(AD372/Q372)*100</f>
        <v>29.5585331601677</v>
      </c>
      <c r="AF372" s="9" t="s">
        <v>1429</v>
      </c>
      <c r="AG372" s="9" t="s">
        <v>392</v>
      </c>
      <c r="AH372" s="9" t="s">
        <v>2029</v>
      </c>
      <c r="AI372" s="9" t="n">
        <v>3684</v>
      </c>
      <c r="AJ372" s="10" t="n">
        <f aca="false">(AI372/Q372)*100</f>
        <v>1.9449459913206</v>
      </c>
      <c r="AK372" s="9" t="s">
        <v>1431</v>
      </c>
      <c r="AL372" s="9" t="s">
        <v>171</v>
      </c>
      <c r="AM372" s="9" t="s">
        <v>2030</v>
      </c>
      <c r="AN372" s="9" t="n">
        <v>1909</v>
      </c>
      <c r="AO372" s="10" t="n">
        <f aca="false">(AN372/Q372)*100</f>
        <v>1.00784524903122</v>
      </c>
      <c r="AP372" s="9" t="s">
        <v>63</v>
      </c>
      <c r="AQ372" s="9" t="s">
        <v>63</v>
      </c>
      <c r="AR372" s="9" t="s">
        <v>63</v>
      </c>
      <c r="AS372" s="9" t="n">
        <v>1274</v>
      </c>
      <c r="AT372" s="10" t="n">
        <f aca="false">(AS372/Q372)*100</f>
        <v>0.672600758127699</v>
      </c>
    </row>
    <row r="373" customFormat="false" ht="12.8" hidden="false" customHeight="true" outlineLevel="0" collapsed="false">
      <c r="A373" s="33" t="n">
        <v>2016</v>
      </c>
      <c r="B373" s="8" t="n">
        <v>129</v>
      </c>
      <c r="C373" s="9" t="s">
        <v>851</v>
      </c>
      <c r="D373" s="9" t="s">
        <v>840</v>
      </c>
      <c r="E373" s="9" t="s">
        <v>586</v>
      </c>
      <c r="F373" s="9" t="s">
        <v>694</v>
      </c>
      <c r="G373" s="9" t="s">
        <v>50</v>
      </c>
      <c r="H373" s="9" t="s">
        <v>51</v>
      </c>
      <c r="I373" s="9" t="s">
        <v>316</v>
      </c>
      <c r="J373" s="9" t="s">
        <v>51</v>
      </c>
      <c r="K373" s="9" t="s">
        <v>53</v>
      </c>
      <c r="L373" s="9" t="s">
        <v>51</v>
      </c>
      <c r="M373" s="9" t="s">
        <v>53</v>
      </c>
      <c r="N373" s="9" t="s">
        <v>51</v>
      </c>
      <c r="O373" s="9" t="s">
        <v>51</v>
      </c>
      <c r="P373" s="9" t="n">
        <v>268876</v>
      </c>
      <c r="Q373" s="9" t="n">
        <v>229252</v>
      </c>
      <c r="R373" s="10" t="n">
        <f aca="false">(Q373/P373)*100</f>
        <v>85.2630952558057</v>
      </c>
      <c r="S373" s="9" t="n">
        <f aca="false">Y373-AD373</f>
        <v>27147</v>
      </c>
      <c r="T373" s="10" t="n">
        <f aca="false">(S373/Q373)*100</f>
        <v>11.8415542721547</v>
      </c>
      <c r="U373" s="10" t="n">
        <f aca="false">Z373+AE373</f>
        <v>94.3629717516096</v>
      </c>
      <c r="V373" s="9" t="s">
        <v>52</v>
      </c>
      <c r="W373" s="9" t="s">
        <v>53</v>
      </c>
      <c r="X373" s="9" t="s">
        <v>2031</v>
      </c>
      <c r="Y373" s="9" t="n">
        <v>121738</v>
      </c>
      <c r="Z373" s="10" t="n">
        <f aca="false">(Y373/Q373)*100</f>
        <v>53.1022630118821</v>
      </c>
      <c r="AA373" s="9" t="s">
        <v>55</v>
      </c>
      <c r="AB373" s="9" t="s">
        <v>68</v>
      </c>
      <c r="AC373" s="9" t="s">
        <v>2032</v>
      </c>
      <c r="AD373" s="9" t="n">
        <v>94591</v>
      </c>
      <c r="AE373" s="10" t="n">
        <f aca="false">(AD373/Q373)*100</f>
        <v>41.2607087397275</v>
      </c>
      <c r="AF373" s="9" t="s">
        <v>1429</v>
      </c>
      <c r="AG373" s="9" t="s">
        <v>61</v>
      </c>
      <c r="AH373" s="9" t="s">
        <v>2033</v>
      </c>
      <c r="AI373" s="9" t="n">
        <v>3741</v>
      </c>
      <c r="AJ373" s="10" t="n">
        <f aca="false">(AI373/Q373)*100</f>
        <v>1.63182872995655</v>
      </c>
      <c r="AK373" s="9" t="s">
        <v>63</v>
      </c>
      <c r="AL373" s="9" t="s">
        <v>63</v>
      </c>
      <c r="AM373" s="9" t="s">
        <v>63</v>
      </c>
      <c r="AN373" s="9" t="n">
        <v>2105</v>
      </c>
      <c r="AO373" s="10" t="n">
        <f aca="false">(AN373/Q373)*100</f>
        <v>0.918203548933052</v>
      </c>
      <c r="AP373" s="9" t="s">
        <v>1431</v>
      </c>
      <c r="AQ373" s="9" t="s">
        <v>171</v>
      </c>
      <c r="AR373" s="9" t="s">
        <v>2034</v>
      </c>
      <c r="AS373" s="9" t="n">
        <v>1365</v>
      </c>
      <c r="AT373" s="10" t="n">
        <f aca="false">(AS373/Q373)*100</f>
        <v>0.595414652871076</v>
      </c>
    </row>
    <row r="374" customFormat="false" ht="12.8" hidden="false" customHeight="true" outlineLevel="0" collapsed="false">
      <c r="A374" s="33" t="n">
        <v>2016</v>
      </c>
      <c r="B374" s="8" t="n">
        <v>130</v>
      </c>
      <c r="C374" s="9" t="s">
        <v>857</v>
      </c>
      <c r="D374" s="9" t="s">
        <v>840</v>
      </c>
      <c r="E374" s="9" t="s">
        <v>586</v>
      </c>
      <c r="F374" s="9" t="s">
        <v>694</v>
      </c>
      <c r="G374" s="9" t="s">
        <v>50</v>
      </c>
      <c r="H374" s="9" t="s">
        <v>65</v>
      </c>
      <c r="I374" s="9" t="s">
        <v>51</v>
      </c>
      <c r="J374" s="9" t="s">
        <v>51</v>
      </c>
      <c r="K374" s="9" t="s">
        <v>51</v>
      </c>
      <c r="L374" s="9" t="s">
        <v>51</v>
      </c>
      <c r="M374" s="9" t="s">
        <v>51</v>
      </c>
      <c r="N374" s="9" t="s">
        <v>51</v>
      </c>
      <c r="O374" s="9" t="s">
        <v>51</v>
      </c>
      <c r="P374" s="9" t="n">
        <v>218582</v>
      </c>
      <c r="Q374" s="9" t="n">
        <v>174541</v>
      </c>
      <c r="R374" s="10" t="n">
        <f aca="false">(Q374/P374)*100</f>
        <v>79.8514973785582</v>
      </c>
      <c r="S374" s="9" t="n">
        <f aca="false">Y374-AD374</f>
        <v>14776</v>
      </c>
      <c r="T374" s="10" t="n">
        <f aca="false">(S374/Q374)*100</f>
        <v>8.46563271666829</v>
      </c>
      <c r="U374" s="10" t="n">
        <f aca="false">Z374+AE374</f>
        <v>89.5136386293192</v>
      </c>
      <c r="V374" s="9" t="s">
        <v>55</v>
      </c>
      <c r="W374" s="9" t="s">
        <v>68</v>
      </c>
      <c r="X374" s="9" t="s">
        <v>2035</v>
      </c>
      <c r="Y374" s="9" t="n">
        <v>85507</v>
      </c>
      <c r="Z374" s="10" t="n">
        <f aca="false">(Y374/Q374)*100</f>
        <v>48.9896356729937</v>
      </c>
      <c r="AA374" s="9" t="s">
        <v>52</v>
      </c>
      <c r="AB374" s="9" t="s">
        <v>53</v>
      </c>
      <c r="AC374" s="9" t="s">
        <v>2036</v>
      </c>
      <c r="AD374" s="9" t="n">
        <v>70731</v>
      </c>
      <c r="AE374" s="10" t="n">
        <f aca="false">(AD374/Q374)*100</f>
        <v>40.5240029563255</v>
      </c>
      <c r="AF374" s="9" t="s">
        <v>1429</v>
      </c>
      <c r="AG374" s="9" t="s">
        <v>61</v>
      </c>
      <c r="AH374" s="9" t="s">
        <v>2037</v>
      </c>
      <c r="AI374" s="9" t="n">
        <v>7666</v>
      </c>
      <c r="AJ374" s="10" t="n">
        <f aca="false">(AI374/Q374)*100</f>
        <v>4.39209125649561</v>
      </c>
      <c r="AK374" s="9" t="s">
        <v>1431</v>
      </c>
      <c r="AL374" s="9" t="s">
        <v>171</v>
      </c>
      <c r="AM374" s="9" t="s">
        <v>2038</v>
      </c>
      <c r="AN374" s="9" t="n">
        <v>2565</v>
      </c>
      <c r="AO374" s="10" t="n">
        <f aca="false">(AN374/Q374)*100</f>
        <v>1.46956875461926</v>
      </c>
      <c r="AP374" s="9" t="s">
        <v>1427</v>
      </c>
      <c r="AQ374" s="9" t="s">
        <v>56</v>
      </c>
      <c r="AR374" s="9" t="s">
        <v>2039</v>
      </c>
      <c r="AS374" s="9" t="n">
        <v>2201</v>
      </c>
      <c r="AT374" s="10" t="n">
        <f aca="false">(AS374/Q374)*100</f>
        <v>1.26102176565964</v>
      </c>
    </row>
    <row r="375" customFormat="false" ht="12.8" hidden="false" customHeight="true" outlineLevel="0" collapsed="false">
      <c r="A375" s="33" t="n">
        <v>2016</v>
      </c>
      <c r="B375" s="8" t="n">
        <v>131</v>
      </c>
      <c r="C375" s="9" t="s">
        <v>863</v>
      </c>
      <c r="D375" s="9" t="s">
        <v>840</v>
      </c>
      <c r="E375" s="9" t="s">
        <v>586</v>
      </c>
      <c r="F375" s="9" t="s">
        <v>694</v>
      </c>
      <c r="G375" s="9" t="s">
        <v>50</v>
      </c>
      <c r="H375" s="9" t="s">
        <v>51</v>
      </c>
      <c r="I375" s="9" t="s">
        <v>526</v>
      </c>
      <c r="J375" s="9" t="s">
        <v>51</v>
      </c>
      <c r="K375" s="9" t="s">
        <v>68</v>
      </c>
      <c r="L375" s="9" t="s">
        <v>864</v>
      </c>
      <c r="M375" s="9" t="s">
        <v>51</v>
      </c>
      <c r="N375" s="9" t="s">
        <v>864</v>
      </c>
      <c r="O375" s="9" t="s">
        <v>51</v>
      </c>
      <c r="P375" s="9" t="n">
        <v>258718</v>
      </c>
      <c r="Q375" s="9" t="n">
        <v>207011</v>
      </c>
      <c r="R375" s="10" t="n">
        <f aca="false">(Q375/P375)*100</f>
        <v>80.014146677077</v>
      </c>
      <c r="S375" s="9" t="n">
        <f aca="false">Y375-AD375</f>
        <v>2110</v>
      </c>
      <c r="T375" s="10" t="n">
        <f aca="false">(S375/Q375)*100</f>
        <v>1.01926950741748</v>
      </c>
      <c r="U375" s="10" t="n">
        <f aca="false">Z375+AE375</f>
        <v>89.6251889996184</v>
      </c>
      <c r="V375" s="9" t="s">
        <v>52</v>
      </c>
      <c r="W375" s="9" t="s">
        <v>53</v>
      </c>
      <c r="X375" s="9" t="s">
        <v>2040</v>
      </c>
      <c r="Y375" s="9" t="n">
        <v>93822</v>
      </c>
      <c r="Z375" s="10" t="n">
        <f aca="false">(Y375/Q375)*100</f>
        <v>45.3222292535179</v>
      </c>
      <c r="AA375" s="9" t="s">
        <v>55</v>
      </c>
      <c r="AB375" s="9" t="s">
        <v>68</v>
      </c>
      <c r="AC375" s="9" t="s">
        <v>2041</v>
      </c>
      <c r="AD375" s="9" t="n">
        <v>91712</v>
      </c>
      <c r="AE375" s="10" t="n">
        <f aca="false">(AD375/Q375)*100</f>
        <v>44.3029597461005</v>
      </c>
      <c r="AF375" s="9" t="s">
        <v>1429</v>
      </c>
      <c r="AG375" s="9" t="s">
        <v>61</v>
      </c>
      <c r="AH375" s="9" t="s">
        <v>2042</v>
      </c>
      <c r="AI375" s="9" t="n">
        <v>9373</v>
      </c>
      <c r="AJ375" s="10" t="n">
        <f aca="false">(AI375/Q375)*100</f>
        <v>4.52777871707301</v>
      </c>
      <c r="AK375" s="9" t="s">
        <v>58</v>
      </c>
      <c r="AL375" s="9" t="s">
        <v>58</v>
      </c>
      <c r="AM375" s="9" t="s">
        <v>2043</v>
      </c>
      <c r="AN375" s="9" t="n">
        <v>2393</v>
      </c>
      <c r="AO375" s="10" t="n">
        <f aca="false">(AN375/Q375)*100</f>
        <v>1.15597721860191</v>
      </c>
      <c r="AP375" s="9" t="s">
        <v>63</v>
      </c>
      <c r="AQ375" s="9" t="s">
        <v>63</v>
      </c>
      <c r="AR375" s="9" t="s">
        <v>63</v>
      </c>
      <c r="AS375" s="9" t="n">
        <v>1844</v>
      </c>
      <c r="AT375" s="10" t="n">
        <f aca="false">(AS375/Q375)*100</f>
        <v>0.890773920226461</v>
      </c>
    </row>
    <row r="376" customFormat="false" ht="12.8" hidden="false" customHeight="true" outlineLevel="0" collapsed="false">
      <c r="A376" s="33" t="n">
        <v>2016</v>
      </c>
      <c r="B376" s="8" t="n">
        <v>132</v>
      </c>
      <c r="C376" s="9" t="s">
        <v>840</v>
      </c>
      <c r="D376" s="9" t="s">
        <v>840</v>
      </c>
      <c r="E376" s="9" t="s">
        <v>586</v>
      </c>
      <c r="F376" s="9" t="s">
        <v>694</v>
      </c>
      <c r="G376" s="9" t="s">
        <v>88</v>
      </c>
      <c r="H376" s="9" t="s">
        <v>51</v>
      </c>
      <c r="I376" s="9" t="s">
        <v>51</v>
      </c>
      <c r="J376" s="9" t="s">
        <v>51</v>
      </c>
      <c r="K376" s="9" t="s">
        <v>51</v>
      </c>
      <c r="L376" s="9" t="s">
        <v>51</v>
      </c>
      <c r="M376" s="9" t="s">
        <v>51</v>
      </c>
      <c r="N376" s="9" t="s">
        <v>51</v>
      </c>
      <c r="O376" s="9" t="s">
        <v>51</v>
      </c>
      <c r="P376" s="9" t="n">
        <v>248751</v>
      </c>
      <c r="Q376" s="9" t="n">
        <v>185419</v>
      </c>
      <c r="R376" s="10" t="n">
        <f aca="false">(Q376/P376)*100</f>
        <v>74.5400018492388</v>
      </c>
      <c r="S376" s="9" t="n">
        <f aca="false">Y376-AD376</f>
        <v>20719</v>
      </c>
      <c r="T376" s="10" t="n">
        <f aca="false">(S376/Q376)*100</f>
        <v>11.1741515162955</v>
      </c>
      <c r="U376" s="10" t="n">
        <f aca="false">Z376+AE376</f>
        <v>87.4273941721183</v>
      </c>
      <c r="V376" s="9" t="s">
        <v>55</v>
      </c>
      <c r="W376" s="9" t="s">
        <v>68</v>
      </c>
      <c r="X376" s="9" t="s">
        <v>2044</v>
      </c>
      <c r="Y376" s="9" t="n">
        <v>91413</v>
      </c>
      <c r="Z376" s="10" t="n">
        <f aca="false">(Y376/Q376)*100</f>
        <v>49.3007728442069</v>
      </c>
      <c r="AA376" s="9" t="s">
        <v>52</v>
      </c>
      <c r="AB376" s="9" t="s">
        <v>53</v>
      </c>
      <c r="AC376" s="9" t="s">
        <v>1971</v>
      </c>
      <c r="AD376" s="9" t="n">
        <v>70694</v>
      </c>
      <c r="AE376" s="10" t="n">
        <f aca="false">(AD376/Q376)*100</f>
        <v>38.1266213279114</v>
      </c>
      <c r="AF376" s="9" t="s">
        <v>1429</v>
      </c>
      <c r="AG376" s="9" t="s">
        <v>422</v>
      </c>
      <c r="AH376" s="9" t="s">
        <v>2045</v>
      </c>
      <c r="AI376" s="9" t="n">
        <v>8657</v>
      </c>
      <c r="AJ376" s="10" t="n">
        <f aca="false">(AI376/Q376)*100</f>
        <v>4.66888506571603</v>
      </c>
      <c r="AK376" s="9" t="s">
        <v>1431</v>
      </c>
      <c r="AL376" s="9" t="s">
        <v>171</v>
      </c>
      <c r="AM376" s="9" t="s">
        <v>2046</v>
      </c>
      <c r="AN376" s="9" t="n">
        <v>5079</v>
      </c>
      <c r="AO376" s="10" t="n">
        <f aca="false">(AN376/Q376)*100</f>
        <v>2.73920148420604</v>
      </c>
      <c r="AP376" s="9" t="s">
        <v>63</v>
      </c>
      <c r="AQ376" s="9" t="s">
        <v>63</v>
      </c>
      <c r="AR376" s="9" t="s">
        <v>63</v>
      </c>
      <c r="AS376" s="9" t="n">
        <v>2783</v>
      </c>
      <c r="AT376" s="10" t="n">
        <f aca="false">(AS376/Q376)*100</f>
        <v>1.50092493218063</v>
      </c>
    </row>
    <row r="377" customFormat="false" ht="12.8" hidden="false" customHeight="true" outlineLevel="0" collapsed="false">
      <c r="A377" s="33" t="n">
        <v>2016</v>
      </c>
      <c r="B377" s="8" t="n">
        <v>133</v>
      </c>
      <c r="C377" s="9" t="s">
        <v>873</v>
      </c>
      <c r="D377" s="9" t="s">
        <v>840</v>
      </c>
      <c r="E377" s="9" t="s">
        <v>586</v>
      </c>
      <c r="F377" s="9" t="s">
        <v>694</v>
      </c>
      <c r="G377" s="9" t="s">
        <v>50</v>
      </c>
      <c r="H377" s="9" t="s">
        <v>51</v>
      </c>
      <c r="I377" s="9" t="s">
        <v>51</v>
      </c>
      <c r="J377" s="9" t="s">
        <v>51</v>
      </c>
      <c r="K377" s="9" t="s">
        <v>51</v>
      </c>
      <c r="L377" s="9" t="s">
        <v>51</v>
      </c>
      <c r="M377" s="9" t="s">
        <v>51</v>
      </c>
      <c r="N377" s="9" t="s">
        <v>51</v>
      </c>
      <c r="O377" s="9" t="s">
        <v>51</v>
      </c>
      <c r="P377" s="9" t="n">
        <v>246548</v>
      </c>
      <c r="Q377" s="9" t="n">
        <v>198558</v>
      </c>
      <c r="R377" s="10" t="n">
        <f aca="false">(Q377/P377)*100</f>
        <v>80.5352304622224</v>
      </c>
      <c r="S377" s="9" t="n">
        <f aca="false">Y377-AD377</f>
        <v>19938</v>
      </c>
      <c r="T377" s="10" t="n">
        <f aca="false">(S377/Q377)*100</f>
        <v>10.0413984830629</v>
      </c>
      <c r="U377" s="10" t="n">
        <f aca="false">Z377+AE377</f>
        <v>88.2220812054916</v>
      </c>
      <c r="V377" s="9" t="s">
        <v>55</v>
      </c>
      <c r="W377" s="9" t="s">
        <v>68</v>
      </c>
      <c r="X377" s="9" t="s">
        <v>2047</v>
      </c>
      <c r="Y377" s="9" t="n">
        <v>97555</v>
      </c>
      <c r="Z377" s="10" t="n">
        <f aca="false">(Y377/Q377)*100</f>
        <v>49.1317398442772</v>
      </c>
      <c r="AA377" s="9" t="s">
        <v>52</v>
      </c>
      <c r="AB377" s="9" t="s">
        <v>66</v>
      </c>
      <c r="AC377" s="9" t="s">
        <v>2048</v>
      </c>
      <c r="AD377" s="9" t="n">
        <v>77617</v>
      </c>
      <c r="AE377" s="10" t="n">
        <f aca="false">(AD377/Q377)*100</f>
        <v>39.0903413612144</v>
      </c>
      <c r="AF377" s="9" t="s">
        <v>1429</v>
      </c>
      <c r="AG377" s="9" t="s">
        <v>61</v>
      </c>
      <c r="AH377" s="9" t="s">
        <v>2049</v>
      </c>
      <c r="AI377" s="9" t="n">
        <v>12445</v>
      </c>
      <c r="AJ377" s="10" t="n">
        <f aca="false">(AI377/Q377)*100</f>
        <v>6.26769004522608</v>
      </c>
      <c r="AK377" s="9" t="s">
        <v>197</v>
      </c>
      <c r="AL377" s="9" t="s">
        <v>197</v>
      </c>
      <c r="AM377" s="9" t="s">
        <v>2050</v>
      </c>
      <c r="AN377" s="9" t="n">
        <v>2512</v>
      </c>
      <c r="AO377" s="10" t="n">
        <f aca="false">(AN377/Q377)*100</f>
        <v>1.26512152620393</v>
      </c>
      <c r="AP377" s="9" t="s">
        <v>63</v>
      </c>
      <c r="AQ377" s="9" t="s">
        <v>63</v>
      </c>
      <c r="AR377" s="9" t="s">
        <v>63</v>
      </c>
      <c r="AS377" s="9" t="n">
        <v>2256</v>
      </c>
      <c r="AT377" s="10" t="n">
        <f aca="false">(AS377/Q377)*100</f>
        <v>1.13619194391563</v>
      </c>
    </row>
    <row r="378" customFormat="false" ht="12.8" hidden="false" customHeight="true" outlineLevel="0" collapsed="false">
      <c r="A378" s="33" t="n">
        <v>2016</v>
      </c>
      <c r="B378" s="8" t="n">
        <v>134</v>
      </c>
      <c r="C378" s="9" t="s">
        <v>879</v>
      </c>
      <c r="D378" s="9" t="s">
        <v>880</v>
      </c>
      <c r="E378" s="9" t="s">
        <v>586</v>
      </c>
      <c r="F378" s="9" t="s">
        <v>645</v>
      </c>
      <c r="G378" s="9" t="s">
        <v>50</v>
      </c>
      <c r="H378" s="9" t="s">
        <v>51</v>
      </c>
      <c r="I378" s="9" t="s">
        <v>51</v>
      </c>
      <c r="J378" s="9" t="s">
        <v>51</v>
      </c>
      <c r="K378" s="9" t="s">
        <v>51</v>
      </c>
      <c r="L378" s="9" t="s">
        <v>51</v>
      </c>
      <c r="M378" s="9" t="s">
        <v>51</v>
      </c>
      <c r="N378" s="9" t="s">
        <v>51</v>
      </c>
      <c r="O378" s="9" t="s">
        <v>51</v>
      </c>
      <c r="P378" s="9" t="n">
        <v>200344</v>
      </c>
      <c r="Q378" s="9" t="n">
        <v>164582</v>
      </c>
      <c r="R378" s="10" t="n">
        <f aca="false">(Q378/P378)*100</f>
        <v>82.1497025116799</v>
      </c>
      <c r="S378" s="9" t="n">
        <f aca="false">Y378-AD378</f>
        <v>23661</v>
      </c>
      <c r="T378" s="10" t="n">
        <f aca="false">(S378/Q378)*100</f>
        <v>14.3764202646705</v>
      </c>
      <c r="U378" s="10" t="n">
        <f aca="false">Z378+AE378</f>
        <v>92.6437885066411</v>
      </c>
      <c r="V378" s="9" t="s">
        <v>55</v>
      </c>
      <c r="W378" s="9" t="s">
        <v>68</v>
      </c>
      <c r="X378" s="9" t="s">
        <v>886</v>
      </c>
      <c r="Y378" s="9" t="n">
        <v>88068</v>
      </c>
      <c r="Z378" s="10" t="n">
        <f aca="false">(Y378/Q378)*100</f>
        <v>53.5101043856558</v>
      </c>
      <c r="AA378" s="9" t="s">
        <v>52</v>
      </c>
      <c r="AB378" s="9" t="s">
        <v>53</v>
      </c>
      <c r="AC378" s="9" t="s">
        <v>2051</v>
      </c>
      <c r="AD378" s="9" t="n">
        <v>64407</v>
      </c>
      <c r="AE378" s="10" t="n">
        <f aca="false">(AD378/Q378)*100</f>
        <v>39.1336841209853</v>
      </c>
      <c r="AF378" s="9" t="s">
        <v>1431</v>
      </c>
      <c r="AG378" s="9" t="s">
        <v>171</v>
      </c>
      <c r="AH378" s="9" t="s">
        <v>519</v>
      </c>
      <c r="AI378" s="9" t="n">
        <v>3162</v>
      </c>
      <c r="AJ378" s="10" t="n">
        <f aca="false">(AI378/Q378)*100</f>
        <v>1.92123075427446</v>
      </c>
      <c r="AK378" s="9" t="s">
        <v>63</v>
      </c>
      <c r="AL378" s="9" t="s">
        <v>63</v>
      </c>
      <c r="AM378" s="9" t="s">
        <v>63</v>
      </c>
      <c r="AN378" s="9" t="n">
        <v>1538</v>
      </c>
      <c r="AO378" s="10" t="n">
        <f aca="false">(AN378/Q378)*100</f>
        <v>0.934488583198649</v>
      </c>
      <c r="AP378" s="9" t="s">
        <v>1429</v>
      </c>
      <c r="AQ378" s="9" t="s">
        <v>61</v>
      </c>
      <c r="AR378" s="9" t="s">
        <v>2052</v>
      </c>
      <c r="AS378" s="9" t="n">
        <v>1513</v>
      </c>
      <c r="AT378" s="10" t="n">
        <f aca="false">(AS378/Q378)*100</f>
        <v>0.919298586722728</v>
      </c>
    </row>
    <row r="379" customFormat="false" ht="12.8" hidden="false" customHeight="true" outlineLevel="0" collapsed="false">
      <c r="A379" s="33" t="n">
        <v>2016</v>
      </c>
      <c r="B379" s="8" t="n">
        <v>135</v>
      </c>
      <c r="C379" s="9" t="s">
        <v>880</v>
      </c>
      <c r="D379" s="9" t="s">
        <v>880</v>
      </c>
      <c r="E379" s="9" t="s">
        <v>586</v>
      </c>
      <c r="F379" s="9" t="s">
        <v>645</v>
      </c>
      <c r="G379" s="9" t="s">
        <v>77</v>
      </c>
      <c r="H379" s="9" t="s">
        <v>51</v>
      </c>
      <c r="I379" s="9" t="s">
        <v>51</v>
      </c>
      <c r="J379" s="9" t="s">
        <v>51</v>
      </c>
      <c r="K379" s="9" t="s">
        <v>53</v>
      </c>
      <c r="L379" s="9" t="s">
        <v>51</v>
      </c>
      <c r="M379" s="9" t="s">
        <v>51</v>
      </c>
      <c r="N379" s="9" t="s">
        <v>51</v>
      </c>
      <c r="O379" s="9" t="s">
        <v>51</v>
      </c>
      <c r="P379" s="9" t="n">
        <v>232072</v>
      </c>
      <c r="Q379" s="9" t="n">
        <v>186813</v>
      </c>
      <c r="R379" s="10" t="n">
        <f aca="false">(Q379/P379)*100</f>
        <v>80.4978627322555</v>
      </c>
      <c r="S379" s="9" t="n">
        <f aca="false">Y379-AD379</f>
        <v>441</v>
      </c>
      <c r="T379" s="10" t="n">
        <f aca="false">(S379/Q379)*100</f>
        <v>0.236064941947295</v>
      </c>
      <c r="U379" s="10" t="n">
        <f aca="false">Z379+AE379</f>
        <v>87.4837404249169</v>
      </c>
      <c r="V379" s="9" t="s">
        <v>55</v>
      </c>
      <c r="W379" s="9" t="s">
        <v>68</v>
      </c>
      <c r="X379" s="9" t="s">
        <v>2053</v>
      </c>
      <c r="Y379" s="9" t="n">
        <v>81936</v>
      </c>
      <c r="Z379" s="10" t="n">
        <f aca="false">(Y379/Q379)*100</f>
        <v>43.8599026834321</v>
      </c>
      <c r="AA379" s="9" t="s">
        <v>52</v>
      </c>
      <c r="AB379" s="9" t="s">
        <v>66</v>
      </c>
      <c r="AC379" s="9" t="s">
        <v>2054</v>
      </c>
      <c r="AD379" s="9" t="n">
        <v>81495</v>
      </c>
      <c r="AE379" s="10" t="n">
        <f aca="false">(AD379/Q379)*100</f>
        <v>43.6238377414848</v>
      </c>
      <c r="AF379" s="9" t="s">
        <v>1429</v>
      </c>
      <c r="AG379" s="9" t="s">
        <v>61</v>
      </c>
      <c r="AH379" s="9" t="s">
        <v>2055</v>
      </c>
      <c r="AI379" s="9" t="n">
        <v>6491</v>
      </c>
      <c r="AJ379" s="10" t="n">
        <f aca="false">(AI379/Q379)*100</f>
        <v>3.47459759224465</v>
      </c>
      <c r="AK379" s="9" t="s">
        <v>1431</v>
      </c>
      <c r="AL379" s="9" t="s">
        <v>171</v>
      </c>
      <c r="AM379" s="9" t="s">
        <v>2056</v>
      </c>
      <c r="AN379" s="9" t="n">
        <v>3995</v>
      </c>
      <c r="AO379" s="10" t="n">
        <f aca="false">(AN379/Q379)*100</f>
        <v>2.13850213850214</v>
      </c>
      <c r="AP379" s="9" t="s">
        <v>63</v>
      </c>
      <c r="AQ379" s="9" t="s">
        <v>63</v>
      </c>
      <c r="AR379" s="9" t="s">
        <v>63</v>
      </c>
      <c r="AS379" s="9" t="n">
        <v>3595</v>
      </c>
      <c r="AT379" s="10" t="n">
        <f aca="false">(AS379/Q379)*100</f>
        <v>1.92438427732545</v>
      </c>
    </row>
    <row r="380" customFormat="false" ht="12.8" hidden="false" customHeight="true" outlineLevel="0" collapsed="false">
      <c r="A380" s="33" t="n">
        <v>2016</v>
      </c>
      <c r="B380" s="8" t="n">
        <v>136</v>
      </c>
      <c r="C380" s="9" t="s">
        <v>890</v>
      </c>
      <c r="D380" s="9" t="s">
        <v>880</v>
      </c>
      <c r="E380" s="9" t="s">
        <v>586</v>
      </c>
      <c r="F380" s="9" t="s">
        <v>645</v>
      </c>
      <c r="G380" s="9" t="s">
        <v>50</v>
      </c>
      <c r="H380" s="9" t="s">
        <v>65</v>
      </c>
      <c r="I380" s="9" t="s">
        <v>51</v>
      </c>
      <c r="J380" s="9" t="s">
        <v>51</v>
      </c>
      <c r="K380" s="9" t="s">
        <v>51</v>
      </c>
      <c r="L380" s="9" t="s">
        <v>51</v>
      </c>
      <c r="M380" s="9" t="s">
        <v>51</v>
      </c>
      <c r="N380" s="9" t="s">
        <v>51</v>
      </c>
      <c r="O380" s="9" t="s">
        <v>51</v>
      </c>
      <c r="P380" s="9" t="n">
        <v>203049</v>
      </c>
      <c r="Q380" s="9" t="n">
        <v>168559</v>
      </c>
      <c r="R380" s="10" t="n">
        <f aca="false">(Q380/P380)*100</f>
        <v>83.0139522972287</v>
      </c>
      <c r="S380" s="9" t="n">
        <f aca="false">Y380-AD380</f>
        <v>35301</v>
      </c>
      <c r="T380" s="10" t="n">
        <f aca="false">(S380/Q380)*100</f>
        <v>20.9428152753635</v>
      </c>
      <c r="U380" s="10" t="n">
        <f aca="false">Z380+AE380</f>
        <v>78.6982599564544</v>
      </c>
      <c r="V380" s="9" t="s">
        <v>55</v>
      </c>
      <c r="W380" s="9" t="s">
        <v>68</v>
      </c>
      <c r="X380" s="9" t="s">
        <v>2057</v>
      </c>
      <c r="Y380" s="9" t="n">
        <v>83977</v>
      </c>
      <c r="Z380" s="10" t="n">
        <f aca="false">(Y380/Q380)*100</f>
        <v>49.820537615909</v>
      </c>
      <c r="AA380" s="9" t="s">
        <v>52</v>
      </c>
      <c r="AB380" s="9" t="s">
        <v>1059</v>
      </c>
      <c r="AC380" s="9" t="s">
        <v>2058</v>
      </c>
      <c r="AD380" s="9" t="n">
        <v>48676</v>
      </c>
      <c r="AE380" s="10" t="n">
        <f aca="false">(AD380/Q380)*100</f>
        <v>28.8777223405454</v>
      </c>
      <c r="AF380" s="9" t="s">
        <v>1429</v>
      </c>
      <c r="AG380" s="9" t="s">
        <v>1338</v>
      </c>
      <c r="AH380" s="9" t="s">
        <v>2059</v>
      </c>
      <c r="AI380" s="9" t="n">
        <v>10043</v>
      </c>
      <c r="AJ380" s="10" t="n">
        <f aca="false">(AI380/Q380)*100</f>
        <v>5.95815115182221</v>
      </c>
      <c r="AK380" s="9" t="s">
        <v>1431</v>
      </c>
      <c r="AL380" s="9" t="s">
        <v>171</v>
      </c>
      <c r="AM380" s="9" t="s">
        <v>2060</v>
      </c>
      <c r="AN380" s="9" t="n">
        <v>5673</v>
      </c>
      <c r="AO380" s="10" t="n">
        <f aca="false">(AN380/Q380)*100</f>
        <v>3.36558712379642</v>
      </c>
      <c r="AP380" s="9" t="s">
        <v>197</v>
      </c>
      <c r="AQ380" s="9" t="s">
        <v>197</v>
      </c>
      <c r="AR380" s="9" t="s">
        <v>2061</v>
      </c>
      <c r="AS380" s="9" t="n">
        <v>5153</v>
      </c>
      <c r="AT380" s="10" t="n">
        <f aca="false">(AS380/Q380)*100</f>
        <v>3.05708980238374</v>
      </c>
    </row>
    <row r="381" customFormat="false" ht="12.8" hidden="false" customHeight="true" outlineLevel="0" collapsed="false">
      <c r="A381" s="33" t="n">
        <v>2016</v>
      </c>
      <c r="B381" s="8" t="n">
        <v>137</v>
      </c>
      <c r="C381" s="9" t="s">
        <v>896</v>
      </c>
      <c r="D381" s="9" t="s">
        <v>880</v>
      </c>
      <c r="E381" s="9" t="s">
        <v>586</v>
      </c>
      <c r="F381" s="9" t="s">
        <v>645</v>
      </c>
      <c r="G381" s="9" t="s">
        <v>77</v>
      </c>
      <c r="H381" s="9" t="s">
        <v>51</v>
      </c>
      <c r="I381" s="9" t="s">
        <v>51</v>
      </c>
      <c r="J381" s="9" t="s">
        <v>51</v>
      </c>
      <c r="K381" s="9" t="s">
        <v>51</v>
      </c>
      <c r="L381" s="9" t="s">
        <v>68</v>
      </c>
      <c r="M381" s="9" t="s">
        <v>51</v>
      </c>
      <c r="N381" s="9" t="s">
        <v>51</v>
      </c>
      <c r="O381" s="9" t="s">
        <v>51</v>
      </c>
      <c r="P381" s="9" t="n">
        <v>208870</v>
      </c>
      <c r="Q381" s="9" t="n">
        <v>184076</v>
      </c>
      <c r="R381" s="10" t="n">
        <f aca="false">(Q381/P381)*100</f>
        <v>88.1294585148657</v>
      </c>
      <c r="S381" s="9" t="n">
        <f aca="false">Y381-AD381</f>
        <v>11896</v>
      </c>
      <c r="T381" s="10" t="n">
        <f aca="false">(S381/Q381)*100</f>
        <v>6.4625480779678</v>
      </c>
      <c r="U381" s="10" t="n">
        <f aca="false">Z381+AE381</f>
        <v>91.2394880375497</v>
      </c>
      <c r="V381" s="9" t="s">
        <v>52</v>
      </c>
      <c r="W381" s="9" t="s">
        <v>53</v>
      </c>
      <c r="X381" s="9" t="s">
        <v>2062</v>
      </c>
      <c r="Y381" s="9" t="n">
        <v>89923</v>
      </c>
      <c r="Z381" s="10" t="n">
        <f aca="false">(Y381/Q381)*100</f>
        <v>48.8510180577588</v>
      </c>
      <c r="AA381" s="9" t="s">
        <v>55</v>
      </c>
      <c r="AB381" s="9" t="s">
        <v>68</v>
      </c>
      <c r="AC381" s="9" t="s">
        <v>2063</v>
      </c>
      <c r="AD381" s="9" t="n">
        <v>78027</v>
      </c>
      <c r="AE381" s="10" t="n">
        <f aca="false">(AD381/Q381)*100</f>
        <v>42.388469979791</v>
      </c>
      <c r="AF381" s="9" t="s">
        <v>1429</v>
      </c>
      <c r="AG381" s="9" t="s">
        <v>61</v>
      </c>
      <c r="AH381" s="9" t="s">
        <v>2064</v>
      </c>
      <c r="AI381" s="9" t="n">
        <v>6726</v>
      </c>
      <c r="AJ381" s="10" t="n">
        <f aca="false">(AI381/Q381)*100</f>
        <v>3.65392555248919</v>
      </c>
      <c r="AK381" s="9" t="s">
        <v>63</v>
      </c>
      <c r="AL381" s="9" t="s">
        <v>63</v>
      </c>
      <c r="AM381" s="9" t="s">
        <v>63</v>
      </c>
      <c r="AN381" s="9" t="n">
        <v>1906</v>
      </c>
      <c r="AO381" s="10" t="n">
        <f aca="false">(AN381/Q381)*100</f>
        <v>1.03544188270062</v>
      </c>
      <c r="AP381" s="9" t="s">
        <v>58</v>
      </c>
      <c r="AQ381" s="9" t="s">
        <v>58</v>
      </c>
      <c r="AR381" s="9" t="s">
        <v>899</v>
      </c>
      <c r="AS381" s="9" t="n">
        <v>1643</v>
      </c>
      <c r="AT381" s="10" t="n">
        <f aca="false">(AS381/Q381)*100</f>
        <v>0.892566113996393</v>
      </c>
    </row>
    <row r="382" customFormat="false" ht="12.8" hidden="false" customHeight="true" outlineLevel="0" collapsed="false">
      <c r="A382" s="33" t="n">
        <v>2016</v>
      </c>
      <c r="B382" s="8" t="n">
        <v>138</v>
      </c>
      <c r="C382" s="9" t="s">
        <v>901</v>
      </c>
      <c r="D382" s="9" t="s">
        <v>902</v>
      </c>
      <c r="E382" s="9" t="s">
        <v>903</v>
      </c>
      <c r="F382" s="9" t="s">
        <v>904</v>
      </c>
      <c r="G382" s="9" t="s">
        <v>77</v>
      </c>
      <c r="H382" s="9" t="s">
        <v>51</v>
      </c>
      <c r="I382" s="9" t="s">
        <v>51</v>
      </c>
      <c r="J382" s="9" t="s">
        <v>51</v>
      </c>
      <c r="K382" s="9" t="s">
        <v>51</v>
      </c>
      <c r="L382" s="9" t="s">
        <v>51</v>
      </c>
      <c r="M382" s="9" t="s">
        <v>51</v>
      </c>
      <c r="N382" s="9" t="s">
        <v>51</v>
      </c>
      <c r="O382" s="9" t="s">
        <v>51</v>
      </c>
      <c r="P382" s="9" t="n">
        <v>262415</v>
      </c>
      <c r="Q382" s="9" t="n">
        <v>205956</v>
      </c>
      <c r="R382" s="10" t="n">
        <f aca="false">(Q382/P382)*100</f>
        <v>78.4848427109731</v>
      </c>
      <c r="S382" s="9" t="n">
        <f aca="false">Y382-AD382</f>
        <v>18277</v>
      </c>
      <c r="T382" s="10" t="n">
        <f aca="false">(S382/Q382)*100</f>
        <v>8.87422556274156</v>
      </c>
      <c r="U382" s="10" t="n">
        <f aca="false">Z382+AE382</f>
        <v>79.8816252014994</v>
      </c>
      <c r="V382" s="9" t="s">
        <v>55</v>
      </c>
      <c r="W382" s="26" t="s">
        <v>68</v>
      </c>
      <c r="X382" s="9" t="s">
        <v>2065</v>
      </c>
      <c r="Y382" s="9" t="n">
        <v>91399</v>
      </c>
      <c r="Z382" s="10" t="n">
        <f aca="false">(Y382/Q382)*100</f>
        <v>44.3779253821205</v>
      </c>
      <c r="AA382" s="9" t="s">
        <v>52</v>
      </c>
      <c r="AB382" s="9" t="s">
        <v>342</v>
      </c>
      <c r="AC382" s="9" t="s">
        <v>2066</v>
      </c>
      <c r="AD382" s="9" t="n">
        <v>73122</v>
      </c>
      <c r="AE382" s="10" t="n">
        <f aca="false">(AD382/Q382)*100</f>
        <v>35.5036998193789</v>
      </c>
      <c r="AF382" s="9" t="s">
        <v>1429</v>
      </c>
      <c r="AG382" s="9" t="s">
        <v>61</v>
      </c>
      <c r="AH382" s="9" t="s">
        <v>2067</v>
      </c>
      <c r="AI382" s="9" t="n">
        <v>26316</v>
      </c>
      <c r="AJ382" s="10" t="n">
        <f aca="false">(AI382/Q382)*100</f>
        <v>12.7774864534172</v>
      </c>
      <c r="AK382" s="9" t="s">
        <v>1431</v>
      </c>
      <c r="AL382" s="9" t="s">
        <v>171</v>
      </c>
      <c r="AM382" s="9" t="s">
        <v>2068</v>
      </c>
      <c r="AN382" s="9" t="n">
        <v>4154</v>
      </c>
      <c r="AO382" s="10" t="n">
        <f aca="false">(AN382/Q382)*100</f>
        <v>2.01693565615957</v>
      </c>
      <c r="AP382" s="9" t="s">
        <v>63</v>
      </c>
      <c r="AQ382" s="9" t="s">
        <v>63</v>
      </c>
      <c r="AR382" s="9" t="s">
        <v>63</v>
      </c>
      <c r="AS382" s="9" t="n">
        <v>3364</v>
      </c>
      <c r="AT382" s="10" t="n">
        <f aca="false">(AS382/Q382)*100</f>
        <v>1.63335858144458</v>
      </c>
    </row>
    <row r="383" customFormat="false" ht="12.8" hidden="false" customHeight="true" outlineLevel="0" collapsed="false">
      <c r="A383" s="33" t="n">
        <v>2016</v>
      </c>
      <c r="B383" s="8" t="n">
        <v>139</v>
      </c>
      <c r="C383" s="9" t="s">
        <v>911</v>
      </c>
      <c r="D383" s="9" t="s">
        <v>902</v>
      </c>
      <c r="E383" s="9" t="s">
        <v>903</v>
      </c>
      <c r="F383" s="9" t="s">
        <v>904</v>
      </c>
      <c r="G383" s="9" t="s">
        <v>50</v>
      </c>
      <c r="H383" s="9" t="s">
        <v>51</v>
      </c>
      <c r="I383" s="9" t="s">
        <v>526</v>
      </c>
      <c r="J383" s="9" t="s">
        <v>51</v>
      </c>
      <c r="K383" s="9" t="s">
        <v>51</v>
      </c>
      <c r="L383" s="9" t="s">
        <v>68</v>
      </c>
      <c r="M383" s="9" t="s">
        <v>51</v>
      </c>
      <c r="N383" s="9" t="s">
        <v>68</v>
      </c>
      <c r="O383" s="9" t="s">
        <v>126</v>
      </c>
      <c r="P383" s="9" t="n">
        <v>283355</v>
      </c>
      <c r="Q383" s="9" t="n">
        <v>225389</v>
      </c>
      <c r="R383" s="10" t="n">
        <f aca="false">(Q383/P383)*100</f>
        <v>79.5429761253551</v>
      </c>
      <c r="S383" s="9" t="n">
        <f aca="false">Y383-AD383</f>
        <v>14409</v>
      </c>
      <c r="T383" s="10" t="n">
        <f aca="false">(S383/Q383)*100</f>
        <v>6.3929473044381</v>
      </c>
      <c r="U383" s="10" t="n">
        <f aca="false">Z383+AE383</f>
        <v>89.7963077168806</v>
      </c>
      <c r="V383" s="9" t="s">
        <v>55</v>
      </c>
      <c r="W383" s="9" t="s">
        <v>68</v>
      </c>
      <c r="X383" s="9" t="s">
        <v>2069</v>
      </c>
      <c r="Y383" s="9" t="n">
        <v>108400</v>
      </c>
      <c r="Z383" s="10" t="n">
        <f aca="false">(Y383/Q383)*100</f>
        <v>48.0946275106594</v>
      </c>
      <c r="AA383" s="9" t="s">
        <v>52</v>
      </c>
      <c r="AB383" s="9" t="s">
        <v>53</v>
      </c>
      <c r="AC383" s="9" t="s">
        <v>2070</v>
      </c>
      <c r="AD383" s="9" t="n">
        <v>93991</v>
      </c>
      <c r="AE383" s="10" t="n">
        <f aca="false">(AD383/Q383)*100</f>
        <v>41.7016802062212</v>
      </c>
      <c r="AF383" s="9" t="s">
        <v>1431</v>
      </c>
      <c r="AG383" s="9" t="s">
        <v>171</v>
      </c>
      <c r="AH383" s="9" t="s">
        <v>2071</v>
      </c>
      <c r="AI383" s="9" t="n">
        <v>5988</v>
      </c>
      <c r="AJ383" s="10" t="n">
        <f aca="false">(AI383/Q383)*100</f>
        <v>2.65674012485081</v>
      </c>
      <c r="AK383" s="9" t="s">
        <v>1429</v>
      </c>
      <c r="AL383" s="9" t="s">
        <v>392</v>
      </c>
      <c r="AM383" s="9" t="s">
        <v>2072</v>
      </c>
      <c r="AN383" s="9" t="n">
        <v>5646</v>
      </c>
      <c r="AO383" s="10" t="n">
        <f aca="false">(AN383/Q383)*100</f>
        <v>2.50500246240943</v>
      </c>
      <c r="AP383" s="9" t="s">
        <v>63</v>
      </c>
      <c r="AQ383" s="9" t="s">
        <v>63</v>
      </c>
      <c r="AR383" s="9" t="s">
        <v>63</v>
      </c>
      <c r="AS383" s="9" t="n">
        <v>4110</v>
      </c>
      <c r="AT383" s="10" t="n">
        <f aca="false">(AS383/Q383)*100</f>
        <v>1.82351401354991</v>
      </c>
    </row>
    <row r="384" customFormat="false" ht="12.8" hidden="false" customHeight="true" outlineLevel="0" collapsed="false">
      <c r="A384" s="33" t="n">
        <v>2016</v>
      </c>
      <c r="B384" s="8" t="n">
        <v>140</v>
      </c>
      <c r="C384" s="9" t="s">
        <v>917</v>
      </c>
      <c r="D384" s="9" t="s">
        <v>902</v>
      </c>
      <c r="E384" s="9" t="s">
        <v>903</v>
      </c>
      <c r="F384" s="9" t="s">
        <v>904</v>
      </c>
      <c r="G384" s="9" t="s">
        <v>88</v>
      </c>
      <c r="H384" s="9" t="s">
        <v>51</v>
      </c>
      <c r="I384" s="9" t="s">
        <v>51</v>
      </c>
      <c r="J384" s="9" t="s">
        <v>51</v>
      </c>
      <c r="K384" s="9" t="s">
        <v>51</v>
      </c>
      <c r="L384" s="9" t="s">
        <v>51</v>
      </c>
      <c r="M384" s="9" t="s">
        <v>51</v>
      </c>
      <c r="N384" s="9" t="s">
        <v>51</v>
      </c>
      <c r="O384" s="9" t="s">
        <v>51</v>
      </c>
      <c r="P384" s="9" t="n">
        <v>254751</v>
      </c>
      <c r="Q384" s="9" t="n">
        <v>179423</v>
      </c>
      <c r="R384" s="10" t="n">
        <f aca="false">(Q384/P384)*100</f>
        <v>70.4307343248898</v>
      </c>
      <c r="S384" s="9" t="n">
        <f aca="false">Y384-AD384</f>
        <v>28415</v>
      </c>
      <c r="T384" s="10" t="n">
        <f aca="false">(S384/Q384)*100</f>
        <v>15.8368771004832</v>
      </c>
      <c r="U384" s="10" t="n">
        <f aca="false">Z384+AE384</f>
        <v>86.7686974356688</v>
      </c>
      <c r="V384" s="9" t="s">
        <v>52</v>
      </c>
      <c r="W384" s="9" t="s">
        <v>53</v>
      </c>
      <c r="X384" s="9" t="s">
        <v>2073</v>
      </c>
      <c r="Y384" s="9" t="n">
        <v>92049</v>
      </c>
      <c r="Z384" s="10" t="n">
        <f aca="false">(Y384/Q384)*100</f>
        <v>51.302787268076</v>
      </c>
      <c r="AA384" s="9" t="s">
        <v>55</v>
      </c>
      <c r="AB384" s="9" t="s">
        <v>68</v>
      </c>
      <c r="AC384" s="9" t="s">
        <v>2074</v>
      </c>
      <c r="AD384" s="9" t="n">
        <v>63634</v>
      </c>
      <c r="AE384" s="10" t="n">
        <f aca="false">(AD384/Q384)*100</f>
        <v>35.4659101675928</v>
      </c>
      <c r="AF384" s="9" t="s">
        <v>1429</v>
      </c>
      <c r="AG384" s="9" t="s">
        <v>61</v>
      </c>
      <c r="AH384" s="9" t="s">
        <v>2075</v>
      </c>
      <c r="AI384" s="9" t="n">
        <v>11469</v>
      </c>
      <c r="AJ384" s="10" t="n">
        <f aca="false">(AI384/Q384)*100</f>
        <v>6.39215708131065</v>
      </c>
      <c r="AK384" s="9" t="s">
        <v>63</v>
      </c>
      <c r="AL384" s="9" t="s">
        <v>63</v>
      </c>
      <c r="AM384" s="9" t="s">
        <v>63</v>
      </c>
      <c r="AN384" s="9" t="n">
        <v>4100</v>
      </c>
      <c r="AO384" s="10" t="n">
        <f aca="false">(AN384/Q384)*100</f>
        <v>2.28510280175897</v>
      </c>
      <c r="AP384" s="9" t="s">
        <v>58</v>
      </c>
      <c r="AQ384" s="27" t="s">
        <v>58</v>
      </c>
      <c r="AR384" s="9" t="s">
        <v>2076</v>
      </c>
      <c r="AS384" s="9" t="n">
        <v>3080</v>
      </c>
      <c r="AT384" s="10" t="n">
        <f aca="false">(AS384/Q384)*100</f>
        <v>1.71661381205308</v>
      </c>
    </row>
    <row r="385" customFormat="false" ht="12.8" hidden="false" customHeight="true" outlineLevel="0" collapsed="false">
      <c r="A385" s="33" t="n">
        <v>2016</v>
      </c>
      <c r="B385" s="8" t="n">
        <v>141</v>
      </c>
      <c r="C385" s="9" t="s">
        <v>923</v>
      </c>
      <c r="D385" s="9" t="s">
        <v>902</v>
      </c>
      <c r="E385" s="9" t="s">
        <v>903</v>
      </c>
      <c r="F385" s="9" t="s">
        <v>904</v>
      </c>
      <c r="G385" s="9" t="s">
        <v>88</v>
      </c>
      <c r="H385" s="9" t="s">
        <v>51</v>
      </c>
      <c r="I385" s="9" t="s">
        <v>526</v>
      </c>
      <c r="J385" s="9" t="s">
        <v>51</v>
      </c>
      <c r="K385" s="9" t="s">
        <v>51</v>
      </c>
      <c r="L385" s="9" t="s">
        <v>51</v>
      </c>
      <c r="M385" s="9" t="s">
        <v>51</v>
      </c>
      <c r="N385" s="9" t="s">
        <v>53</v>
      </c>
      <c r="O385" s="9" t="s">
        <v>51</v>
      </c>
      <c r="P385" s="9" t="n">
        <v>242482</v>
      </c>
      <c r="Q385" s="9" t="n">
        <v>167072</v>
      </c>
      <c r="R385" s="10" t="n">
        <f aca="false">(Q385/P385)*100</f>
        <v>68.9007843881195</v>
      </c>
      <c r="S385" s="9" t="n">
        <f aca="false">Y385-AD385</f>
        <v>21894</v>
      </c>
      <c r="T385" s="10" t="n">
        <f aca="false">(S385/Q385)*100</f>
        <v>13.1045297835664</v>
      </c>
      <c r="U385" s="10" t="n">
        <f aca="false">Z385+AE385</f>
        <v>82.5883451446083</v>
      </c>
      <c r="V385" s="9" t="s">
        <v>55</v>
      </c>
      <c r="W385" s="9" t="s">
        <v>68</v>
      </c>
      <c r="X385" s="9" t="s">
        <v>2077</v>
      </c>
      <c r="Y385" s="9" t="n">
        <v>79938</v>
      </c>
      <c r="Z385" s="10" t="n">
        <f aca="false">(Y385/Q385)*100</f>
        <v>47.8464374640873</v>
      </c>
      <c r="AA385" s="9" t="s">
        <v>52</v>
      </c>
      <c r="AB385" s="9" t="s">
        <v>66</v>
      </c>
      <c r="AC385" s="9" t="s">
        <v>2078</v>
      </c>
      <c r="AD385" s="9" t="n">
        <v>58044</v>
      </c>
      <c r="AE385" s="10" t="n">
        <f aca="false">(AD385/Q385)*100</f>
        <v>34.741907680521</v>
      </c>
      <c r="AF385" s="9" t="s">
        <v>1429</v>
      </c>
      <c r="AG385" s="9" t="s">
        <v>271</v>
      </c>
      <c r="AH385" s="9" t="s">
        <v>2079</v>
      </c>
      <c r="AI385" s="9" t="n">
        <v>9694</v>
      </c>
      <c r="AJ385" s="10" t="n">
        <f aca="false">(AI385/Q385)*100</f>
        <v>5.80228883355679</v>
      </c>
      <c r="AK385" s="9" t="s">
        <v>1431</v>
      </c>
      <c r="AL385" s="9" t="s">
        <v>171</v>
      </c>
      <c r="AM385" s="9" t="s">
        <v>2080</v>
      </c>
      <c r="AN385" s="9" t="n">
        <v>7210</v>
      </c>
      <c r="AO385" s="10" t="n">
        <f aca="false">(AN385/Q385)*100</f>
        <v>4.31550469258763</v>
      </c>
      <c r="AP385" s="9" t="s">
        <v>63</v>
      </c>
      <c r="AQ385" s="9" t="s">
        <v>63</v>
      </c>
      <c r="AR385" s="9" t="s">
        <v>63</v>
      </c>
      <c r="AS385" s="9" t="n">
        <v>4329</v>
      </c>
      <c r="AT385" s="10" t="n">
        <f aca="false">(AS385/Q385)*100</f>
        <v>2.59109844857307</v>
      </c>
    </row>
    <row r="386" customFormat="false" ht="12.8" hidden="false" customHeight="true" outlineLevel="0" collapsed="false">
      <c r="A386" s="33" t="n">
        <v>2016</v>
      </c>
      <c r="B386" s="8" t="n">
        <v>142</v>
      </c>
      <c r="C386" s="9" t="s">
        <v>929</v>
      </c>
      <c r="D386" s="9" t="s">
        <v>902</v>
      </c>
      <c r="E386" s="9" t="s">
        <v>903</v>
      </c>
      <c r="F386" s="9" t="s">
        <v>904</v>
      </c>
      <c r="G386" s="9" t="s">
        <v>77</v>
      </c>
      <c r="H386" s="9" t="s">
        <v>51</v>
      </c>
      <c r="I386" s="9" t="s">
        <v>526</v>
      </c>
      <c r="J386" s="9" t="s">
        <v>51</v>
      </c>
      <c r="K386" s="9" t="s">
        <v>51</v>
      </c>
      <c r="L386" s="9" t="s">
        <v>51</v>
      </c>
      <c r="M386" s="9" t="s">
        <v>51</v>
      </c>
      <c r="N386" s="9" t="s">
        <v>51</v>
      </c>
      <c r="O386" s="9" t="s">
        <v>51</v>
      </c>
      <c r="P386" s="9" t="n">
        <v>267001</v>
      </c>
      <c r="Q386" s="9" t="n">
        <v>182968</v>
      </c>
      <c r="R386" s="10" t="n">
        <f aca="false">(Q386/P386)*100</f>
        <v>68.5270841682241</v>
      </c>
      <c r="S386" s="9" t="n">
        <f aca="false">Y386-AD386</f>
        <v>16695</v>
      </c>
      <c r="T386" s="10" t="n">
        <f aca="false">(S386/Q386)*100</f>
        <v>9.12454636876394</v>
      </c>
      <c r="U386" s="10" t="n">
        <f aca="false">Z386+AE386</f>
        <v>84.826308425517</v>
      </c>
      <c r="V386" s="9" t="s">
        <v>52</v>
      </c>
      <c r="W386" s="9" t="s">
        <v>53</v>
      </c>
      <c r="X386" s="9" t="s">
        <v>930</v>
      </c>
      <c r="Y386" s="9" t="n">
        <v>85950</v>
      </c>
      <c r="Z386" s="10" t="n">
        <f aca="false">(Y386/Q386)*100</f>
        <v>46.9754273971405</v>
      </c>
      <c r="AA386" s="9" t="s">
        <v>55</v>
      </c>
      <c r="AB386" s="9" t="s">
        <v>68</v>
      </c>
      <c r="AC386" s="9" t="s">
        <v>2081</v>
      </c>
      <c r="AD386" s="9" t="n">
        <v>69255</v>
      </c>
      <c r="AE386" s="10" t="n">
        <f aca="false">(AD386/Q386)*100</f>
        <v>37.8508810283766</v>
      </c>
      <c r="AF386" s="9" t="s">
        <v>1429</v>
      </c>
      <c r="AG386" s="9" t="s">
        <v>61</v>
      </c>
      <c r="AH386" s="9" t="s">
        <v>2082</v>
      </c>
      <c r="AI386" s="9" t="n">
        <v>13155</v>
      </c>
      <c r="AJ386" s="10" t="n">
        <f aca="false">(AI386/Q386)*100</f>
        <v>7.18978181977176</v>
      </c>
      <c r="AK386" s="9" t="s">
        <v>58</v>
      </c>
      <c r="AL386" s="9" t="s">
        <v>58</v>
      </c>
      <c r="AM386" s="9" t="s">
        <v>2083</v>
      </c>
      <c r="AN386" s="9" t="n">
        <v>3353</v>
      </c>
      <c r="AO386" s="10" t="n">
        <f aca="false">(AN386/Q386)*100</f>
        <v>1.83256088496349</v>
      </c>
      <c r="AP386" s="9" t="s">
        <v>1431</v>
      </c>
      <c r="AQ386" s="9" t="s">
        <v>171</v>
      </c>
      <c r="AR386" s="9" t="s">
        <v>2084</v>
      </c>
      <c r="AS386" s="9" t="n">
        <v>3144</v>
      </c>
      <c r="AT386" s="10" t="n">
        <f aca="false">(AS386/Q386)*100</f>
        <v>1.71833326046085</v>
      </c>
    </row>
    <row r="387" customFormat="false" ht="12.8" hidden="false" customHeight="true" outlineLevel="0" collapsed="false">
      <c r="A387" s="33" t="n">
        <v>2016</v>
      </c>
      <c r="B387" s="8" t="n">
        <v>143</v>
      </c>
      <c r="C387" s="9" t="s">
        <v>935</v>
      </c>
      <c r="D387" s="9" t="s">
        <v>902</v>
      </c>
      <c r="E387" s="9" t="s">
        <v>903</v>
      </c>
      <c r="F387" s="9" t="s">
        <v>904</v>
      </c>
      <c r="G387" s="9" t="s">
        <v>50</v>
      </c>
      <c r="H387" s="9" t="s">
        <v>51</v>
      </c>
      <c r="I387" s="9" t="s">
        <v>51</v>
      </c>
      <c r="J387" s="9" t="s">
        <v>51</v>
      </c>
      <c r="K387" s="9" t="s">
        <v>53</v>
      </c>
      <c r="L387" s="9" t="s">
        <v>51</v>
      </c>
      <c r="M387" s="9" t="s">
        <v>53</v>
      </c>
      <c r="N387" s="9" t="s">
        <v>51</v>
      </c>
      <c r="O387" s="9" t="s">
        <v>51</v>
      </c>
      <c r="P387" s="9" t="n">
        <v>203917</v>
      </c>
      <c r="Q387" s="9" t="n">
        <v>166554</v>
      </c>
      <c r="R387" s="10" t="n">
        <f aca="false">(Q387/P387)*100</f>
        <v>81.6773491175331</v>
      </c>
      <c r="S387" s="9" t="n">
        <f aca="false">Y387-AD387</f>
        <v>3837</v>
      </c>
      <c r="T387" s="10" t="n">
        <f aca="false">(S387/Q387)*100</f>
        <v>2.30375733996181</v>
      </c>
      <c r="U387" s="10" t="n">
        <f aca="false">Z387+AE387</f>
        <v>91.2947152274938</v>
      </c>
      <c r="V387" s="9" t="s">
        <v>52</v>
      </c>
      <c r="W387" s="9" t="s">
        <v>53</v>
      </c>
      <c r="X387" s="9" t="s">
        <v>2085</v>
      </c>
      <c r="Y387" s="9" t="n">
        <v>77946</v>
      </c>
      <c r="Z387" s="10" t="n">
        <f aca="false">(Y387/Q387)*100</f>
        <v>46.7992362837278</v>
      </c>
      <c r="AA387" s="9" t="s">
        <v>55</v>
      </c>
      <c r="AB387" s="9" t="s">
        <v>68</v>
      </c>
      <c r="AC387" s="9" t="s">
        <v>2086</v>
      </c>
      <c r="AD387" s="9" t="n">
        <v>74109</v>
      </c>
      <c r="AE387" s="10" t="n">
        <f aca="false">(AD387/Q387)*100</f>
        <v>44.495478943766</v>
      </c>
      <c r="AF387" s="9" t="s">
        <v>1429</v>
      </c>
      <c r="AG387" s="9" t="s">
        <v>422</v>
      </c>
      <c r="AH387" s="9" t="s">
        <v>2087</v>
      </c>
      <c r="AI387" s="9" t="n">
        <v>6784</v>
      </c>
      <c r="AJ387" s="10" t="n">
        <f aca="false">(AI387/Q387)*100</f>
        <v>4.07315345173337</v>
      </c>
      <c r="AK387" s="9" t="s">
        <v>63</v>
      </c>
      <c r="AL387" s="9" t="s">
        <v>63</v>
      </c>
      <c r="AM387" s="9" t="s">
        <v>63</v>
      </c>
      <c r="AN387" s="9" t="n">
        <v>1953</v>
      </c>
      <c r="AO387" s="10" t="n">
        <f aca="false">(AN387/Q387)*100</f>
        <v>1.17259267264671</v>
      </c>
      <c r="AP387" s="9" t="s">
        <v>58</v>
      </c>
      <c r="AQ387" s="9" t="s">
        <v>58</v>
      </c>
      <c r="AR387" s="9" t="s">
        <v>2088</v>
      </c>
      <c r="AS387" s="9" t="n">
        <v>1521</v>
      </c>
      <c r="AT387" s="10" t="n">
        <f aca="false">(AS387/Q387)*100</f>
        <v>0.913217334918405</v>
      </c>
    </row>
    <row r="388" customFormat="false" ht="12.8" hidden="false" customHeight="true" outlineLevel="0" collapsed="false">
      <c r="A388" s="33" t="n">
        <v>2016</v>
      </c>
      <c r="B388" s="8" t="n">
        <v>144</v>
      </c>
      <c r="C388" s="9" t="s">
        <v>940</v>
      </c>
      <c r="D388" s="9" t="s">
        <v>902</v>
      </c>
      <c r="E388" s="9" t="s">
        <v>903</v>
      </c>
      <c r="F388" s="9" t="s">
        <v>904</v>
      </c>
      <c r="G388" s="9" t="s">
        <v>50</v>
      </c>
      <c r="H388" s="9" t="s">
        <v>51</v>
      </c>
      <c r="I388" s="9" t="s">
        <v>51</v>
      </c>
      <c r="J388" s="9" t="s">
        <v>51</v>
      </c>
      <c r="K388" s="9" t="s">
        <v>51</v>
      </c>
      <c r="L388" s="9" t="s">
        <v>51</v>
      </c>
      <c r="M388" s="9" t="s">
        <v>51</v>
      </c>
      <c r="N388" s="9" t="s">
        <v>51</v>
      </c>
      <c r="O388" s="9" t="s">
        <v>51</v>
      </c>
      <c r="P388" s="9" t="n">
        <v>219337</v>
      </c>
      <c r="Q388" s="9" t="n">
        <v>179968</v>
      </c>
      <c r="R388" s="10" t="n">
        <f aca="false">(Q388/P388)*100</f>
        <v>82.0509079635447</v>
      </c>
      <c r="S388" s="9" t="n">
        <f aca="false">Y388-AD388</f>
        <v>7522</v>
      </c>
      <c r="T388" s="10" t="n">
        <f aca="false">(S388/Q388)*100</f>
        <v>4.17963193456615</v>
      </c>
      <c r="U388" s="10" t="n">
        <f aca="false">Z388+AE388</f>
        <v>88.1512268847795</v>
      </c>
      <c r="V388" s="9" t="s">
        <v>55</v>
      </c>
      <c r="W388" s="9" t="s">
        <v>68</v>
      </c>
      <c r="X388" s="9" t="s">
        <v>2089</v>
      </c>
      <c r="Y388" s="9" t="n">
        <v>83083</v>
      </c>
      <c r="Z388" s="10" t="n">
        <f aca="false">(Y388/Q388)*100</f>
        <v>46.1654294096728</v>
      </c>
      <c r="AA388" s="9" t="s">
        <v>52</v>
      </c>
      <c r="AB388" s="9" t="s">
        <v>53</v>
      </c>
      <c r="AC388" s="9" t="s">
        <v>2090</v>
      </c>
      <c r="AD388" s="9" t="n">
        <v>75561</v>
      </c>
      <c r="AE388" s="10" t="n">
        <f aca="false">(AD388/Q388)*100</f>
        <v>41.9857974751067</v>
      </c>
      <c r="AF388" s="9" t="s">
        <v>1429</v>
      </c>
      <c r="AG388" s="9" t="s">
        <v>61</v>
      </c>
      <c r="AH388" s="9" t="s">
        <v>2091</v>
      </c>
      <c r="AI388" s="9" t="n">
        <v>8193</v>
      </c>
      <c r="AJ388" s="10" t="n">
        <f aca="false">(AI388/Q388)*100</f>
        <v>4.55247599573258</v>
      </c>
      <c r="AK388" s="9" t="s">
        <v>1431</v>
      </c>
      <c r="AL388" s="9" t="s">
        <v>171</v>
      </c>
      <c r="AM388" s="9" t="s">
        <v>2092</v>
      </c>
      <c r="AN388" s="9" t="n">
        <v>3662</v>
      </c>
      <c r="AO388" s="10" t="n">
        <f aca="false">(AN388/Q388)*100</f>
        <v>2.03480618776671</v>
      </c>
      <c r="AP388" s="9" t="s">
        <v>63</v>
      </c>
      <c r="AQ388" s="9" t="s">
        <v>63</v>
      </c>
      <c r="AR388" s="9" t="s">
        <v>63</v>
      </c>
      <c r="AS388" s="9" t="n">
        <v>2274</v>
      </c>
      <c r="AT388" s="10" t="n">
        <f aca="false">(AS388/Q388)*100</f>
        <v>1.2635579658606</v>
      </c>
    </row>
    <row r="389" customFormat="false" ht="12.8" hidden="false" customHeight="true" outlineLevel="0" collapsed="false">
      <c r="A389" s="33" t="n">
        <v>2016</v>
      </c>
      <c r="B389" s="8" t="n">
        <v>145</v>
      </c>
      <c r="C389" s="9" t="s">
        <v>946</v>
      </c>
      <c r="D389" s="9" t="s">
        <v>902</v>
      </c>
      <c r="E389" s="9" t="s">
        <v>903</v>
      </c>
      <c r="F389" s="9" t="s">
        <v>904</v>
      </c>
      <c r="G389" s="9" t="s">
        <v>50</v>
      </c>
      <c r="H389" s="9" t="s">
        <v>51</v>
      </c>
      <c r="I389" s="9" t="s">
        <v>51</v>
      </c>
      <c r="J389" s="9" t="s">
        <v>51</v>
      </c>
      <c r="K389" s="9" t="s">
        <v>51</v>
      </c>
      <c r="L389" s="9" t="s">
        <v>51</v>
      </c>
      <c r="M389" s="9" t="s">
        <v>51</v>
      </c>
      <c r="N389" s="9" t="s">
        <v>68</v>
      </c>
      <c r="O389" s="9" t="s">
        <v>51</v>
      </c>
      <c r="P389" s="9" t="n">
        <v>212655</v>
      </c>
      <c r="Q389" s="9" t="n">
        <v>170909</v>
      </c>
      <c r="R389" s="10" t="n">
        <f aca="false">(Q389/P389)*100</f>
        <v>80.3691425078178</v>
      </c>
      <c r="S389" s="9" t="n">
        <f aca="false">Y389-AD389</f>
        <v>32087</v>
      </c>
      <c r="T389" s="10" t="n">
        <f aca="false">(S389/Q389)*100</f>
        <v>18.7743184969779</v>
      </c>
      <c r="U389" s="10" t="n">
        <f aca="false">Z389+AE389</f>
        <v>85.8404180002223</v>
      </c>
      <c r="V389" s="9" t="s">
        <v>55</v>
      </c>
      <c r="W389" s="9" t="s">
        <v>68</v>
      </c>
      <c r="X389" s="9" t="s">
        <v>2093</v>
      </c>
      <c r="Y389" s="9" t="n">
        <v>89398</v>
      </c>
      <c r="Z389" s="10" t="n">
        <f aca="false">(Y389/Q389)*100</f>
        <v>52.3073682486001</v>
      </c>
      <c r="AA389" s="9" t="s">
        <v>52</v>
      </c>
      <c r="AB389" s="9" t="s">
        <v>66</v>
      </c>
      <c r="AC389" s="9" t="s">
        <v>2094</v>
      </c>
      <c r="AD389" s="9" t="n">
        <v>57311</v>
      </c>
      <c r="AE389" s="10" t="n">
        <f aca="false">(AD389/Q389)*100</f>
        <v>33.5330497516222</v>
      </c>
      <c r="AF389" s="9" t="s">
        <v>1429</v>
      </c>
      <c r="AG389" s="9" t="s">
        <v>1338</v>
      </c>
      <c r="AH389" s="9" t="s">
        <v>2095</v>
      </c>
      <c r="AI389" s="9" t="n">
        <v>8581</v>
      </c>
      <c r="AJ389" s="10" t="n">
        <f aca="false">(AI389/Q389)*100</f>
        <v>5.02080054297901</v>
      </c>
      <c r="AK389" s="9" t="s">
        <v>63</v>
      </c>
      <c r="AL389" s="9" t="s">
        <v>63</v>
      </c>
      <c r="AM389" s="9" t="s">
        <v>63</v>
      </c>
      <c r="AN389" s="9" t="n">
        <v>2485</v>
      </c>
      <c r="AO389" s="10" t="n">
        <f aca="false">(AN389/Q389)*100</f>
        <v>1.45399013510114</v>
      </c>
      <c r="AP389" s="9" t="s">
        <v>58</v>
      </c>
      <c r="AQ389" s="9" t="s">
        <v>58</v>
      </c>
      <c r="AR389" s="9" t="s">
        <v>2096</v>
      </c>
      <c r="AS389" s="9" t="n">
        <v>2446</v>
      </c>
      <c r="AT389" s="10" t="n">
        <f aca="false">(AS389/Q389)*100</f>
        <v>1.43117097402711</v>
      </c>
    </row>
    <row r="390" customFormat="false" ht="12.8" hidden="false" customHeight="true" outlineLevel="0" collapsed="false">
      <c r="A390" s="33" t="n">
        <v>2016</v>
      </c>
      <c r="B390" s="8" t="n">
        <v>146</v>
      </c>
      <c r="C390" s="9" t="s">
        <v>952</v>
      </c>
      <c r="D390" s="9" t="s">
        <v>902</v>
      </c>
      <c r="E390" s="9" t="s">
        <v>903</v>
      </c>
      <c r="F390" s="9" t="s">
        <v>904</v>
      </c>
      <c r="G390" s="9" t="s">
        <v>77</v>
      </c>
      <c r="H390" s="9" t="s">
        <v>65</v>
      </c>
      <c r="I390" s="9" t="s">
        <v>526</v>
      </c>
      <c r="J390" s="9" t="s">
        <v>51</v>
      </c>
      <c r="K390" s="9" t="s">
        <v>51</v>
      </c>
      <c r="L390" s="9" t="s">
        <v>51</v>
      </c>
      <c r="M390" s="9" t="s">
        <v>51</v>
      </c>
      <c r="N390" s="9" t="s">
        <v>51</v>
      </c>
      <c r="O390" s="9" t="s">
        <v>51</v>
      </c>
      <c r="P390" s="9" t="n">
        <v>210463</v>
      </c>
      <c r="Q390" s="9" t="n">
        <v>169329</v>
      </c>
      <c r="R390" s="10" t="n">
        <f aca="false">(Q390/P390)*100</f>
        <v>80.455471983199</v>
      </c>
      <c r="S390" s="9" t="n">
        <f aca="false">Y390-AD390</f>
        <v>8068</v>
      </c>
      <c r="T390" s="10" t="n">
        <f aca="false">(S390/Q390)*100</f>
        <v>4.764688860148</v>
      </c>
      <c r="U390" s="10" t="n">
        <f aca="false">Z390+AE390</f>
        <v>91.4314736400735</v>
      </c>
      <c r="V390" s="9" t="s">
        <v>52</v>
      </c>
      <c r="W390" s="9" t="s">
        <v>53</v>
      </c>
      <c r="X390" s="9" t="s">
        <v>2097</v>
      </c>
      <c r="Y390" s="9" t="n">
        <v>81444</v>
      </c>
      <c r="Z390" s="10" t="n">
        <f aca="false">(Y390/Q390)*100</f>
        <v>48.0980812501107</v>
      </c>
      <c r="AA390" s="9" t="s">
        <v>55</v>
      </c>
      <c r="AB390" s="9" t="s">
        <v>68</v>
      </c>
      <c r="AC390" s="9" t="s">
        <v>2098</v>
      </c>
      <c r="AD390" s="9" t="n">
        <v>73376</v>
      </c>
      <c r="AE390" s="10" t="n">
        <f aca="false">(AD390/Q390)*100</f>
        <v>43.3333923899627</v>
      </c>
      <c r="AF390" s="9" t="s">
        <v>1429</v>
      </c>
      <c r="AG390" s="9" t="s">
        <v>257</v>
      </c>
      <c r="AH390" s="9" t="s">
        <v>2099</v>
      </c>
      <c r="AI390" s="9" t="n">
        <v>6281</v>
      </c>
      <c r="AJ390" s="10" t="n">
        <f aca="false">(AI390/Q390)*100</f>
        <v>3.70934689273544</v>
      </c>
      <c r="AK390" s="9" t="s">
        <v>63</v>
      </c>
      <c r="AL390" s="9" t="s">
        <v>63</v>
      </c>
      <c r="AM390" s="9" t="s">
        <v>63</v>
      </c>
      <c r="AN390" s="9" t="n">
        <v>2441</v>
      </c>
      <c r="AO390" s="10" t="n">
        <f aca="false">(AN390/Q390)*100</f>
        <v>1.4415723237012</v>
      </c>
      <c r="AP390" s="9" t="s">
        <v>58</v>
      </c>
      <c r="AQ390" s="9" t="s">
        <v>58</v>
      </c>
      <c r="AR390" s="9" t="s">
        <v>2100</v>
      </c>
      <c r="AS390" s="9" t="n">
        <v>1532</v>
      </c>
      <c r="AT390" s="10" t="n">
        <f aca="false">(AS390/Q390)*100</f>
        <v>0.904747562437621</v>
      </c>
    </row>
    <row r="391" customFormat="false" ht="12.8" hidden="false" customHeight="true" outlineLevel="0" collapsed="false">
      <c r="A391" s="33" t="n">
        <v>2016</v>
      </c>
      <c r="B391" s="8" t="n">
        <v>147</v>
      </c>
      <c r="C391" s="9" t="s">
        <v>958</v>
      </c>
      <c r="D391" s="9" t="s">
        <v>958</v>
      </c>
      <c r="E391" s="9" t="s">
        <v>903</v>
      </c>
      <c r="F391" s="9" t="s">
        <v>904</v>
      </c>
      <c r="G391" s="9" t="s">
        <v>77</v>
      </c>
      <c r="H391" s="9" t="s">
        <v>65</v>
      </c>
      <c r="I391" s="9" t="s">
        <v>51</v>
      </c>
      <c r="J391" s="9" t="s">
        <v>51</v>
      </c>
      <c r="K391" s="9" t="s">
        <v>51</v>
      </c>
      <c r="L391" s="9" t="s">
        <v>51</v>
      </c>
      <c r="M391" s="9" t="s">
        <v>51</v>
      </c>
      <c r="N391" s="9" t="s">
        <v>51</v>
      </c>
      <c r="O391" s="9" t="s">
        <v>51</v>
      </c>
      <c r="P391" s="9" t="n">
        <v>278485</v>
      </c>
      <c r="Q391" s="9" t="n">
        <v>223273</v>
      </c>
      <c r="R391" s="10" t="n">
        <f aca="false">(Q391/P391)*100</f>
        <v>80.1741565973033</v>
      </c>
      <c r="S391" s="9" t="n">
        <f aca="false">Y391-AD391</f>
        <v>6853</v>
      </c>
      <c r="T391" s="10" t="n">
        <f aca="false">(S391/Q391)*100</f>
        <v>3.06933664168977</v>
      </c>
      <c r="U391" s="10" t="n">
        <f aca="false">Z391+AE391</f>
        <v>87.4682563498497</v>
      </c>
      <c r="V391" s="9" t="s">
        <v>55</v>
      </c>
      <c r="W391" s="9" t="s">
        <v>68</v>
      </c>
      <c r="X391" s="9" t="s">
        <v>2101</v>
      </c>
      <c r="Y391" s="9" t="n">
        <v>101073</v>
      </c>
      <c r="Z391" s="10" t="n">
        <f aca="false">(Y391/Q391)*100</f>
        <v>45.2687964957698</v>
      </c>
      <c r="AA391" s="9" t="s">
        <v>52</v>
      </c>
      <c r="AB391" s="9" t="s">
        <v>53</v>
      </c>
      <c r="AC391" s="9" t="s">
        <v>2102</v>
      </c>
      <c r="AD391" s="9" t="n">
        <v>94220</v>
      </c>
      <c r="AE391" s="10" t="n">
        <f aca="false">(AD391/Q391)*100</f>
        <v>42.19945985408</v>
      </c>
      <c r="AF391" s="9" t="s">
        <v>1429</v>
      </c>
      <c r="AG391" s="9" t="s">
        <v>61</v>
      </c>
      <c r="AH391" s="9" t="s">
        <v>2103</v>
      </c>
      <c r="AI391" s="9" t="n">
        <v>11482</v>
      </c>
      <c r="AJ391" s="10" t="n">
        <f aca="false">(AI391/Q391)*100</f>
        <v>5.14258329489011</v>
      </c>
      <c r="AK391" s="9" t="s">
        <v>1427</v>
      </c>
      <c r="AL391" s="9" t="s">
        <v>56</v>
      </c>
      <c r="AM391" s="9" t="s">
        <v>2104</v>
      </c>
      <c r="AN391" s="9" t="n">
        <v>4222</v>
      </c>
      <c r="AO391" s="10" t="n">
        <f aca="false">(AN391/Q391)*100</f>
        <v>1.89095860224926</v>
      </c>
      <c r="AP391" s="9" t="s">
        <v>63</v>
      </c>
      <c r="AQ391" s="9" t="s">
        <v>63</v>
      </c>
      <c r="AR391" s="9" t="s">
        <v>63</v>
      </c>
      <c r="AS391" s="9" t="n">
        <v>3040</v>
      </c>
      <c r="AT391" s="10" t="n">
        <f aca="false">(AS391/Q391)*100</f>
        <v>1.36156185476972</v>
      </c>
    </row>
    <row r="392" customFormat="false" ht="12.8" hidden="false" customHeight="true" outlineLevel="0" collapsed="false">
      <c r="A392" s="33" t="n">
        <v>2016</v>
      </c>
      <c r="B392" s="8" t="n">
        <v>148</v>
      </c>
      <c r="C392" s="9" t="s">
        <v>963</v>
      </c>
      <c r="D392" s="9" t="s">
        <v>958</v>
      </c>
      <c r="E392" s="9" t="s">
        <v>903</v>
      </c>
      <c r="F392" s="9" t="s">
        <v>904</v>
      </c>
      <c r="G392" s="9" t="s">
        <v>50</v>
      </c>
      <c r="H392" s="9" t="s">
        <v>51</v>
      </c>
      <c r="I392" s="9" t="s">
        <v>51</v>
      </c>
      <c r="J392" s="9" t="s">
        <v>51</v>
      </c>
      <c r="K392" s="9" t="s">
        <v>51</v>
      </c>
      <c r="L392" s="9" t="s">
        <v>51</v>
      </c>
      <c r="M392" s="9" t="s">
        <v>51</v>
      </c>
      <c r="N392" s="9" t="s">
        <v>51</v>
      </c>
      <c r="O392" s="9" t="s">
        <v>51</v>
      </c>
      <c r="P392" s="9" t="n">
        <v>255823</v>
      </c>
      <c r="Q392" s="9" t="n">
        <v>205044</v>
      </c>
      <c r="R392" s="10" t="n">
        <f aca="false">(Q392/P392)*100</f>
        <v>80.1507292151214</v>
      </c>
      <c r="S392" s="9" t="n">
        <f aca="false">Y392-AD392</f>
        <v>18796</v>
      </c>
      <c r="T392" s="10" t="n">
        <f aca="false">(S392/Q392)*100</f>
        <v>9.16681297672695</v>
      </c>
      <c r="U392" s="10" t="n">
        <f aca="false">Z392+AE392</f>
        <v>67.1270556563469</v>
      </c>
      <c r="V392" s="9" t="s">
        <v>55</v>
      </c>
      <c r="W392" s="9" t="s">
        <v>68</v>
      </c>
      <c r="X392" s="9" t="s">
        <v>2105</v>
      </c>
      <c r="Y392" s="9" t="n">
        <v>78218</v>
      </c>
      <c r="Z392" s="10" t="n">
        <f aca="false">(Y392/Q392)*100</f>
        <v>38.1469343165369</v>
      </c>
      <c r="AA392" s="9" t="s">
        <v>52</v>
      </c>
      <c r="AB392" s="9" t="s">
        <v>53</v>
      </c>
      <c r="AC392" s="9" t="s">
        <v>2106</v>
      </c>
      <c r="AD392" s="9" t="n">
        <v>59422</v>
      </c>
      <c r="AE392" s="10" t="n">
        <f aca="false">(AD392/Q392)*100</f>
        <v>28.98012133981</v>
      </c>
      <c r="AF392" s="9" t="s">
        <v>1427</v>
      </c>
      <c r="AG392" s="9" t="s">
        <v>56</v>
      </c>
      <c r="AH392" s="9" t="s">
        <v>2107</v>
      </c>
      <c r="AI392" s="9" t="n">
        <v>37271</v>
      </c>
      <c r="AJ392" s="10" t="n">
        <f aca="false">(AI392/Q392)*100</f>
        <v>18.1770741889546</v>
      </c>
      <c r="AK392" s="9" t="s">
        <v>1429</v>
      </c>
      <c r="AL392" s="9" t="s">
        <v>257</v>
      </c>
      <c r="AM392" s="9" t="s">
        <v>2108</v>
      </c>
      <c r="AN392" s="9" t="n">
        <v>19853</v>
      </c>
      <c r="AO392" s="10" t="n">
        <f aca="false">(AN392/Q392)*100</f>
        <v>9.68231208911258</v>
      </c>
      <c r="AP392" s="9" t="s">
        <v>63</v>
      </c>
      <c r="AQ392" s="9" t="s">
        <v>63</v>
      </c>
      <c r="AR392" s="9" t="s">
        <v>63</v>
      </c>
      <c r="AS392" s="9" t="n">
        <v>3024</v>
      </c>
      <c r="AT392" s="10" t="n">
        <f aca="false">(AS392/Q392)*100</f>
        <v>1.47480540761983</v>
      </c>
    </row>
    <row r="393" customFormat="false" ht="12.8" hidden="false" customHeight="true" outlineLevel="0" collapsed="false">
      <c r="A393" s="33" t="n">
        <v>2016</v>
      </c>
      <c r="B393" s="8" t="n">
        <v>149</v>
      </c>
      <c r="C393" s="9" t="s">
        <v>968</v>
      </c>
      <c r="D393" s="9" t="s">
        <v>968</v>
      </c>
      <c r="E393" s="9" t="s">
        <v>903</v>
      </c>
      <c r="F393" s="9" t="s">
        <v>904</v>
      </c>
      <c r="G393" s="9" t="s">
        <v>77</v>
      </c>
      <c r="H393" s="9" t="s">
        <v>51</v>
      </c>
      <c r="I393" s="9" t="s">
        <v>51</v>
      </c>
      <c r="J393" s="9" t="s">
        <v>51</v>
      </c>
      <c r="K393" s="9" t="s">
        <v>51</v>
      </c>
      <c r="L393" s="9" t="s">
        <v>51</v>
      </c>
      <c r="M393" s="9" t="s">
        <v>51</v>
      </c>
      <c r="N393" s="9" t="s">
        <v>51</v>
      </c>
      <c r="O393" s="9" t="s">
        <v>51</v>
      </c>
      <c r="P393" s="9" t="n">
        <v>248541</v>
      </c>
      <c r="Q393" s="9" t="n">
        <v>211078</v>
      </c>
      <c r="R393" s="10" t="n">
        <f aca="false">(Q393/P393)*100</f>
        <v>84.9268329973727</v>
      </c>
      <c r="S393" s="9" t="n">
        <f aca="false">Y393-AD393</f>
        <v>2043</v>
      </c>
      <c r="T393" s="10" t="n">
        <f aca="false">(S393/Q393)*100</f>
        <v>0.967888647798444</v>
      </c>
      <c r="U393" s="10" t="n">
        <f aca="false">Z393+AE393</f>
        <v>82.9091615421787</v>
      </c>
      <c r="V393" s="9" t="s">
        <v>55</v>
      </c>
      <c r="W393" s="9" t="s">
        <v>68</v>
      </c>
      <c r="X393" s="9" t="s">
        <v>970</v>
      </c>
      <c r="Y393" s="9" t="n">
        <v>88523</v>
      </c>
      <c r="Z393" s="10" t="n">
        <f aca="false">(Y393/Q393)*100</f>
        <v>41.9385250949886</v>
      </c>
      <c r="AA393" s="9" t="s">
        <v>52</v>
      </c>
      <c r="AB393" s="9" t="s">
        <v>53</v>
      </c>
      <c r="AC393" s="9" t="s">
        <v>2109</v>
      </c>
      <c r="AD393" s="9" t="n">
        <v>86480</v>
      </c>
      <c r="AE393" s="10" t="n">
        <f aca="false">(AD393/Q393)*100</f>
        <v>40.9706364471901</v>
      </c>
      <c r="AF393" s="9" t="s">
        <v>1429</v>
      </c>
      <c r="AG393" s="9" t="s">
        <v>61</v>
      </c>
      <c r="AH393" s="9" t="s">
        <v>2110</v>
      </c>
      <c r="AI393" s="9" t="n">
        <v>13599</v>
      </c>
      <c r="AJ393" s="10" t="n">
        <f aca="false">(AI393/Q393)*100</f>
        <v>6.44264205649097</v>
      </c>
      <c r="AK393" s="9" t="s">
        <v>1427</v>
      </c>
      <c r="AL393" s="9" t="s">
        <v>56</v>
      </c>
      <c r="AM393" s="9" t="s">
        <v>2111</v>
      </c>
      <c r="AN393" s="9" t="n">
        <v>13529</v>
      </c>
      <c r="AO393" s="10" t="n">
        <f aca="false">(AN393/Q393)*100</f>
        <v>6.40947896038431</v>
      </c>
      <c r="AP393" s="9" t="s">
        <v>63</v>
      </c>
      <c r="AQ393" s="9" t="s">
        <v>63</v>
      </c>
      <c r="AR393" s="9" t="s">
        <v>63</v>
      </c>
      <c r="AS393" s="9" t="n">
        <v>1896</v>
      </c>
      <c r="AT393" s="10" t="n">
        <f aca="false">(AS393/Q393)*100</f>
        <v>0.898246145974474</v>
      </c>
    </row>
    <row r="394" customFormat="false" ht="12.8" hidden="false" customHeight="true" outlineLevel="0" collapsed="false">
      <c r="A394" s="33" t="n">
        <v>2016</v>
      </c>
      <c r="B394" s="8" t="n">
        <v>150</v>
      </c>
      <c r="C394" s="9" t="s">
        <v>973</v>
      </c>
      <c r="D394" s="9" t="s">
        <v>968</v>
      </c>
      <c r="E394" s="9" t="s">
        <v>903</v>
      </c>
      <c r="F394" s="9" t="s">
        <v>904</v>
      </c>
      <c r="G394" s="9" t="s">
        <v>77</v>
      </c>
      <c r="H394" s="9" t="s">
        <v>51</v>
      </c>
      <c r="I394" s="9" t="s">
        <v>51</v>
      </c>
      <c r="J394" s="9" t="s">
        <v>51</v>
      </c>
      <c r="K394" s="9" t="s">
        <v>51</v>
      </c>
      <c r="L394" s="9" t="s">
        <v>51</v>
      </c>
      <c r="M394" s="9" t="s">
        <v>51</v>
      </c>
      <c r="N394" s="9" t="s">
        <v>51</v>
      </c>
      <c r="O394" s="9" t="s">
        <v>51</v>
      </c>
      <c r="P394" s="9" t="n">
        <v>250673</v>
      </c>
      <c r="Q394" s="9" t="n">
        <v>204038</v>
      </c>
      <c r="R394" s="10" t="n">
        <f aca="false">(Q394/P394)*100</f>
        <v>81.3960817479346</v>
      </c>
      <c r="S394" s="9" t="n">
        <f aca="false">Y394-AD394</f>
        <v>22934</v>
      </c>
      <c r="T394" s="10" t="n">
        <f aca="false">(S394/Q394)*100</f>
        <v>11.2400631254962</v>
      </c>
      <c r="U394" s="10" t="n">
        <f aca="false">Z394+AJ394</f>
        <v>60.057440280732</v>
      </c>
      <c r="V394" s="9" t="s">
        <v>55</v>
      </c>
      <c r="W394" s="9" t="s">
        <v>68</v>
      </c>
      <c r="X394" s="9" t="s">
        <v>2112</v>
      </c>
      <c r="Y394" s="9" t="n">
        <v>75672</v>
      </c>
      <c r="Z394" s="10" t="n">
        <f aca="false">(Y394/Q394)*100</f>
        <v>37.0872092453367</v>
      </c>
      <c r="AA394" s="9" t="s">
        <v>1427</v>
      </c>
      <c r="AB394" s="9" t="s">
        <v>56</v>
      </c>
      <c r="AC394" s="9" t="s">
        <v>2113</v>
      </c>
      <c r="AD394" s="9" t="n">
        <v>52738</v>
      </c>
      <c r="AE394" s="10" t="n">
        <f aca="false">(AD394/Q394)*100</f>
        <v>25.8471461198404</v>
      </c>
      <c r="AF394" s="9" t="s">
        <v>52</v>
      </c>
      <c r="AG394" s="9" t="s">
        <v>66</v>
      </c>
      <c r="AH394" s="9" t="s">
        <v>2114</v>
      </c>
      <c r="AI394" s="9" t="n">
        <v>46868</v>
      </c>
      <c r="AJ394" s="10" t="n">
        <f aca="false">(AI394/Q394)*100</f>
        <v>22.9702310353954</v>
      </c>
      <c r="AK394" s="9" t="s">
        <v>1429</v>
      </c>
      <c r="AL394" s="15" t="s">
        <v>271</v>
      </c>
      <c r="AM394" s="9" t="s">
        <v>2115</v>
      </c>
      <c r="AN394" s="9" t="n">
        <v>21405</v>
      </c>
      <c r="AO394" s="10" t="n">
        <f aca="false">(AN394/Q394)*100</f>
        <v>10.4906929101442</v>
      </c>
      <c r="AP394" s="9" t="s">
        <v>63</v>
      </c>
      <c r="AQ394" s="9" t="s">
        <v>63</v>
      </c>
      <c r="AR394" s="9" t="s">
        <v>63</v>
      </c>
      <c r="AS394" s="9" t="n">
        <v>1950</v>
      </c>
      <c r="AT394" s="10" t="n">
        <f aca="false">(AS394/Q394)*100</f>
        <v>0.955704329585665</v>
      </c>
    </row>
    <row r="395" customFormat="false" ht="12.8" hidden="false" customHeight="true" outlineLevel="0" collapsed="false">
      <c r="A395" s="33" t="n">
        <v>2016</v>
      </c>
      <c r="B395" s="8" t="n">
        <v>160</v>
      </c>
      <c r="C395" s="9" t="s">
        <v>978</v>
      </c>
      <c r="D395" s="9" t="s">
        <v>979</v>
      </c>
      <c r="E395" s="9" t="s">
        <v>903</v>
      </c>
      <c r="F395" s="9" t="s">
        <v>980</v>
      </c>
      <c r="G395" s="9" t="s">
        <v>77</v>
      </c>
      <c r="H395" s="9" t="s">
        <v>65</v>
      </c>
      <c r="I395" s="9" t="s">
        <v>526</v>
      </c>
      <c r="J395" s="9" t="s">
        <v>51</v>
      </c>
      <c r="K395" s="9" t="s">
        <v>51</v>
      </c>
      <c r="L395" s="9" t="s">
        <v>51</v>
      </c>
      <c r="M395" s="9" t="s">
        <v>51</v>
      </c>
      <c r="N395" s="9" t="s">
        <v>51</v>
      </c>
      <c r="O395" s="9" t="s">
        <v>51</v>
      </c>
      <c r="P395" s="9" t="n">
        <v>231675</v>
      </c>
      <c r="Q395" s="9" t="n">
        <v>177685</v>
      </c>
      <c r="R395" s="10" t="n">
        <f aca="false">(Q395/P395)*100</f>
        <v>76.6958023092694</v>
      </c>
      <c r="S395" s="9" t="n">
        <f aca="false">Y395-AD395</f>
        <v>9003</v>
      </c>
      <c r="T395" s="10" t="n">
        <f aca="false">(S395/Q395)*100</f>
        <v>5.066831752821</v>
      </c>
      <c r="U395" s="10" t="n">
        <f aca="false">Z395+AE395</f>
        <v>81.0259729296226</v>
      </c>
      <c r="V395" s="9" t="s">
        <v>55</v>
      </c>
      <c r="W395" s="9" t="s">
        <v>68</v>
      </c>
      <c r="X395" s="9" t="s">
        <v>2116</v>
      </c>
      <c r="Y395" s="9" t="n">
        <v>76487</v>
      </c>
      <c r="Z395" s="10" t="n">
        <f aca="false">(Y395/Q395)*100</f>
        <v>43.0464023412218</v>
      </c>
      <c r="AA395" s="9" t="s">
        <v>52</v>
      </c>
      <c r="AB395" s="9" t="s">
        <v>53</v>
      </c>
      <c r="AC395" s="9" t="s">
        <v>2117</v>
      </c>
      <c r="AD395" s="9" t="n">
        <v>67484</v>
      </c>
      <c r="AE395" s="10" t="n">
        <f aca="false">(AD395/Q395)*100</f>
        <v>37.9795705884008</v>
      </c>
      <c r="AF395" s="9" t="s">
        <v>1427</v>
      </c>
      <c r="AG395" s="9" t="s">
        <v>56</v>
      </c>
      <c r="AH395" s="9" t="s">
        <v>2118</v>
      </c>
      <c r="AI395" s="9" t="n">
        <v>14890</v>
      </c>
      <c r="AJ395" s="10" t="n">
        <f aca="false">(AI395/Q395)*100</f>
        <v>8.37999831161888</v>
      </c>
      <c r="AK395" s="9" t="s">
        <v>1429</v>
      </c>
      <c r="AL395" s="9" t="s">
        <v>61</v>
      </c>
      <c r="AM395" s="9" t="s">
        <v>2119</v>
      </c>
      <c r="AN395" s="9" t="n">
        <v>12060</v>
      </c>
      <c r="AO395" s="10" t="n">
        <f aca="false">(AN395/Q395)*100</f>
        <v>6.78729211807412</v>
      </c>
      <c r="AP395" s="9" t="s">
        <v>58</v>
      </c>
      <c r="AQ395" s="9" t="s">
        <v>58</v>
      </c>
      <c r="AR395" s="9" t="s">
        <v>2120</v>
      </c>
      <c r="AS395" s="9" t="n">
        <v>1430</v>
      </c>
      <c r="AT395" s="10" t="n">
        <f aca="false">(AS395/Q395)*100</f>
        <v>0.804795002391873</v>
      </c>
    </row>
    <row r="396" customFormat="false" ht="12.8" hidden="false" customHeight="true" outlineLevel="0" collapsed="false">
      <c r="A396" s="33" t="n">
        <v>2016</v>
      </c>
      <c r="B396" s="8" t="n">
        <v>161</v>
      </c>
      <c r="C396" s="9" t="s">
        <v>979</v>
      </c>
      <c r="D396" s="9" t="s">
        <v>979</v>
      </c>
      <c r="E396" s="9" t="s">
        <v>903</v>
      </c>
      <c r="F396" s="9" t="s">
        <v>980</v>
      </c>
      <c r="G396" s="9" t="s">
        <v>77</v>
      </c>
      <c r="H396" s="9" t="s">
        <v>51</v>
      </c>
      <c r="I396" s="9" t="s">
        <v>51</v>
      </c>
      <c r="J396" s="9" t="s">
        <v>51</v>
      </c>
      <c r="K396" s="9" t="s">
        <v>51</v>
      </c>
      <c r="L396" s="9" t="s">
        <v>53</v>
      </c>
      <c r="M396" s="9" t="s">
        <v>51</v>
      </c>
      <c r="N396" s="9" t="s">
        <v>53</v>
      </c>
      <c r="O396" s="9" t="s">
        <v>51</v>
      </c>
      <c r="P396" s="9" t="n">
        <v>233224</v>
      </c>
      <c r="Q396" s="9" t="n">
        <v>168856</v>
      </c>
      <c r="R396" s="10" t="n">
        <f aca="false">(Q396/P396)*100</f>
        <v>72.4007820807464</v>
      </c>
      <c r="S396" s="9" t="n">
        <f aca="false">Y396-AD396</f>
        <v>4778</v>
      </c>
      <c r="T396" s="10" t="n">
        <f aca="false">(S396/Q396)*100</f>
        <v>2.82962998057517</v>
      </c>
      <c r="U396" s="10" t="n">
        <f aca="false">Z396+AE396</f>
        <v>81.2052873454304</v>
      </c>
      <c r="V396" s="9" t="s">
        <v>55</v>
      </c>
      <c r="W396" s="9" t="s">
        <v>68</v>
      </c>
      <c r="X396" s="9" t="s">
        <v>2121</v>
      </c>
      <c r="Y396" s="9" t="n">
        <v>70949</v>
      </c>
      <c r="Z396" s="10" t="n">
        <f aca="false">(Y396/Q396)*100</f>
        <v>42.0174586630028</v>
      </c>
      <c r="AA396" s="9" t="s">
        <v>52</v>
      </c>
      <c r="AB396" s="9" t="s">
        <v>53</v>
      </c>
      <c r="AC396" s="9" t="s">
        <v>2122</v>
      </c>
      <c r="AD396" s="9" t="n">
        <v>66171</v>
      </c>
      <c r="AE396" s="10" t="n">
        <f aca="false">(AD396/Q396)*100</f>
        <v>39.1878286824276</v>
      </c>
      <c r="AF396" s="9" t="s">
        <v>1427</v>
      </c>
      <c r="AG396" s="9" t="s">
        <v>56</v>
      </c>
      <c r="AH396" s="9" t="s">
        <v>2123</v>
      </c>
      <c r="AI396" s="9" t="n">
        <v>13115</v>
      </c>
      <c r="AJ396" s="10" t="n">
        <f aca="false">(AI396/Q396)*100</f>
        <v>7.76697304211873</v>
      </c>
      <c r="AK396" s="9" t="s">
        <v>1429</v>
      </c>
      <c r="AL396" s="9" t="s">
        <v>61</v>
      </c>
      <c r="AM396" s="9" t="s">
        <v>2124</v>
      </c>
      <c r="AN396" s="9" t="n">
        <v>12294</v>
      </c>
      <c r="AO396" s="10" t="n">
        <f aca="false">(AN396/Q396)*100</f>
        <v>7.28075993746151</v>
      </c>
      <c r="AP396" s="9" t="s">
        <v>1431</v>
      </c>
      <c r="AQ396" s="9" t="s">
        <v>171</v>
      </c>
      <c r="AR396" s="9" t="s">
        <v>2125</v>
      </c>
      <c r="AS396" s="9" t="n">
        <v>1926</v>
      </c>
      <c r="AT396" s="10" t="n">
        <f aca="false">(AS396/Q396)*100</f>
        <v>1.14061685696688</v>
      </c>
    </row>
    <row r="397" customFormat="false" ht="12.8" hidden="false" customHeight="true" outlineLevel="0" collapsed="false">
      <c r="A397" s="33" t="n">
        <v>2016</v>
      </c>
      <c r="B397" s="8" t="n">
        <v>162</v>
      </c>
      <c r="C397" s="9" t="s">
        <v>991</v>
      </c>
      <c r="D397" s="9" t="s">
        <v>979</v>
      </c>
      <c r="E397" s="9" t="s">
        <v>903</v>
      </c>
      <c r="F397" s="9" t="s">
        <v>980</v>
      </c>
      <c r="G397" s="9" t="s">
        <v>50</v>
      </c>
      <c r="H397" s="9" t="s">
        <v>51</v>
      </c>
      <c r="I397" s="9" t="s">
        <v>51</v>
      </c>
      <c r="J397" s="9" t="s">
        <v>51</v>
      </c>
      <c r="K397" s="9" t="s">
        <v>51</v>
      </c>
      <c r="L397" s="9" t="s">
        <v>51</v>
      </c>
      <c r="M397" s="9" t="s">
        <v>51</v>
      </c>
      <c r="N397" s="9" t="s">
        <v>51</v>
      </c>
      <c r="O397" s="9" t="s">
        <v>51</v>
      </c>
      <c r="P397" s="9" t="n">
        <v>254828</v>
      </c>
      <c r="Q397" s="9" t="n">
        <v>192758</v>
      </c>
      <c r="R397" s="10" t="n">
        <f aca="false">(Q397/P397)*100</f>
        <v>75.6423940854223</v>
      </c>
      <c r="S397" s="9" t="n">
        <f aca="false">Y397-AD397</f>
        <v>19935</v>
      </c>
      <c r="T397" s="10" t="n">
        <f aca="false">(S397/Q397)*100</f>
        <v>10.3419832121105</v>
      </c>
      <c r="U397" s="10" t="n">
        <f aca="false">Z397+AE397</f>
        <v>80.6176656740576</v>
      </c>
      <c r="V397" s="9" t="s">
        <v>55</v>
      </c>
      <c r="W397" s="9" t="s">
        <v>68</v>
      </c>
      <c r="X397" s="9" t="s">
        <v>2126</v>
      </c>
      <c r="Y397" s="9" t="n">
        <v>87666</v>
      </c>
      <c r="Z397" s="10" t="n">
        <f aca="false">(Y397/Q397)*100</f>
        <v>45.4798244430841</v>
      </c>
      <c r="AA397" s="9" t="s">
        <v>52</v>
      </c>
      <c r="AB397" s="9" t="s">
        <v>342</v>
      </c>
      <c r="AC397" s="9" t="s">
        <v>2127</v>
      </c>
      <c r="AD397" s="9" t="n">
        <v>67731</v>
      </c>
      <c r="AE397" s="10" t="n">
        <f aca="false">(AD397/Q397)*100</f>
        <v>35.1378412309736</v>
      </c>
      <c r="AF397" s="9" t="s">
        <v>1427</v>
      </c>
      <c r="AG397" s="9" t="s">
        <v>56</v>
      </c>
      <c r="AH397" s="9" t="s">
        <v>2128</v>
      </c>
      <c r="AI397" s="9" t="n">
        <v>16241</v>
      </c>
      <c r="AJ397" s="10" t="n">
        <f aca="false">(AI397/Q397)*100</f>
        <v>8.42559063696448</v>
      </c>
      <c r="AK397" s="9" t="s">
        <v>1429</v>
      </c>
      <c r="AL397" s="9" t="s">
        <v>1338</v>
      </c>
      <c r="AM397" s="9" t="s">
        <v>2129</v>
      </c>
      <c r="AN397" s="9" t="n">
        <v>14806</v>
      </c>
      <c r="AO397" s="10" t="n">
        <f aca="false">(AN397/Q397)*100</f>
        <v>7.68113385696054</v>
      </c>
      <c r="AP397" s="9" t="s">
        <v>58</v>
      </c>
      <c r="AQ397" s="9" t="s">
        <v>58</v>
      </c>
      <c r="AR397" s="9" t="s">
        <v>2130</v>
      </c>
      <c r="AS397" s="9" t="n">
        <v>1946</v>
      </c>
      <c r="AT397" s="10" t="n">
        <f aca="false">(AS397/Q397)*100</f>
        <v>1.0095560236151</v>
      </c>
    </row>
    <row r="398" customFormat="false" ht="12.8" hidden="false" customHeight="true" outlineLevel="0" collapsed="false">
      <c r="A398" s="33" t="n">
        <v>2016</v>
      </c>
      <c r="B398" s="8" t="n">
        <v>163</v>
      </c>
      <c r="C398" s="9" t="s">
        <v>997</v>
      </c>
      <c r="D398" s="9" t="s">
        <v>997</v>
      </c>
      <c r="E398" s="9" t="s">
        <v>903</v>
      </c>
      <c r="F398" s="9" t="s">
        <v>980</v>
      </c>
      <c r="G398" s="9" t="s">
        <v>88</v>
      </c>
      <c r="H398" s="9" t="s">
        <v>51</v>
      </c>
      <c r="I398" s="9" t="s">
        <v>51</v>
      </c>
      <c r="J398" s="9" t="s">
        <v>51</v>
      </c>
      <c r="K398" s="9" t="s">
        <v>51</v>
      </c>
      <c r="L398" s="9" t="s">
        <v>51</v>
      </c>
      <c r="M398" s="9" t="s">
        <v>51</v>
      </c>
      <c r="N398" s="9" t="s">
        <v>422</v>
      </c>
      <c r="O398" s="9" t="s">
        <v>51</v>
      </c>
      <c r="P398" s="9" t="n">
        <v>183119</v>
      </c>
      <c r="Q398" s="9" t="n">
        <v>134439</v>
      </c>
      <c r="R398" s="10" t="n">
        <f aca="false">(Q398/P398)*100</f>
        <v>73.4161938411634</v>
      </c>
      <c r="S398" s="9" t="n">
        <f aca="false">Y398-AD398</f>
        <v>20550</v>
      </c>
      <c r="T398" s="10" t="n">
        <f aca="false">(S398/Q398)*100</f>
        <v>15.2857429763685</v>
      </c>
      <c r="U398" s="10" t="n">
        <f aca="false">Z398+AE398</f>
        <v>81.2680844100298</v>
      </c>
      <c r="V398" s="9" t="s">
        <v>55</v>
      </c>
      <c r="W398" s="9" t="s">
        <v>68</v>
      </c>
      <c r="X398" s="9" t="s">
        <v>2131</v>
      </c>
      <c r="Y398" s="9" t="n">
        <v>64903</v>
      </c>
      <c r="Z398" s="10" t="n">
        <f aca="false">(Y398/Q398)*100</f>
        <v>48.2769136931992</v>
      </c>
      <c r="AA398" s="9" t="s">
        <v>52</v>
      </c>
      <c r="AB398" s="9" t="s">
        <v>1646</v>
      </c>
      <c r="AC398" s="9" t="s">
        <v>2132</v>
      </c>
      <c r="AD398" s="9" t="n">
        <v>44353</v>
      </c>
      <c r="AE398" s="10" t="n">
        <f aca="false">(AD398/Q398)*100</f>
        <v>32.9911707168307</v>
      </c>
      <c r="AF398" s="9" t="s">
        <v>1429</v>
      </c>
      <c r="AG398" s="9" t="s">
        <v>392</v>
      </c>
      <c r="AH398" s="9" t="s">
        <v>2133</v>
      </c>
      <c r="AI398" s="9" t="n">
        <v>11088</v>
      </c>
      <c r="AJ398" s="10" t="n">
        <f aca="false">(AI398/Q398)*100</f>
        <v>8.24760672126392</v>
      </c>
      <c r="AK398" s="9" t="s">
        <v>1431</v>
      </c>
      <c r="AL398" s="9" t="s">
        <v>171</v>
      </c>
      <c r="AM398" s="9" t="s">
        <v>2134</v>
      </c>
      <c r="AN398" s="9" t="n">
        <v>6005</v>
      </c>
      <c r="AO398" s="10" t="n">
        <f aca="false">(AN398/Q398)*100</f>
        <v>4.46670980890962</v>
      </c>
      <c r="AP398" s="9" t="s">
        <v>58</v>
      </c>
      <c r="AQ398" s="9" t="s">
        <v>58</v>
      </c>
      <c r="AR398" s="9" t="s">
        <v>2135</v>
      </c>
      <c r="AS398" s="9" t="n">
        <v>1557</v>
      </c>
      <c r="AT398" s="10" t="n">
        <f aca="false">(AS398/Q398)*100</f>
        <v>1.15814607368398</v>
      </c>
    </row>
    <row r="399" customFormat="false" ht="12.8" hidden="false" customHeight="true" outlineLevel="0" collapsed="false">
      <c r="A399" s="33" t="n">
        <v>2016</v>
      </c>
      <c r="B399" s="8" t="n">
        <v>164</v>
      </c>
      <c r="C399" s="9" t="s">
        <v>1003</v>
      </c>
      <c r="D399" s="9" t="s">
        <v>997</v>
      </c>
      <c r="E399" s="9" t="s">
        <v>903</v>
      </c>
      <c r="F399" s="9" t="s">
        <v>980</v>
      </c>
      <c r="G399" s="9" t="s">
        <v>50</v>
      </c>
      <c r="H399" s="9" t="s">
        <v>65</v>
      </c>
      <c r="I399" s="9" t="s">
        <v>51</v>
      </c>
      <c r="J399" s="9" t="s">
        <v>51</v>
      </c>
      <c r="K399" s="9" t="s">
        <v>51</v>
      </c>
      <c r="L399" s="9" t="s">
        <v>51</v>
      </c>
      <c r="M399" s="9" t="s">
        <v>51</v>
      </c>
      <c r="N399" s="9" t="s">
        <v>51</v>
      </c>
      <c r="O399" s="9" t="s">
        <v>51</v>
      </c>
      <c r="P399" s="9" t="n">
        <v>163415</v>
      </c>
      <c r="Q399" s="9" t="n">
        <v>137929</v>
      </c>
      <c r="R399" s="10" t="n">
        <f aca="false">(Q399/P399)*100</f>
        <v>84.4041244683781</v>
      </c>
      <c r="S399" s="9" t="n">
        <f aca="false">Y399-AD399</f>
        <v>10170</v>
      </c>
      <c r="T399" s="10" t="n">
        <f aca="false">(S399/Q399)*100</f>
        <v>7.37335875704167</v>
      </c>
      <c r="U399" s="10" t="n">
        <f aca="false">Z399+AE399</f>
        <v>82.5265172661297</v>
      </c>
      <c r="V399" s="9" t="s">
        <v>52</v>
      </c>
      <c r="W399" s="9" t="s">
        <v>53</v>
      </c>
      <c r="X399" s="9" t="s">
        <v>2136</v>
      </c>
      <c r="Y399" s="9" t="n">
        <v>61999</v>
      </c>
      <c r="Z399" s="10" t="n">
        <f aca="false">(Y399/Q399)*100</f>
        <v>44.9499380115857</v>
      </c>
      <c r="AA399" s="9" t="s">
        <v>55</v>
      </c>
      <c r="AB399" s="9" t="s">
        <v>68</v>
      </c>
      <c r="AC399" s="9" t="s">
        <v>2137</v>
      </c>
      <c r="AD399" s="9" t="n">
        <v>51829</v>
      </c>
      <c r="AE399" s="10" t="n">
        <f aca="false">(AD399/Q399)*100</f>
        <v>37.576579254544</v>
      </c>
      <c r="AF399" s="9" t="s">
        <v>1429</v>
      </c>
      <c r="AG399" s="9" t="s">
        <v>422</v>
      </c>
      <c r="AH399" s="9" t="s">
        <v>2138</v>
      </c>
      <c r="AI399" s="9" t="n">
        <v>16499</v>
      </c>
      <c r="AJ399" s="10" t="n">
        <f aca="false">(AI399/Q399)*100</f>
        <v>11.9619514387837</v>
      </c>
      <c r="AK399" s="9" t="s">
        <v>1427</v>
      </c>
      <c r="AL399" s="9" t="s">
        <v>56</v>
      </c>
      <c r="AM399" s="9" t="s">
        <v>2139</v>
      </c>
      <c r="AN399" s="9" t="n">
        <v>2637</v>
      </c>
      <c r="AO399" s="10" t="n">
        <f aca="false">(AN399/Q399)*100</f>
        <v>1.9118531998347</v>
      </c>
      <c r="AP399" s="9" t="s">
        <v>58</v>
      </c>
      <c r="AQ399" s="9" t="s">
        <v>58</v>
      </c>
      <c r="AR399" s="9" t="s">
        <v>2140</v>
      </c>
      <c r="AS399" s="9" t="n">
        <v>1553</v>
      </c>
      <c r="AT399" s="10" t="n">
        <f aca="false">(AS399/Q399)*100</f>
        <v>1.12594160763871</v>
      </c>
    </row>
    <row r="400" customFormat="false" ht="12.8" hidden="false" customHeight="true" outlineLevel="0" collapsed="false">
      <c r="A400" s="33" t="n">
        <v>2016</v>
      </c>
      <c r="B400" s="8" t="n">
        <v>165</v>
      </c>
      <c r="C400" s="9" t="s">
        <v>1009</v>
      </c>
      <c r="D400" s="9" t="s">
        <v>997</v>
      </c>
      <c r="E400" s="9" t="s">
        <v>903</v>
      </c>
      <c r="F400" s="9" t="s">
        <v>980</v>
      </c>
      <c r="G400" s="9" t="s">
        <v>77</v>
      </c>
      <c r="H400" s="9" t="s">
        <v>51</v>
      </c>
      <c r="I400" s="9" t="s">
        <v>526</v>
      </c>
      <c r="J400" s="9" t="s">
        <v>51</v>
      </c>
      <c r="K400" s="9" t="s">
        <v>51</v>
      </c>
      <c r="L400" s="9" t="s">
        <v>53</v>
      </c>
      <c r="M400" s="9" t="s">
        <v>68</v>
      </c>
      <c r="N400" s="9" t="s">
        <v>51</v>
      </c>
      <c r="O400" s="9" t="s">
        <v>51</v>
      </c>
      <c r="P400" s="9" t="n">
        <v>180294</v>
      </c>
      <c r="Q400" s="9" t="n">
        <v>146803</v>
      </c>
      <c r="R400" s="10" t="n">
        <f aca="false">(Q400/P400)*100</f>
        <v>81.4242293143421</v>
      </c>
      <c r="S400" s="9" t="n">
        <f aca="false">Y400-AD400</f>
        <v>22998</v>
      </c>
      <c r="T400" s="10" t="n">
        <f aca="false">(S400/Q400)*100</f>
        <v>15.6658923863954</v>
      </c>
      <c r="U400" s="10" t="n">
        <f aca="false">Z400+AE400</f>
        <v>67.2152476448029</v>
      </c>
      <c r="V400" s="9" t="s">
        <v>55</v>
      </c>
      <c r="W400" s="9" t="s">
        <v>68</v>
      </c>
      <c r="X400" s="9" t="s">
        <v>2141</v>
      </c>
      <c r="Y400" s="9" t="n">
        <v>60836</v>
      </c>
      <c r="Z400" s="10" t="n">
        <f aca="false">(Y400/Q400)*100</f>
        <v>41.4405700155991</v>
      </c>
      <c r="AA400" s="9" t="s">
        <v>52</v>
      </c>
      <c r="AB400" s="9" t="s">
        <v>66</v>
      </c>
      <c r="AC400" s="9" t="s">
        <v>2142</v>
      </c>
      <c r="AD400" s="9" t="n">
        <v>37838</v>
      </c>
      <c r="AE400" s="10" t="n">
        <f aca="false">(AD400/Q400)*100</f>
        <v>25.7746776292038</v>
      </c>
      <c r="AF400" s="9" t="s">
        <v>1431</v>
      </c>
      <c r="AG400" s="9" t="s">
        <v>171</v>
      </c>
      <c r="AH400" s="9" t="s">
        <v>2143</v>
      </c>
      <c r="AI400" s="9" t="n">
        <v>37086</v>
      </c>
      <c r="AJ400" s="10" t="n">
        <f aca="false">(AI400/Q400)*100</f>
        <v>25.2624265171693</v>
      </c>
      <c r="AK400" s="9" t="s">
        <v>1429</v>
      </c>
      <c r="AL400" s="9" t="s">
        <v>61</v>
      </c>
      <c r="AM400" s="9" t="s">
        <v>2144</v>
      </c>
      <c r="AN400" s="9" t="n">
        <v>4594</v>
      </c>
      <c r="AO400" s="10" t="n">
        <f aca="false">(AN400/Q400)*100</f>
        <v>3.12936384133839</v>
      </c>
      <c r="AP400" s="9" t="s">
        <v>1427</v>
      </c>
      <c r="AQ400" s="9" t="s">
        <v>56</v>
      </c>
      <c r="AR400" s="9" t="s">
        <v>2145</v>
      </c>
      <c r="AS400" s="9" t="n">
        <v>2081</v>
      </c>
      <c r="AT400" s="10" t="n">
        <f aca="false">(AS400/Q400)*100</f>
        <v>1.41754596295716</v>
      </c>
    </row>
    <row r="401" customFormat="false" ht="12.8" hidden="false" customHeight="true" outlineLevel="0" collapsed="false">
      <c r="A401" s="33" t="n">
        <v>2016</v>
      </c>
      <c r="B401" s="8" t="n">
        <v>166</v>
      </c>
      <c r="C401" s="9" t="s">
        <v>1013</v>
      </c>
      <c r="D401" s="9" t="s">
        <v>1014</v>
      </c>
      <c r="E401" s="9" t="s">
        <v>903</v>
      </c>
      <c r="F401" s="9" t="s">
        <v>1015</v>
      </c>
      <c r="G401" s="9" t="s">
        <v>77</v>
      </c>
      <c r="H401" s="9" t="s">
        <v>65</v>
      </c>
      <c r="I401" s="9" t="s">
        <v>526</v>
      </c>
      <c r="J401" s="9" t="s">
        <v>51</v>
      </c>
      <c r="K401" s="9" t="s">
        <v>51</v>
      </c>
      <c r="L401" s="9" t="s">
        <v>392</v>
      </c>
      <c r="M401" s="9" t="s">
        <v>51</v>
      </c>
      <c r="N401" s="9" t="s">
        <v>767</v>
      </c>
      <c r="O401" s="9" t="s">
        <v>51</v>
      </c>
      <c r="P401" s="9" t="n">
        <v>222916</v>
      </c>
      <c r="Q401" s="9" t="n">
        <v>175620</v>
      </c>
      <c r="R401" s="10" t="n">
        <f aca="false">(Q401/P401)*100</f>
        <v>78.7830393511457</v>
      </c>
      <c r="S401" s="9" t="n">
        <f aca="false">Y401-AD401</f>
        <v>13250</v>
      </c>
      <c r="T401" s="10" t="n">
        <f aca="false">(S401/Q401)*100</f>
        <v>7.54469878145997</v>
      </c>
      <c r="U401" s="10" t="n">
        <f aca="false">Z401+AE401</f>
        <v>74.5951486163307</v>
      </c>
      <c r="V401" s="9" t="s">
        <v>52</v>
      </c>
      <c r="W401" s="9" t="s">
        <v>53</v>
      </c>
      <c r="X401" s="9" t="s">
        <v>2146</v>
      </c>
      <c r="Y401" s="9" t="n">
        <v>72127</v>
      </c>
      <c r="Z401" s="10" t="n">
        <f aca="false">(Y401/Q401)*100</f>
        <v>41.0699236988953</v>
      </c>
      <c r="AA401" s="9" t="s">
        <v>55</v>
      </c>
      <c r="AB401" s="9" t="s">
        <v>68</v>
      </c>
      <c r="AC401" s="9" t="s">
        <v>2147</v>
      </c>
      <c r="AD401" s="9" t="n">
        <v>58877</v>
      </c>
      <c r="AE401" s="10" t="n">
        <f aca="false">(AD401/Q401)*100</f>
        <v>33.5252249174354</v>
      </c>
      <c r="AF401" s="9" t="s">
        <v>1429</v>
      </c>
      <c r="AG401" s="9" t="s">
        <v>392</v>
      </c>
      <c r="AH401" s="9" t="s">
        <v>2148</v>
      </c>
      <c r="AI401" s="9" t="n">
        <v>33038</v>
      </c>
      <c r="AJ401" s="10" t="n">
        <f aca="false">(AI401/Q401)*100</f>
        <v>18.8122081767452</v>
      </c>
      <c r="AK401" s="9" t="s">
        <v>1431</v>
      </c>
      <c r="AL401" s="9" t="s">
        <v>171</v>
      </c>
      <c r="AM401" s="9" t="s">
        <v>2149</v>
      </c>
      <c r="AN401" s="9" t="n">
        <v>3937</v>
      </c>
      <c r="AO401" s="10" t="n">
        <f aca="false">(AN401/Q401)*100</f>
        <v>2.24177200774399</v>
      </c>
      <c r="AP401" s="9" t="s">
        <v>1427</v>
      </c>
      <c r="AQ401" s="9" t="s">
        <v>56</v>
      </c>
      <c r="AR401" s="9" t="s">
        <v>2150</v>
      </c>
      <c r="AS401" s="9" t="n">
        <v>2005</v>
      </c>
      <c r="AT401" s="10" t="n">
        <f aca="false">(AS401/Q401)*100</f>
        <v>1.14166951372281</v>
      </c>
    </row>
    <row r="402" customFormat="false" ht="12.8" hidden="false" customHeight="true" outlineLevel="0" collapsed="false">
      <c r="A402" s="33" t="n">
        <v>2016</v>
      </c>
      <c r="B402" s="8" t="n">
        <v>167</v>
      </c>
      <c r="C402" s="9" t="s">
        <v>1020</v>
      </c>
      <c r="D402" s="9" t="s">
        <v>1014</v>
      </c>
      <c r="E402" s="9" t="s">
        <v>903</v>
      </c>
      <c r="F402" s="9" t="s">
        <v>1015</v>
      </c>
      <c r="G402" s="9" t="s">
        <v>77</v>
      </c>
      <c r="H402" s="9" t="s">
        <v>51</v>
      </c>
      <c r="I402" s="9" t="s">
        <v>51</v>
      </c>
      <c r="J402" s="9" t="s">
        <v>51</v>
      </c>
      <c r="K402" s="9" t="s">
        <v>53</v>
      </c>
      <c r="L402" s="9" t="s">
        <v>392</v>
      </c>
      <c r="M402" s="9" t="s">
        <v>53</v>
      </c>
      <c r="N402" s="9" t="s">
        <v>51</v>
      </c>
      <c r="O402" s="9" t="s">
        <v>51</v>
      </c>
      <c r="P402" s="9" t="n">
        <v>241448</v>
      </c>
      <c r="Q402" s="9" t="n">
        <v>187110</v>
      </c>
      <c r="R402" s="10" t="n">
        <f aca="false">(Q402/P402)*100</f>
        <v>77.4949471521818</v>
      </c>
      <c r="S402" s="9" t="n">
        <f aca="false">Y402-AD402</f>
        <v>9937</v>
      </c>
      <c r="T402" s="10" t="n">
        <f aca="false">(S402/Q402)*100</f>
        <v>5.3107797552242</v>
      </c>
      <c r="U402" s="10" t="n">
        <f aca="false">Z402+AE402</f>
        <v>92.1046443268666</v>
      </c>
      <c r="V402" s="9" t="s">
        <v>52</v>
      </c>
      <c r="W402" s="9" t="s">
        <v>53</v>
      </c>
      <c r="X402" s="9" t="s">
        <v>2151</v>
      </c>
      <c r="Y402" s="9" t="n">
        <v>91137</v>
      </c>
      <c r="Z402" s="10" t="n">
        <f aca="false">(Y402/Q402)*100</f>
        <v>48.7077120410454</v>
      </c>
      <c r="AA402" s="9" t="s">
        <v>55</v>
      </c>
      <c r="AB402" s="9" t="s">
        <v>68</v>
      </c>
      <c r="AC402" s="9" t="s">
        <v>2152</v>
      </c>
      <c r="AD402" s="9" t="n">
        <v>81200</v>
      </c>
      <c r="AE402" s="10" t="n">
        <f aca="false">(AD402/Q402)*100</f>
        <v>43.3969322858212</v>
      </c>
      <c r="AF402" s="9" t="s">
        <v>1429</v>
      </c>
      <c r="AG402" s="9" t="s">
        <v>61</v>
      </c>
      <c r="AH402" s="9" t="s">
        <v>2153</v>
      </c>
      <c r="AI402" s="9" t="n">
        <v>5966</v>
      </c>
      <c r="AJ402" s="10" t="n">
        <f aca="false">(AI402/Q402)*100</f>
        <v>3.1884987440543</v>
      </c>
      <c r="AK402" s="9" t="s">
        <v>1427</v>
      </c>
      <c r="AL402" s="9" t="s">
        <v>56</v>
      </c>
      <c r="AM402" s="9" t="s">
        <v>2154</v>
      </c>
      <c r="AN402" s="9" t="n">
        <v>1983</v>
      </c>
      <c r="AO402" s="10" t="n">
        <f aca="false">(AN402/Q402)*100</f>
        <v>1.05980439313773</v>
      </c>
      <c r="AP402" s="9" t="s">
        <v>58</v>
      </c>
      <c r="AQ402" s="9" t="s">
        <v>58</v>
      </c>
      <c r="AR402" s="9" t="s">
        <v>2155</v>
      </c>
      <c r="AS402" s="9" t="n">
        <v>1923</v>
      </c>
      <c r="AT402" s="10" t="n">
        <f aca="false">(AS402/Q402)*100</f>
        <v>1.02773769440436</v>
      </c>
    </row>
    <row r="403" customFormat="false" ht="12.8" hidden="false" customHeight="true" outlineLevel="0" collapsed="false">
      <c r="A403" s="33" t="n">
        <v>2016</v>
      </c>
      <c r="B403" s="8" t="n">
        <v>168</v>
      </c>
      <c r="C403" s="9" t="s">
        <v>1014</v>
      </c>
      <c r="D403" s="9" t="s">
        <v>1014</v>
      </c>
      <c r="E403" s="9" t="s">
        <v>903</v>
      </c>
      <c r="F403" s="9" t="s">
        <v>1015</v>
      </c>
      <c r="G403" s="9" t="s">
        <v>77</v>
      </c>
      <c r="H403" s="9" t="s">
        <v>51</v>
      </c>
      <c r="I403" s="9" t="s">
        <v>51</v>
      </c>
      <c r="J403" s="9" t="s">
        <v>53</v>
      </c>
      <c r="K403" s="9" t="s">
        <v>51</v>
      </c>
      <c r="L403" s="9" t="s">
        <v>51</v>
      </c>
      <c r="M403" s="9" t="s">
        <v>53</v>
      </c>
      <c r="N403" s="9" t="s">
        <v>422</v>
      </c>
      <c r="O403" s="9" t="s">
        <v>169</v>
      </c>
      <c r="P403" s="9" t="n">
        <v>253227</v>
      </c>
      <c r="Q403" s="9" t="n">
        <v>196795</v>
      </c>
      <c r="R403" s="10" t="n">
        <f aca="false">(Q403/P403)*100</f>
        <v>77.7148566306121</v>
      </c>
      <c r="S403" s="9" t="n">
        <f aca="false">Y403-AD403</f>
        <v>68366</v>
      </c>
      <c r="T403" s="10" t="n">
        <f aca="false">(S403/Q403)*100</f>
        <v>34.739703752636</v>
      </c>
      <c r="U403" s="10" t="n">
        <f aca="false">Z403+AE403</f>
        <v>88.7116034452095</v>
      </c>
      <c r="V403" s="9" t="s">
        <v>52</v>
      </c>
      <c r="W403" s="9" t="s">
        <v>53</v>
      </c>
      <c r="X403" s="9" t="s">
        <v>2156</v>
      </c>
      <c r="Y403" s="9" t="n">
        <v>121473</v>
      </c>
      <c r="Z403" s="10" t="n">
        <f aca="false">(Y403/Q403)*100</f>
        <v>61.7256535989227</v>
      </c>
      <c r="AA403" s="9" t="s">
        <v>55</v>
      </c>
      <c r="AB403" s="9" t="s">
        <v>68</v>
      </c>
      <c r="AC403" s="9" t="s">
        <v>2157</v>
      </c>
      <c r="AD403" s="9" t="n">
        <v>53107</v>
      </c>
      <c r="AE403" s="10" t="n">
        <f aca="false">(AD403/Q403)*100</f>
        <v>26.9859498462867</v>
      </c>
      <c r="AF403" s="9" t="s">
        <v>1429</v>
      </c>
      <c r="AG403" s="9" t="s">
        <v>392</v>
      </c>
      <c r="AH403" s="9" t="s">
        <v>2158</v>
      </c>
      <c r="AI403" s="9" t="n">
        <v>13158</v>
      </c>
      <c r="AJ403" s="10" t="n">
        <f aca="false">(AI403/Q403)*100</f>
        <v>6.68614548133845</v>
      </c>
      <c r="AK403" s="9" t="s">
        <v>63</v>
      </c>
      <c r="AL403" s="21" t="s">
        <v>63</v>
      </c>
      <c r="AM403" s="9" t="s">
        <v>63</v>
      </c>
      <c r="AN403" s="9" t="n">
        <v>2177</v>
      </c>
      <c r="AO403" s="10" t="n">
        <f aca="false">(AN403/Q403)*100</f>
        <v>1.10622729236007</v>
      </c>
      <c r="AP403" s="9" t="s">
        <v>1427</v>
      </c>
      <c r="AQ403" s="9" t="s">
        <v>56</v>
      </c>
      <c r="AR403" s="9" t="s">
        <v>2007</v>
      </c>
      <c r="AS403" s="9" t="n">
        <v>1787</v>
      </c>
      <c r="AT403" s="10" t="n">
        <f aca="false">(AS403/Q403)*100</f>
        <v>0.908051525699332</v>
      </c>
    </row>
    <row r="404" customFormat="false" ht="12.8" hidden="false" customHeight="true" outlineLevel="0" collapsed="false">
      <c r="A404" s="33" t="n">
        <v>2016</v>
      </c>
      <c r="B404" s="8" t="n">
        <v>169</v>
      </c>
      <c r="C404" s="9" t="s">
        <v>1030</v>
      </c>
      <c r="D404" s="9" t="s">
        <v>1014</v>
      </c>
      <c r="E404" s="9" t="s">
        <v>903</v>
      </c>
      <c r="F404" s="9" t="s">
        <v>1015</v>
      </c>
      <c r="G404" s="9" t="s">
        <v>50</v>
      </c>
      <c r="H404" s="9" t="s">
        <v>51</v>
      </c>
      <c r="I404" s="9" t="s">
        <v>51</v>
      </c>
      <c r="J404" s="9" t="s">
        <v>51</v>
      </c>
      <c r="K404" s="9" t="s">
        <v>68</v>
      </c>
      <c r="L404" s="9" t="s">
        <v>51</v>
      </c>
      <c r="M404" s="9" t="s">
        <v>68</v>
      </c>
      <c r="N404" s="9" t="s">
        <v>51</v>
      </c>
      <c r="O404" s="9" t="s">
        <v>51</v>
      </c>
      <c r="P404" s="9" t="n">
        <v>253606</v>
      </c>
      <c r="Q404" s="9" t="n">
        <v>204154</v>
      </c>
      <c r="R404" s="10" t="n">
        <f aca="false">(Q404/P404)*100</f>
        <v>80.5004613455518</v>
      </c>
      <c r="S404" s="9" t="n">
        <f aca="false">Y404-AD404</f>
        <v>21276</v>
      </c>
      <c r="T404" s="10" t="n">
        <f aca="false">(S404/Q404)*100</f>
        <v>10.4215445203131</v>
      </c>
      <c r="U404" s="10" t="n">
        <f aca="false">Z404+AE404</f>
        <v>88.4430380986902</v>
      </c>
      <c r="V404" s="9" t="s">
        <v>55</v>
      </c>
      <c r="W404" s="9" t="s">
        <v>68</v>
      </c>
      <c r="X404" s="9" t="s">
        <v>2159</v>
      </c>
      <c r="Y404" s="9" t="n">
        <v>100918</v>
      </c>
      <c r="Z404" s="10" t="n">
        <f aca="false">(Y404/Q404)*100</f>
        <v>49.4322913095017</v>
      </c>
      <c r="AA404" s="9" t="s">
        <v>52</v>
      </c>
      <c r="AB404" s="9" t="s">
        <v>66</v>
      </c>
      <c r="AC404" s="9" t="s">
        <v>2160</v>
      </c>
      <c r="AD404" s="9" t="n">
        <v>79642</v>
      </c>
      <c r="AE404" s="10" t="n">
        <f aca="false">(AD404/Q404)*100</f>
        <v>39.0107467891886</v>
      </c>
      <c r="AF404" s="9" t="s">
        <v>1429</v>
      </c>
      <c r="AG404" s="9" t="s">
        <v>422</v>
      </c>
      <c r="AH404" s="9" t="s">
        <v>2161</v>
      </c>
      <c r="AI404" s="9" t="n">
        <v>11327</v>
      </c>
      <c r="AJ404" s="10" t="n">
        <f aca="false">(AI404/Q404)*100</f>
        <v>5.54826258608697</v>
      </c>
      <c r="AK404" s="9" t="s">
        <v>1427</v>
      </c>
      <c r="AL404" s="9" t="s">
        <v>56</v>
      </c>
      <c r="AM404" s="9" t="s">
        <v>2162</v>
      </c>
      <c r="AN404" s="9" t="n">
        <v>5060</v>
      </c>
      <c r="AO404" s="10" t="n">
        <f aca="false">(AN404/Q404)*100</f>
        <v>2.47852111641212</v>
      </c>
      <c r="AP404" s="9" t="s">
        <v>63</v>
      </c>
      <c r="AQ404" s="9" t="s">
        <v>63</v>
      </c>
      <c r="AR404" s="9" t="s">
        <v>63</v>
      </c>
      <c r="AS404" s="9" t="n">
        <v>2182</v>
      </c>
      <c r="AT404" s="10" t="n">
        <f aca="false">(AS404/Q404)*100</f>
        <v>1.06880100316428</v>
      </c>
    </row>
    <row r="405" customFormat="false" ht="12.8" hidden="false" customHeight="true" outlineLevel="0" collapsed="false">
      <c r="A405" s="33" t="n">
        <v>2016</v>
      </c>
      <c r="B405" s="8" t="n">
        <v>170</v>
      </c>
      <c r="C405" s="9" t="s">
        <v>1035</v>
      </c>
      <c r="D405" s="9" t="s">
        <v>1036</v>
      </c>
      <c r="E405" s="9" t="s">
        <v>903</v>
      </c>
      <c r="F405" s="9" t="s">
        <v>1015</v>
      </c>
      <c r="G405" s="9" t="s">
        <v>50</v>
      </c>
      <c r="H405" s="9" t="s">
        <v>65</v>
      </c>
      <c r="I405" s="9" t="s">
        <v>526</v>
      </c>
      <c r="J405" s="9" t="s">
        <v>51</v>
      </c>
      <c r="K405" s="9" t="s">
        <v>53</v>
      </c>
      <c r="L405" s="9" t="s">
        <v>51</v>
      </c>
      <c r="M405" s="9" t="s">
        <v>53</v>
      </c>
      <c r="N405" s="9" t="s">
        <v>51</v>
      </c>
      <c r="O405" s="9" t="s">
        <v>51</v>
      </c>
      <c r="P405" s="9" t="n">
        <v>234108</v>
      </c>
      <c r="Q405" s="9" t="n">
        <v>184929</v>
      </c>
      <c r="R405" s="10" t="n">
        <f aca="false">(Q405/P405)*100</f>
        <v>78.9930288584756</v>
      </c>
      <c r="S405" s="9" t="n">
        <f aca="false">Y405-AD405</f>
        <v>532</v>
      </c>
      <c r="T405" s="10" t="n">
        <f aca="false">(S405/Q405)*100</f>
        <v>0.287677973708829</v>
      </c>
      <c r="U405" s="10" t="n">
        <f aca="false">Z405+AE405</f>
        <v>83.569369866273</v>
      </c>
      <c r="V405" s="9" t="s">
        <v>52</v>
      </c>
      <c r="W405" s="9" t="s">
        <v>53</v>
      </c>
      <c r="X405" s="9" t="s">
        <v>2163</v>
      </c>
      <c r="Y405" s="9" t="n">
        <v>77538</v>
      </c>
      <c r="Z405" s="10" t="n">
        <f aca="false">(Y405/Q405)*100</f>
        <v>41.9285239199909</v>
      </c>
      <c r="AA405" s="9" t="s">
        <v>55</v>
      </c>
      <c r="AB405" s="9" t="s">
        <v>68</v>
      </c>
      <c r="AC405" s="9" t="s">
        <v>2164</v>
      </c>
      <c r="AD405" s="9" t="n">
        <v>77006</v>
      </c>
      <c r="AE405" s="10" t="n">
        <f aca="false">(AD405/Q405)*100</f>
        <v>41.6408459462821</v>
      </c>
      <c r="AF405" s="9" t="s">
        <v>1427</v>
      </c>
      <c r="AG405" s="9" t="s">
        <v>56</v>
      </c>
      <c r="AH405" s="9" t="s">
        <v>2165</v>
      </c>
      <c r="AI405" s="9" t="n">
        <v>13709</v>
      </c>
      <c r="AJ405" s="10" t="n">
        <f aca="false">(AI405/Q405)*100</f>
        <v>7.41311530371115</v>
      </c>
      <c r="AK405" s="13" t="s">
        <v>1429</v>
      </c>
      <c r="AL405" s="13" t="s">
        <v>257</v>
      </c>
      <c r="AM405" s="9" t="s">
        <v>2166</v>
      </c>
      <c r="AN405" s="9" t="n">
        <v>10622</v>
      </c>
      <c r="AO405" s="10" t="n">
        <f aca="false">(AN405/Q405)*100</f>
        <v>5.74382600890071</v>
      </c>
      <c r="AP405" s="9" t="s">
        <v>63</v>
      </c>
      <c r="AQ405" s="9" t="s">
        <v>63</v>
      </c>
      <c r="AR405" s="9" t="s">
        <v>63</v>
      </c>
      <c r="AS405" s="9" t="n">
        <v>1899</v>
      </c>
      <c r="AT405" s="10" t="n">
        <f aca="false">(AS405/Q405)*100</f>
        <v>1.02688058660351</v>
      </c>
    </row>
    <row r="406" customFormat="false" ht="12.8" hidden="false" customHeight="true" outlineLevel="0" collapsed="false">
      <c r="A406" s="33" t="n">
        <v>2016</v>
      </c>
      <c r="B406" s="8" t="n">
        <v>171</v>
      </c>
      <c r="C406" s="9" t="s">
        <v>1042</v>
      </c>
      <c r="D406" s="9" t="s">
        <v>1036</v>
      </c>
      <c r="E406" s="9" t="s">
        <v>903</v>
      </c>
      <c r="F406" s="9" t="s">
        <v>1015</v>
      </c>
      <c r="G406" s="9" t="s">
        <v>88</v>
      </c>
      <c r="H406" s="9" t="s">
        <v>51</v>
      </c>
      <c r="I406" s="9" t="s">
        <v>51</v>
      </c>
      <c r="J406" s="9" t="s">
        <v>51</v>
      </c>
      <c r="K406" s="9" t="s">
        <v>53</v>
      </c>
      <c r="L406" s="9" t="s">
        <v>53</v>
      </c>
      <c r="M406" s="9" t="s">
        <v>53</v>
      </c>
      <c r="N406" s="9" t="s">
        <v>51</v>
      </c>
      <c r="O406" s="9" t="s">
        <v>51</v>
      </c>
      <c r="P406" s="9" t="n">
        <v>246392</v>
      </c>
      <c r="Q406" s="9" t="n">
        <v>188827</v>
      </c>
      <c r="R406" s="10" t="n">
        <f aca="false">(Q406/P406)*100</f>
        <v>76.6368226241112</v>
      </c>
      <c r="S406" s="9" t="n">
        <f aca="false">Y406-AD406</f>
        <v>8457</v>
      </c>
      <c r="T406" s="10" t="n">
        <f aca="false">(S406/Q406)*100</f>
        <v>4.47870272789379</v>
      </c>
      <c r="U406" s="10" t="n">
        <f aca="false">Z406+AE406</f>
        <v>85.6016353593501</v>
      </c>
      <c r="V406" s="9" t="s">
        <v>52</v>
      </c>
      <c r="W406" s="9" t="s">
        <v>53</v>
      </c>
      <c r="X406" s="9" t="s">
        <v>2167</v>
      </c>
      <c r="Y406" s="9" t="n">
        <v>85048</v>
      </c>
      <c r="Z406" s="10" t="n">
        <f aca="false">(Y406/Q406)*100</f>
        <v>45.0401690436219</v>
      </c>
      <c r="AA406" s="9" t="s">
        <v>55</v>
      </c>
      <c r="AB406" s="9" t="s">
        <v>68</v>
      </c>
      <c r="AC406" s="9" t="s">
        <v>2168</v>
      </c>
      <c r="AD406" s="9" t="n">
        <v>76591</v>
      </c>
      <c r="AE406" s="10" t="n">
        <f aca="false">(AD406/Q406)*100</f>
        <v>40.5614663157282</v>
      </c>
      <c r="AF406" s="9" t="s">
        <v>1429</v>
      </c>
      <c r="AG406" s="9" t="s">
        <v>61</v>
      </c>
      <c r="AH406" s="9" t="s">
        <v>2169</v>
      </c>
      <c r="AI406" s="9" t="n">
        <v>8098</v>
      </c>
      <c r="AJ406" s="10" t="n">
        <f aca="false">(AI406/Q406)*100</f>
        <v>4.28858161173985</v>
      </c>
      <c r="AK406" s="9" t="s">
        <v>1427</v>
      </c>
      <c r="AL406" s="9" t="s">
        <v>56</v>
      </c>
      <c r="AM406" s="9" t="s">
        <v>2170</v>
      </c>
      <c r="AN406" s="9" t="n">
        <v>8048</v>
      </c>
      <c r="AO406" s="10" t="n">
        <f aca="false">(AN406/Q406)*100</f>
        <v>4.26210234765155</v>
      </c>
      <c r="AP406" s="9" t="s">
        <v>58</v>
      </c>
      <c r="AQ406" s="9" t="s">
        <v>58</v>
      </c>
      <c r="AR406" s="9" t="s">
        <v>2171</v>
      </c>
      <c r="AS406" s="9" t="n">
        <v>2937</v>
      </c>
      <c r="AT406" s="10" t="n">
        <f aca="false">(AS406/Q406)*100</f>
        <v>1.5553919725463</v>
      </c>
    </row>
    <row r="407" customFormat="false" ht="12.8" hidden="false" customHeight="true" outlineLevel="0" collapsed="false">
      <c r="A407" s="33" t="n">
        <v>2016</v>
      </c>
      <c r="B407" s="8" t="n">
        <v>172</v>
      </c>
      <c r="C407" s="9" t="s">
        <v>1048</v>
      </c>
      <c r="D407" s="9" t="s">
        <v>1036</v>
      </c>
      <c r="E407" s="9" t="s">
        <v>903</v>
      </c>
      <c r="F407" s="9" t="s">
        <v>1015</v>
      </c>
      <c r="G407" s="9" t="s">
        <v>50</v>
      </c>
      <c r="H407" s="9" t="s">
        <v>51</v>
      </c>
      <c r="I407" s="9" t="s">
        <v>526</v>
      </c>
      <c r="J407" s="28" t="s">
        <v>51</v>
      </c>
      <c r="K407" s="9" t="s">
        <v>51</v>
      </c>
      <c r="L407" s="9" t="s">
        <v>68</v>
      </c>
      <c r="M407" s="9" t="s">
        <v>51</v>
      </c>
      <c r="N407" s="9" t="s">
        <v>66</v>
      </c>
      <c r="O407" s="9" t="s">
        <v>51</v>
      </c>
      <c r="P407" s="9" t="n">
        <v>240357</v>
      </c>
      <c r="Q407" s="9" t="n">
        <v>182548</v>
      </c>
      <c r="R407" s="10" t="n">
        <f aca="false">(Q407/P407)*100</f>
        <v>75.9486929858502</v>
      </c>
      <c r="S407" s="9" t="n">
        <f aca="false">Y407-AD407</f>
        <v>24365</v>
      </c>
      <c r="T407" s="10" t="n">
        <f aca="false">(S407/Q407)*100</f>
        <v>13.3471744417907</v>
      </c>
      <c r="U407" s="10" t="n">
        <f aca="false">Z407+AE407</f>
        <v>77.1649100510551</v>
      </c>
      <c r="V407" s="9" t="s">
        <v>55</v>
      </c>
      <c r="W407" s="28" t="s">
        <v>68</v>
      </c>
      <c r="X407" s="9" t="s">
        <v>2172</v>
      </c>
      <c r="Y407" s="9" t="n">
        <v>82614</v>
      </c>
      <c r="Z407" s="10" t="n">
        <f aca="false">(Y407/Q407)*100</f>
        <v>45.2560422464229</v>
      </c>
      <c r="AA407" s="9" t="s">
        <v>52</v>
      </c>
      <c r="AB407" s="9" t="s">
        <v>66</v>
      </c>
      <c r="AC407" s="9" t="s">
        <v>2173</v>
      </c>
      <c r="AD407" s="9" t="n">
        <v>58249</v>
      </c>
      <c r="AE407" s="10" t="n">
        <f aca="false">(AD407/Q407)*100</f>
        <v>31.9088678046322</v>
      </c>
      <c r="AF407" s="9" t="s">
        <v>1429</v>
      </c>
      <c r="AG407" s="9" t="s">
        <v>1338</v>
      </c>
      <c r="AH407" s="9" t="s">
        <v>2174</v>
      </c>
      <c r="AI407" s="9" t="n">
        <v>18599</v>
      </c>
      <c r="AJ407" s="10" t="n">
        <f aca="false">(AI407/Q407)*100</f>
        <v>10.1885531476653</v>
      </c>
      <c r="AK407" s="9" t="s">
        <v>1427</v>
      </c>
      <c r="AL407" s="9" t="s">
        <v>56</v>
      </c>
      <c r="AM407" s="9" t="s">
        <v>2175</v>
      </c>
      <c r="AN407" s="9" t="n">
        <v>4963</v>
      </c>
      <c r="AO407" s="10" t="n">
        <f aca="false">(AN407/Q407)*100</f>
        <v>2.71873698972325</v>
      </c>
      <c r="AP407" s="9" t="s">
        <v>58</v>
      </c>
      <c r="AQ407" s="9" t="s">
        <v>58</v>
      </c>
      <c r="AR407" s="9" t="s">
        <v>2176</v>
      </c>
      <c r="AS407" s="9" t="n">
        <v>3864</v>
      </c>
      <c r="AT407" s="10" t="n">
        <f aca="false">(AS407/Q407)*100</f>
        <v>2.1167035519425</v>
      </c>
    </row>
    <row r="408" customFormat="false" ht="12.8" hidden="false" customHeight="true" outlineLevel="0" collapsed="false">
      <c r="A408" s="33" t="n">
        <v>2016</v>
      </c>
      <c r="B408" s="8" t="n">
        <v>173</v>
      </c>
      <c r="C408" s="9" t="s">
        <v>1054</v>
      </c>
      <c r="D408" s="9" t="s">
        <v>1036</v>
      </c>
      <c r="E408" s="9" t="s">
        <v>903</v>
      </c>
      <c r="F408" s="9" t="s">
        <v>1015</v>
      </c>
      <c r="G408" s="9" t="s">
        <v>50</v>
      </c>
      <c r="H408" s="9" t="s">
        <v>51</v>
      </c>
      <c r="I408" s="9" t="s">
        <v>51</v>
      </c>
      <c r="J408" s="9" t="s">
        <v>51</v>
      </c>
      <c r="K408" s="9" t="s">
        <v>53</v>
      </c>
      <c r="L408" s="9" t="s">
        <v>51</v>
      </c>
      <c r="M408" s="9" t="s">
        <v>51</v>
      </c>
      <c r="N408" s="9" t="s">
        <v>51</v>
      </c>
      <c r="O408" s="9" t="s">
        <v>51</v>
      </c>
      <c r="P408" s="9" t="n">
        <v>248086</v>
      </c>
      <c r="Q408" s="9" t="n">
        <v>203030</v>
      </c>
      <c r="R408" s="10" t="n">
        <f aca="false">(Q408/P408)*100</f>
        <v>81.8385559846182</v>
      </c>
      <c r="S408" s="9" t="n">
        <f aca="false">Y408-AD408</f>
        <v>14343</v>
      </c>
      <c r="T408" s="10" t="n">
        <f aca="false">(S408/Q408)*100</f>
        <v>7.06447323055706</v>
      </c>
      <c r="U408" s="10" t="n">
        <f aca="false">Z408+AE408</f>
        <v>91.4854947544698</v>
      </c>
      <c r="V408" s="9" t="s">
        <v>52</v>
      </c>
      <c r="W408" s="9" t="s">
        <v>53</v>
      </c>
      <c r="X408" s="9" t="s">
        <v>1055</v>
      </c>
      <c r="Y408" s="9" t="n">
        <v>100043</v>
      </c>
      <c r="Z408" s="10" t="n">
        <f aca="false">(Y408/Q408)*100</f>
        <v>49.2749839925134</v>
      </c>
      <c r="AA408" s="9" t="s">
        <v>55</v>
      </c>
      <c r="AB408" s="9" t="s">
        <v>68</v>
      </c>
      <c r="AC408" s="9" t="s">
        <v>2177</v>
      </c>
      <c r="AD408" s="9" t="n">
        <v>85700</v>
      </c>
      <c r="AE408" s="10" t="n">
        <f aca="false">(AD408/Q408)*100</f>
        <v>42.2105107619564</v>
      </c>
      <c r="AF408" s="9" t="s">
        <v>1429</v>
      </c>
      <c r="AG408" s="9" t="s">
        <v>422</v>
      </c>
      <c r="AH408" s="9" t="s">
        <v>2178</v>
      </c>
      <c r="AI408" s="9" t="n">
        <v>8604</v>
      </c>
      <c r="AJ408" s="10" t="n">
        <f aca="false">(AI408/Q408)*100</f>
        <v>4.23779736984682</v>
      </c>
      <c r="AK408" s="9" t="s">
        <v>63</v>
      </c>
      <c r="AL408" s="9" t="s">
        <v>63</v>
      </c>
      <c r="AM408" s="9" t="s">
        <v>63</v>
      </c>
      <c r="AN408" s="9" t="n">
        <v>1987</v>
      </c>
      <c r="AO408" s="10" t="n">
        <f aca="false">(AN408/Q408)*100</f>
        <v>0.978673102497168</v>
      </c>
      <c r="AP408" s="29" t="s">
        <v>58</v>
      </c>
      <c r="AQ408" s="29" t="s">
        <v>58</v>
      </c>
      <c r="AR408" s="9" t="s">
        <v>2179</v>
      </c>
      <c r="AS408" s="9" t="n">
        <v>1806</v>
      </c>
      <c r="AT408" s="10" t="n">
        <f aca="false">(AS408/Q408)*100</f>
        <v>0.889523715707038</v>
      </c>
    </row>
    <row r="409" customFormat="false" ht="12.8" hidden="false" customHeight="true" outlineLevel="0" collapsed="false">
      <c r="A409" s="33" t="n">
        <v>2016</v>
      </c>
      <c r="B409" s="8" t="n">
        <v>174</v>
      </c>
      <c r="C409" s="9" t="s">
        <v>1036</v>
      </c>
      <c r="D409" s="9" t="s">
        <v>1036</v>
      </c>
      <c r="E409" s="9" t="s">
        <v>903</v>
      </c>
      <c r="F409" s="9" t="s">
        <v>1015</v>
      </c>
      <c r="G409" s="9" t="s">
        <v>88</v>
      </c>
      <c r="H409" s="9" t="s">
        <v>51</v>
      </c>
      <c r="I409" s="9" t="s">
        <v>526</v>
      </c>
      <c r="J409" s="9" t="s">
        <v>51</v>
      </c>
      <c r="K409" s="9" t="s">
        <v>53</v>
      </c>
      <c r="L409" s="9" t="s">
        <v>68</v>
      </c>
      <c r="M409" s="9" t="s">
        <v>53</v>
      </c>
      <c r="N409" s="9" t="s">
        <v>51</v>
      </c>
      <c r="O409" s="9" t="s">
        <v>169</v>
      </c>
      <c r="P409" s="9" t="n">
        <v>268787</v>
      </c>
      <c r="Q409" s="9" t="n">
        <v>186444</v>
      </c>
      <c r="R409" s="10" t="n">
        <f aca="false">(Q409/P409)*100</f>
        <v>69.3649618471131</v>
      </c>
      <c r="S409" s="9" t="n">
        <f aca="false">Y409-AD409</f>
        <v>26874</v>
      </c>
      <c r="T409" s="10" t="n">
        <f aca="false">(S409/Q409)*100</f>
        <v>14.4139795327283</v>
      </c>
      <c r="U409" s="10" t="n">
        <f aca="false">Z409+AE409</f>
        <v>94.3178648816803</v>
      </c>
      <c r="V409" s="9" t="s">
        <v>55</v>
      </c>
      <c r="W409" s="9" t="s">
        <v>68</v>
      </c>
      <c r="X409" s="34" t="s">
        <v>2180</v>
      </c>
      <c r="Y409" s="34" t="n">
        <v>101362</v>
      </c>
      <c r="Z409" s="10" t="n">
        <f aca="false">(Y409/Q409)*100</f>
        <v>54.3659222072043</v>
      </c>
      <c r="AA409" s="9" t="s">
        <v>52</v>
      </c>
      <c r="AB409" s="9" t="s">
        <v>53</v>
      </c>
      <c r="AC409" s="34" t="s">
        <v>2181</v>
      </c>
      <c r="AD409" s="34" t="n">
        <v>74488</v>
      </c>
      <c r="AE409" s="10" t="n">
        <f aca="false">(AD409/Q409)*100</f>
        <v>39.951942674476</v>
      </c>
      <c r="AF409" s="34" t="s">
        <v>1431</v>
      </c>
      <c r="AG409" s="9" t="s">
        <v>171</v>
      </c>
      <c r="AH409" s="34" t="s">
        <v>2182</v>
      </c>
      <c r="AI409" s="34" t="n">
        <v>3806</v>
      </c>
      <c r="AJ409" s="10" t="n">
        <f aca="false">(AI409/Q409)*100</f>
        <v>2.04136362661174</v>
      </c>
      <c r="AK409" s="9" t="s">
        <v>63</v>
      </c>
      <c r="AL409" s="9" t="s">
        <v>63</v>
      </c>
      <c r="AM409" s="9" t="s">
        <v>63</v>
      </c>
      <c r="AN409" s="34" t="n">
        <v>2295</v>
      </c>
      <c r="AO409" s="10" t="n">
        <f aca="false">(AN409/Q409)*100</f>
        <v>1.23093261247345</v>
      </c>
      <c r="AP409" s="34" t="s">
        <v>1429</v>
      </c>
      <c r="AQ409" s="34" t="s">
        <v>61</v>
      </c>
      <c r="AR409" s="34" t="s">
        <v>2183</v>
      </c>
      <c r="AS409" s="34" t="n">
        <v>1534</v>
      </c>
      <c r="AT409" s="10" t="n">
        <f aca="false">(AS409/Q409)*100</f>
        <v>0.822767157967004</v>
      </c>
    </row>
    <row r="410" customFormat="false" ht="12.8" hidden="false" customHeight="true" outlineLevel="0" collapsed="false">
      <c r="A410" s="33" t="n">
        <v>2016</v>
      </c>
      <c r="B410" s="8" t="n">
        <v>175</v>
      </c>
      <c r="C410" s="9" t="s">
        <v>1066</v>
      </c>
      <c r="D410" s="9" t="s">
        <v>1036</v>
      </c>
      <c r="E410" s="9" t="s">
        <v>903</v>
      </c>
      <c r="F410" s="9" t="s">
        <v>1015</v>
      </c>
      <c r="G410" s="9" t="s">
        <v>50</v>
      </c>
      <c r="H410" s="9" t="s">
        <v>51</v>
      </c>
      <c r="I410" s="9" t="s">
        <v>526</v>
      </c>
      <c r="J410" s="9" t="s">
        <v>51</v>
      </c>
      <c r="K410" s="9" t="s">
        <v>68</v>
      </c>
      <c r="L410" s="9" t="s">
        <v>68</v>
      </c>
      <c r="M410" s="9" t="s">
        <v>51</v>
      </c>
      <c r="N410" s="9" t="s">
        <v>51</v>
      </c>
      <c r="O410" s="9" t="s">
        <v>51</v>
      </c>
      <c r="P410" s="9" t="n">
        <v>225366</v>
      </c>
      <c r="Q410" s="9" t="n">
        <v>180023</v>
      </c>
      <c r="R410" s="10" t="n">
        <f aca="false">(Q410/P410)*100</f>
        <v>79.8802836275215</v>
      </c>
      <c r="S410" s="9" t="n">
        <f aca="false">Y410-AD410</f>
        <v>3645</v>
      </c>
      <c r="T410" s="10" t="n">
        <f aca="false">(S410/Q410)*100</f>
        <v>2.02474128305828</v>
      </c>
      <c r="U410" s="10" t="n">
        <f aca="false">Z410+AE410</f>
        <v>91.7166139882126</v>
      </c>
      <c r="V410" s="9" t="s">
        <v>52</v>
      </c>
      <c r="W410" s="18" t="s">
        <v>53</v>
      </c>
      <c r="X410" s="9" t="s">
        <v>2184</v>
      </c>
      <c r="Y410" s="9" t="n">
        <v>84378</v>
      </c>
      <c r="Z410" s="10" t="n">
        <f aca="false">(Y410/Q410)*100</f>
        <v>46.8706776356355</v>
      </c>
      <c r="AA410" s="9" t="s">
        <v>55</v>
      </c>
      <c r="AB410" s="18" t="s">
        <v>68</v>
      </c>
      <c r="AC410" s="9" t="s">
        <v>2185</v>
      </c>
      <c r="AD410" s="9" t="n">
        <v>80733</v>
      </c>
      <c r="AE410" s="10" t="n">
        <f aca="false">(AD410/Q410)*100</f>
        <v>44.8459363525772</v>
      </c>
      <c r="AF410" s="9" t="s">
        <v>1429</v>
      </c>
      <c r="AG410" s="18" t="s">
        <v>61</v>
      </c>
      <c r="AH410" s="9" t="s">
        <v>2186</v>
      </c>
      <c r="AI410" s="9" t="n">
        <v>6351</v>
      </c>
      <c r="AJ410" s="10" t="n">
        <f aca="false">(AI410/Q410)*100</f>
        <v>3.52788254834105</v>
      </c>
      <c r="AK410" s="9" t="s">
        <v>58</v>
      </c>
      <c r="AL410" s="18" t="s">
        <v>58</v>
      </c>
      <c r="AM410" s="9" t="s">
        <v>2187</v>
      </c>
      <c r="AN410" s="9" t="n">
        <v>1891</v>
      </c>
      <c r="AO410" s="10" t="n">
        <f aca="false">(AN410/Q410)*100</f>
        <v>1.05042133505163</v>
      </c>
      <c r="AP410" s="9" t="s">
        <v>63</v>
      </c>
      <c r="AQ410" s="18" t="s">
        <v>63</v>
      </c>
      <c r="AR410" s="18" t="s">
        <v>63</v>
      </c>
      <c r="AS410" s="9" t="n">
        <v>1882</v>
      </c>
      <c r="AT410" s="10" t="n">
        <f aca="false">(AS410/Q410)*100</f>
        <v>1.0454219738589</v>
      </c>
    </row>
    <row r="411" customFormat="false" ht="12.8" hidden="false" customHeight="true" outlineLevel="0" collapsed="false">
      <c r="A411" s="33" t="n">
        <v>2016</v>
      </c>
      <c r="B411" s="8" t="n">
        <v>176</v>
      </c>
      <c r="C411" s="9" t="s">
        <v>1072</v>
      </c>
      <c r="D411" s="9" t="s">
        <v>1036</v>
      </c>
      <c r="E411" s="9" t="s">
        <v>903</v>
      </c>
      <c r="F411" s="9" t="s">
        <v>1015</v>
      </c>
      <c r="G411" s="9" t="s">
        <v>77</v>
      </c>
      <c r="H411" s="9" t="s">
        <v>51</v>
      </c>
      <c r="I411" s="9" t="s">
        <v>51</v>
      </c>
      <c r="J411" s="9" t="s">
        <v>51</v>
      </c>
      <c r="K411" s="9" t="s">
        <v>51</v>
      </c>
      <c r="L411" s="9" t="s">
        <v>66</v>
      </c>
      <c r="M411" s="9" t="s">
        <v>51</v>
      </c>
      <c r="N411" s="9" t="s">
        <v>51</v>
      </c>
      <c r="O411" s="9" t="s">
        <v>51</v>
      </c>
      <c r="P411" s="9" t="n">
        <v>227191</v>
      </c>
      <c r="Q411" s="9" t="n">
        <v>165890</v>
      </c>
      <c r="R411" s="10" t="n">
        <f aca="false">(Q411/P411)*100</f>
        <v>73.0178572214568</v>
      </c>
      <c r="S411" s="9" t="n">
        <f aca="false">Y411-AD411</f>
        <v>12358</v>
      </c>
      <c r="T411" s="10" t="n">
        <f aca="false">(S411/Q411)*100</f>
        <v>7.44951473868226</v>
      </c>
      <c r="U411" s="10" t="n">
        <f aca="false">Z411+AE411</f>
        <v>77.704502983905</v>
      </c>
      <c r="V411" s="9" t="s">
        <v>55</v>
      </c>
      <c r="W411" s="9" t="s">
        <v>68</v>
      </c>
      <c r="X411" s="9" t="s">
        <v>2188</v>
      </c>
      <c r="Y411" s="9" t="n">
        <v>70631</v>
      </c>
      <c r="Z411" s="10" t="n">
        <f aca="false">(Y411/Q411)*100</f>
        <v>42.5770088612936</v>
      </c>
      <c r="AA411" s="9" t="s">
        <v>52</v>
      </c>
      <c r="AB411" s="9" t="s">
        <v>66</v>
      </c>
      <c r="AC411" s="9" t="s">
        <v>2189</v>
      </c>
      <c r="AD411" s="9" t="n">
        <v>58273</v>
      </c>
      <c r="AE411" s="10" t="n">
        <f aca="false">(AD411/Q411)*100</f>
        <v>35.1274941226114</v>
      </c>
      <c r="AF411" s="9" t="s">
        <v>1429</v>
      </c>
      <c r="AG411" s="9" t="s">
        <v>61</v>
      </c>
      <c r="AH411" s="9" t="s">
        <v>2190</v>
      </c>
      <c r="AI411" s="9" t="n">
        <v>11231</v>
      </c>
      <c r="AJ411" s="10" t="n">
        <f aca="false">(AI411/Q411)*100</f>
        <v>6.77014889384532</v>
      </c>
      <c r="AK411" s="9" t="s">
        <v>1431</v>
      </c>
      <c r="AL411" s="9" t="s">
        <v>171</v>
      </c>
      <c r="AM411" s="9" t="s">
        <v>2191</v>
      </c>
      <c r="AN411" s="9" t="n">
        <v>11039</v>
      </c>
      <c r="AO411" s="10" t="n">
        <f aca="false">(AN411/Q411)*100</f>
        <v>6.65440954849599</v>
      </c>
      <c r="AP411" s="9" t="s">
        <v>352</v>
      </c>
      <c r="AQ411" s="9" t="s">
        <v>352</v>
      </c>
      <c r="AR411" s="9" t="s">
        <v>2192</v>
      </c>
      <c r="AS411" s="9" t="n">
        <v>3923</v>
      </c>
      <c r="AT411" s="10" t="n">
        <f aca="false">(AS411/Q411)*100</f>
        <v>2.36482006148653</v>
      </c>
    </row>
    <row r="412" customFormat="false" ht="12.8" hidden="false" customHeight="true" outlineLevel="0" collapsed="false">
      <c r="A412" s="33" t="n">
        <v>2016</v>
      </c>
      <c r="B412" s="8" t="n">
        <v>177</v>
      </c>
      <c r="C412" s="9" t="s">
        <v>1078</v>
      </c>
      <c r="D412" s="9" t="s">
        <v>1036</v>
      </c>
      <c r="E412" s="9" t="s">
        <v>903</v>
      </c>
      <c r="F412" s="9" t="s">
        <v>1015</v>
      </c>
      <c r="G412" s="9" t="s">
        <v>50</v>
      </c>
      <c r="H412" s="9" t="s">
        <v>51</v>
      </c>
      <c r="I412" s="9" t="s">
        <v>51</v>
      </c>
      <c r="J412" s="9" t="s">
        <v>51</v>
      </c>
      <c r="K412" s="9" t="s">
        <v>51</v>
      </c>
      <c r="L412" s="9" t="s">
        <v>68</v>
      </c>
      <c r="M412" s="9" t="s">
        <v>51</v>
      </c>
      <c r="N412" s="9" t="s">
        <v>51</v>
      </c>
      <c r="O412" s="9" t="s">
        <v>51</v>
      </c>
      <c r="P412" s="9" t="n">
        <v>205368</v>
      </c>
      <c r="Q412" s="9" t="n">
        <v>161897</v>
      </c>
      <c r="R412" s="10" t="n">
        <f aca="false">(Q412/P412)*100</f>
        <v>78.8326321530131</v>
      </c>
      <c r="S412" s="9" t="n">
        <f aca="false">Y412-AD412</f>
        <v>995</v>
      </c>
      <c r="T412" s="10" t="n">
        <f aca="false">(S412/Q412)*100</f>
        <v>0.614588287614965</v>
      </c>
      <c r="U412" s="10" t="n">
        <f aca="false">Z412+AE412</f>
        <v>90.6879065084591</v>
      </c>
      <c r="V412" s="9" t="s">
        <v>55</v>
      </c>
      <c r="W412" s="9" t="s">
        <v>68</v>
      </c>
      <c r="X412" s="9" t="s">
        <v>2193</v>
      </c>
      <c r="Y412" s="9" t="n">
        <v>73908</v>
      </c>
      <c r="Z412" s="10" t="n">
        <f aca="false">(Y412/Q412)*100</f>
        <v>45.651247398037</v>
      </c>
      <c r="AA412" s="9" t="s">
        <v>52</v>
      </c>
      <c r="AB412" s="9" t="s">
        <v>53</v>
      </c>
      <c r="AC412" s="9" t="s">
        <v>2194</v>
      </c>
      <c r="AD412" s="9" t="n">
        <v>72913</v>
      </c>
      <c r="AE412" s="10" t="n">
        <f aca="false">(AD412/Q412)*100</f>
        <v>45.0366591104221</v>
      </c>
      <c r="AF412" s="9" t="s">
        <v>1429</v>
      </c>
      <c r="AG412" s="9" t="s">
        <v>392</v>
      </c>
      <c r="AH412" s="9" t="s">
        <v>2195</v>
      </c>
      <c r="AI412" s="9" t="n">
        <v>5816</v>
      </c>
      <c r="AJ412" s="10" t="n">
        <f aca="false">(AI412/Q412)*100</f>
        <v>3.59240751836044</v>
      </c>
      <c r="AK412" s="9" t="s">
        <v>1431</v>
      </c>
      <c r="AL412" s="9" t="s">
        <v>171</v>
      </c>
      <c r="AM412" s="9" t="s">
        <v>2196</v>
      </c>
      <c r="AN412" s="9" t="n">
        <v>4612</v>
      </c>
      <c r="AO412" s="10" t="n">
        <f aca="false">(AN412/Q412)*100</f>
        <v>2.84872480651278</v>
      </c>
      <c r="AP412" s="9" t="s">
        <v>58</v>
      </c>
      <c r="AQ412" s="9" t="s">
        <v>58</v>
      </c>
      <c r="AR412" s="9" t="s">
        <v>2197</v>
      </c>
      <c r="AS412" s="9" t="n">
        <v>1602</v>
      </c>
      <c r="AT412" s="10" t="n">
        <f aca="false">(AS412/Q412)*100</f>
        <v>0.989518026893642</v>
      </c>
    </row>
    <row r="413" customFormat="false" ht="12.8" hidden="false" customHeight="true" outlineLevel="0" collapsed="false">
      <c r="A413" s="33" t="n">
        <v>2016</v>
      </c>
      <c r="B413" s="8" t="n">
        <v>178</v>
      </c>
      <c r="C413" s="9" t="s">
        <v>1083</v>
      </c>
      <c r="D413" s="9" t="s">
        <v>1084</v>
      </c>
      <c r="E413" s="9" t="s">
        <v>192</v>
      </c>
      <c r="F413" s="9" t="s">
        <v>1085</v>
      </c>
      <c r="G413" s="9" t="s">
        <v>50</v>
      </c>
      <c r="H413" s="9" t="s">
        <v>65</v>
      </c>
      <c r="I413" s="9" t="s">
        <v>51</v>
      </c>
      <c r="J413" s="9" t="s">
        <v>51</v>
      </c>
      <c r="K413" s="9" t="s">
        <v>51</v>
      </c>
      <c r="L413" s="9" t="s">
        <v>51</v>
      </c>
      <c r="M413" s="9" t="s">
        <v>51</v>
      </c>
      <c r="N413" s="9" t="s">
        <v>51</v>
      </c>
      <c r="O413" s="9" t="s">
        <v>51</v>
      </c>
      <c r="P413" s="9" t="n">
        <v>186922</v>
      </c>
      <c r="Q413" s="9" t="n">
        <v>146090</v>
      </c>
      <c r="R413" s="10" t="n">
        <f aca="false">(Q413/P413)*100</f>
        <v>78.155594312066</v>
      </c>
      <c r="S413" s="9" t="n">
        <f aca="false">Y413-AD413</f>
        <v>3047</v>
      </c>
      <c r="T413" s="10" t="n">
        <f aca="false">(S413/Q413)*100</f>
        <v>2.08570059552331</v>
      </c>
      <c r="U413" s="10" t="n">
        <f aca="false">Z413+AE413</f>
        <v>85.5903894859333</v>
      </c>
      <c r="V413" s="9" t="s">
        <v>55</v>
      </c>
      <c r="W413" s="9" t="s">
        <v>68</v>
      </c>
      <c r="X413" s="9" t="s">
        <v>2198</v>
      </c>
      <c r="Y413" s="9" t="n">
        <v>64043</v>
      </c>
      <c r="Z413" s="10" t="n">
        <f aca="false">(Y413/Q413)*100</f>
        <v>43.8380450407283</v>
      </c>
      <c r="AA413" s="9" t="s">
        <v>52</v>
      </c>
      <c r="AB413" s="9" t="s">
        <v>53</v>
      </c>
      <c r="AC413" s="9" t="s">
        <v>2199</v>
      </c>
      <c r="AD413" s="9" t="n">
        <v>60996</v>
      </c>
      <c r="AE413" s="10" t="n">
        <f aca="false">(AD413/Q413)*100</f>
        <v>41.752344445205</v>
      </c>
      <c r="AF413" s="9" t="s">
        <v>1429</v>
      </c>
      <c r="AG413" s="9" t="s">
        <v>422</v>
      </c>
      <c r="AH413" s="9" t="s">
        <v>2200</v>
      </c>
      <c r="AI413" s="9" t="n">
        <v>13918</v>
      </c>
      <c r="AJ413" s="10" t="n">
        <f aca="false">(AI413/Q413)*100</f>
        <v>9.52700390170443</v>
      </c>
      <c r="AK413" s="9" t="s">
        <v>1431</v>
      </c>
      <c r="AL413" s="9" t="s">
        <v>171</v>
      </c>
      <c r="AM413" s="9" t="s">
        <v>2201</v>
      </c>
      <c r="AN413" s="9" t="n">
        <v>1600</v>
      </c>
      <c r="AO413" s="10" t="n">
        <f aca="false">(AN413/Q413)*100</f>
        <v>1.09521527825313</v>
      </c>
      <c r="AP413" s="9" t="s">
        <v>63</v>
      </c>
      <c r="AQ413" s="9" t="s">
        <v>63</v>
      </c>
      <c r="AR413" s="9" t="s">
        <v>63</v>
      </c>
      <c r="AS413" s="9" t="n">
        <v>1556</v>
      </c>
      <c r="AT413" s="10" t="n">
        <f aca="false">(AS413/Q413)*100</f>
        <v>1.06509685810117</v>
      </c>
    </row>
    <row r="414" customFormat="false" ht="12.8" hidden="false" customHeight="true" outlineLevel="0" collapsed="false">
      <c r="A414" s="33" t="n">
        <v>2016</v>
      </c>
      <c r="B414" s="8" t="n">
        <v>179</v>
      </c>
      <c r="C414" s="9" t="s">
        <v>1090</v>
      </c>
      <c r="D414" s="9" t="s">
        <v>1084</v>
      </c>
      <c r="E414" s="9" t="s">
        <v>192</v>
      </c>
      <c r="F414" s="9" t="s">
        <v>1085</v>
      </c>
      <c r="G414" s="9" t="s">
        <v>50</v>
      </c>
      <c r="H414" s="9" t="s">
        <v>51</v>
      </c>
      <c r="I414" s="9" t="s">
        <v>51</v>
      </c>
      <c r="J414" s="9" t="s">
        <v>51</v>
      </c>
      <c r="K414" s="9" t="s">
        <v>68</v>
      </c>
      <c r="L414" s="9" t="s">
        <v>51</v>
      </c>
      <c r="M414" s="9" t="s">
        <v>68</v>
      </c>
      <c r="N414" s="9" t="s">
        <v>51</v>
      </c>
      <c r="O414" s="9" t="s">
        <v>51</v>
      </c>
      <c r="P414" s="9" t="n">
        <v>202517</v>
      </c>
      <c r="Q414" s="9" t="n">
        <v>170448</v>
      </c>
      <c r="R414" s="10" t="n">
        <f aca="false">(Q414/P414)*100</f>
        <v>84.1647861660996</v>
      </c>
      <c r="S414" s="9" t="n">
        <f aca="false">Y414-AD414</f>
        <v>8447</v>
      </c>
      <c r="T414" s="10" t="n">
        <f aca="false">(S414/Q414)*100</f>
        <v>4.9557636346569</v>
      </c>
      <c r="U414" s="10" t="n">
        <f aca="false">Z414+AE414</f>
        <v>94.4305594668169</v>
      </c>
      <c r="V414" s="9" t="s">
        <v>55</v>
      </c>
      <c r="W414" s="9" t="s">
        <v>68</v>
      </c>
      <c r="X414" s="9" t="s">
        <v>2202</v>
      </c>
      <c r="Y414" s="9" t="n">
        <v>84701</v>
      </c>
      <c r="Z414" s="10" t="n">
        <f aca="false">(Y414/Q414)*100</f>
        <v>49.6931615507369</v>
      </c>
      <c r="AA414" s="9" t="s">
        <v>52</v>
      </c>
      <c r="AB414" s="9" t="s">
        <v>53</v>
      </c>
      <c r="AC414" s="9" t="s">
        <v>2203</v>
      </c>
      <c r="AD414" s="9" t="n">
        <v>76254</v>
      </c>
      <c r="AE414" s="10" t="n">
        <f aca="false">(AD414/Q414)*100</f>
        <v>44.73739791608</v>
      </c>
      <c r="AF414" s="9" t="s">
        <v>1429</v>
      </c>
      <c r="AG414" s="9" t="s">
        <v>61</v>
      </c>
      <c r="AH414" s="9" t="s">
        <v>2204</v>
      </c>
      <c r="AI414" s="9" t="n">
        <v>2979</v>
      </c>
      <c r="AJ414" s="10" t="n">
        <f aca="false">(AI414/Q414)*100</f>
        <v>1.74774711348916</v>
      </c>
      <c r="AK414" s="9" t="s">
        <v>197</v>
      </c>
      <c r="AL414" s="9" t="s">
        <v>2205</v>
      </c>
      <c r="AM414" s="9" t="s">
        <v>2206</v>
      </c>
      <c r="AN414" s="9" t="n">
        <v>1089</v>
      </c>
      <c r="AO414" s="10" t="n">
        <f aca="false">(AN414/Q414)*100</f>
        <v>0.638904533934103</v>
      </c>
      <c r="AP414" s="9" t="s">
        <v>63</v>
      </c>
      <c r="AQ414" s="9" t="s">
        <v>63</v>
      </c>
      <c r="AR414" s="9" t="s">
        <v>63</v>
      </c>
      <c r="AS414" s="9" t="n">
        <v>974</v>
      </c>
      <c r="AT414" s="10" t="n">
        <f aca="false">(AS414/Q414)*100</f>
        <v>0.571435276447949</v>
      </c>
    </row>
    <row r="415" customFormat="false" ht="12.8" hidden="false" customHeight="true" outlineLevel="0" collapsed="false">
      <c r="A415" s="33" t="n">
        <v>2016</v>
      </c>
      <c r="B415" s="8" t="n">
        <v>180</v>
      </c>
      <c r="C415" s="9" t="s">
        <v>1096</v>
      </c>
      <c r="D415" s="9" t="s">
        <v>1084</v>
      </c>
      <c r="E415" s="9" t="s">
        <v>192</v>
      </c>
      <c r="F415" s="9" t="s">
        <v>1085</v>
      </c>
      <c r="G415" s="9" t="s">
        <v>88</v>
      </c>
      <c r="H415" s="9" t="s">
        <v>51</v>
      </c>
      <c r="I415" s="9" t="s">
        <v>51</v>
      </c>
      <c r="J415" s="9" t="s">
        <v>51</v>
      </c>
      <c r="K415" s="9" t="s">
        <v>51</v>
      </c>
      <c r="L415" s="9" t="s">
        <v>51</v>
      </c>
      <c r="M415" s="9" t="s">
        <v>51</v>
      </c>
      <c r="N415" s="9" t="s">
        <v>66</v>
      </c>
      <c r="O415" s="9" t="s">
        <v>51</v>
      </c>
      <c r="P415" s="9" t="n">
        <v>227802</v>
      </c>
      <c r="Q415" s="9" t="n">
        <v>170282</v>
      </c>
      <c r="R415" s="10" t="n">
        <f aca="false">(Q415/P415)*100</f>
        <v>74.7500021948885</v>
      </c>
      <c r="S415" s="9" t="n">
        <f aca="false">Y415-AD415</f>
        <v>2084</v>
      </c>
      <c r="T415" s="10" t="n">
        <f aca="false">(S415/Q415)*100</f>
        <v>1.22385219811842</v>
      </c>
      <c r="U415" s="10" t="n">
        <f aca="false">Z415+AE415</f>
        <v>77.1625891168767</v>
      </c>
      <c r="V415" s="9" t="s">
        <v>52</v>
      </c>
      <c r="W415" s="9" t="s">
        <v>53</v>
      </c>
      <c r="X415" s="9" t="s">
        <v>2207</v>
      </c>
      <c r="Y415" s="9" t="n">
        <v>66739</v>
      </c>
      <c r="Z415" s="10" t="n">
        <f aca="false">(Y415/Q415)*100</f>
        <v>39.1932206574976</v>
      </c>
      <c r="AA415" s="9" t="s">
        <v>55</v>
      </c>
      <c r="AB415" s="9" t="s">
        <v>68</v>
      </c>
      <c r="AC415" s="9" t="s">
        <v>2208</v>
      </c>
      <c r="AD415" s="9" t="n">
        <v>64655</v>
      </c>
      <c r="AE415" s="10" t="n">
        <f aca="false">(AD415/Q415)*100</f>
        <v>37.9693684593792</v>
      </c>
      <c r="AF415" s="9" t="s">
        <v>197</v>
      </c>
      <c r="AG415" s="9" t="s">
        <v>197</v>
      </c>
      <c r="AH415" s="9" t="s">
        <v>2209</v>
      </c>
      <c r="AI415" s="9" t="n">
        <v>22973</v>
      </c>
      <c r="AJ415" s="10" t="n">
        <f aca="false">(AI415/Q415)*100</f>
        <v>13.4911499747478</v>
      </c>
      <c r="AK415" s="9" t="s">
        <v>1429</v>
      </c>
      <c r="AL415" s="9" t="s">
        <v>61</v>
      </c>
      <c r="AM415" s="9" t="s">
        <v>2210</v>
      </c>
      <c r="AN415" s="9" t="n">
        <v>7810</v>
      </c>
      <c r="AO415" s="10" t="n">
        <f aca="false">(AN415/Q415)*100</f>
        <v>4.58650943728638</v>
      </c>
      <c r="AP415" s="9" t="s">
        <v>63</v>
      </c>
      <c r="AQ415" s="9" t="s">
        <v>63</v>
      </c>
      <c r="AR415" s="9" t="s">
        <v>63</v>
      </c>
      <c r="AS415" s="9" t="n">
        <v>1637</v>
      </c>
      <c r="AT415" s="10" t="n">
        <f aca="false">(AS415/Q415)*100</f>
        <v>0.961346472322383</v>
      </c>
    </row>
    <row r="416" customFormat="false" ht="12.8" hidden="false" customHeight="true" outlineLevel="0" collapsed="false">
      <c r="A416" s="33" t="n">
        <v>2016</v>
      </c>
      <c r="B416" s="8" t="n">
        <v>181</v>
      </c>
      <c r="C416" s="9" t="s">
        <v>1102</v>
      </c>
      <c r="D416" s="9" t="s">
        <v>1084</v>
      </c>
      <c r="E416" s="9" t="s">
        <v>192</v>
      </c>
      <c r="F416" s="9" t="s">
        <v>1085</v>
      </c>
      <c r="G416" s="9" t="s">
        <v>50</v>
      </c>
      <c r="H416" s="9" t="s">
        <v>51</v>
      </c>
      <c r="I416" s="9" t="s">
        <v>51</v>
      </c>
      <c r="J416" s="9" t="s">
        <v>51</v>
      </c>
      <c r="K416" s="9" t="s">
        <v>53</v>
      </c>
      <c r="L416" s="9" t="s">
        <v>51</v>
      </c>
      <c r="M416" s="9" t="s">
        <v>51</v>
      </c>
      <c r="N416" s="9" t="s">
        <v>51</v>
      </c>
      <c r="O416" s="9" t="s">
        <v>51</v>
      </c>
      <c r="P416" s="9" t="n">
        <v>208304</v>
      </c>
      <c r="Q416" s="9" t="n">
        <v>158768</v>
      </c>
      <c r="R416" s="10" t="n">
        <f aca="false">(Q416/P416)*100</f>
        <v>76.2193716875336</v>
      </c>
      <c r="S416" s="9" t="n">
        <f aca="false">Y416-AD416</f>
        <v>766</v>
      </c>
      <c r="T416" s="10" t="n">
        <f aca="false">(S416/Q416)*100</f>
        <v>0.482464980348685</v>
      </c>
      <c r="U416" s="10" t="n">
        <f aca="false">Z416+AE416</f>
        <v>90.6857805099264</v>
      </c>
      <c r="V416" s="9" t="s">
        <v>52</v>
      </c>
      <c r="W416" s="9" t="s">
        <v>53</v>
      </c>
      <c r="X416" s="9" t="s">
        <v>2211</v>
      </c>
      <c r="Y416" s="9" t="n">
        <v>72373</v>
      </c>
      <c r="Z416" s="10" t="n">
        <f aca="false">(Y416/Q416)*100</f>
        <v>45.5841227451376</v>
      </c>
      <c r="AA416" s="9" t="s">
        <v>55</v>
      </c>
      <c r="AB416" s="9" t="s">
        <v>68</v>
      </c>
      <c r="AC416" s="9" t="s">
        <v>2212</v>
      </c>
      <c r="AD416" s="9" t="n">
        <v>71607</v>
      </c>
      <c r="AE416" s="10" t="n">
        <f aca="false">(AD416/Q416)*100</f>
        <v>45.1016577647889</v>
      </c>
      <c r="AF416" s="9" t="s">
        <v>1429</v>
      </c>
      <c r="AG416" s="9" t="s">
        <v>1338</v>
      </c>
      <c r="AH416" s="9" t="s">
        <v>2213</v>
      </c>
      <c r="AI416" s="9" t="n">
        <v>5096</v>
      </c>
      <c r="AJ416" s="10" t="n">
        <f aca="false">(AI416/Q416)*100</f>
        <v>3.20971480399073</v>
      </c>
      <c r="AK416" s="9" t="s">
        <v>58</v>
      </c>
      <c r="AL416" s="9" t="s">
        <v>58</v>
      </c>
      <c r="AM416" s="9" t="s">
        <v>2214</v>
      </c>
      <c r="AN416" s="9" t="n">
        <v>2323</v>
      </c>
      <c r="AO416" s="10" t="n">
        <f aca="false">(AN416/Q416)*100</f>
        <v>1.46314118714099</v>
      </c>
      <c r="AP416" s="9" t="s">
        <v>1431</v>
      </c>
      <c r="AQ416" s="9" t="s">
        <v>171</v>
      </c>
      <c r="AR416" s="9" t="s">
        <v>2215</v>
      </c>
      <c r="AS416" s="9" t="n">
        <v>2262</v>
      </c>
      <c r="AT416" s="10" t="n">
        <f aca="false">(AS416/Q416)*100</f>
        <v>1.42472034666935</v>
      </c>
    </row>
    <row r="417" customFormat="false" ht="12.8" hidden="false" customHeight="true" outlineLevel="0" collapsed="false">
      <c r="A417" s="33" t="n">
        <v>2016</v>
      </c>
      <c r="B417" s="8" t="n">
        <v>182</v>
      </c>
      <c r="C417" s="9" t="s">
        <v>1107</v>
      </c>
      <c r="D417" s="9" t="s">
        <v>1084</v>
      </c>
      <c r="E417" s="9" t="s">
        <v>192</v>
      </c>
      <c r="F417" s="9" t="s">
        <v>1085</v>
      </c>
      <c r="G417" s="9" t="s">
        <v>50</v>
      </c>
      <c r="H417" s="9" t="s">
        <v>51</v>
      </c>
      <c r="I417" s="9" t="s">
        <v>51</v>
      </c>
      <c r="J417" s="9" t="s">
        <v>51</v>
      </c>
      <c r="K417" s="9" t="s">
        <v>51</v>
      </c>
      <c r="L417" s="9" t="s">
        <v>68</v>
      </c>
      <c r="M417" s="9" t="s">
        <v>51</v>
      </c>
      <c r="N417" s="9" t="s">
        <v>51</v>
      </c>
      <c r="O417" s="9" t="s">
        <v>51</v>
      </c>
      <c r="P417" s="9" t="n">
        <v>198988</v>
      </c>
      <c r="Q417" s="9" t="n">
        <v>158096</v>
      </c>
      <c r="R417" s="10" t="n">
        <f aca="false">(Q417/P417)*100</f>
        <v>79.4500170864575</v>
      </c>
      <c r="S417" s="9" t="n">
        <f aca="false">Y417-AD417</f>
        <v>9941</v>
      </c>
      <c r="T417" s="10" t="n">
        <f aca="false">(S417/Q417)*100</f>
        <v>6.28795162432952</v>
      </c>
      <c r="U417" s="10" t="n">
        <f aca="false">Z417+AE417</f>
        <v>86.0508804776844</v>
      </c>
      <c r="V417" s="9" t="s">
        <v>52</v>
      </c>
      <c r="W417" s="9" t="s">
        <v>53</v>
      </c>
      <c r="X417" s="9" t="s">
        <v>1108</v>
      </c>
      <c r="Y417" s="9" t="n">
        <v>72992</v>
      </c>
      <c r="Z417" s="10" t="n">
        <f aca="false">(Y417/Q417)*100</f>
        <v>46.169416051007</v>
      </c>
      <c r="AA417" s="9" t="s">
        <v>55</v>
      </c>
      <c r="AB417" s="9" t="s">
        <v>68</v>
      </c>
      <c r="AC417" s="9" t="s">
        <v>2216</v>
      </c>
      <c r="AD417" s="9" t="n">
        <v>63051</v>
      </c>
      <c r="AE417" s="10" t="n">
        <f aca="false">(AD417/Q417)*100</f>
        <v>39.8814644266775</v>
      </c>
      <c r="AF417" s="9" t="s">
        <v>1429</v>
      </c>
      <c r="AG417" s="9" t="s">
        <v>271</v>
      </c>
      <c r="AH417" s="9" t="s">
        <v>2217</v>
      </c>
      <c r="AI417" s="9" t="n">
        <v>11387</v>
      </c>
      <c r="AJ417" s="10" t="n">
        <f aca="false">(AI417/Q417)*100</f>
        <v>7.20258577067098</v>
      </c>
      <c r="AK417" s="9"/>
      <c r="AL417" s="9" t="s">
        <v>56</v>
      </c>
      <c r="AM417" s="9" t="s">
        <v>2218</v>
      </c>
      <c r="AN417" s="9" t="n">
        <v>5514</v>
      </c>
      <c r="AO417" s="10" t="n">
        <f aca="false">(AN417/Q417)*100</f>
        <v>3.48775427588301</v>
      </c>
      <c r="AP417" s="9" t="s">
        <v>58</v>
      </c>
      <c r="AQ417" s="9" t="s">
        <v>58</v>
      </c>
      <c r="AR417" s="9" t="s">
        <v>2219</v>
      </c>
      <c r="AS417" s="9" t="n">
        <v>1495</v>
      </c>
      <c r="AT417" s="10" t="n">
        <f aca="false">(AS417/Q417)*100</f>
        <v>0.945627972877239</v>
      </c>
    </row>
    <row r="418" customFormat="false" ht="12.8" hidden="false" customHeight="true" outlineLevel="0" collapsed="false">
      <c r="A418" s="33" t="n">
        <v>2016</v>
      </c>
      <c r="B418" s="8" t="n">
        <v>183</v>
      </c>
      <c r="C418" s="9" t="s">
        <v>1113</v>
      </c>
      <c r="D418" s="9" t="s">
        <v>1084</v>
      </c>
      <c r="E418" s="9" t="s">
        <v>192</v>
      </c>
      <c r="F418" s="9" t="s">
        <v>1085</v>
      </c>
      <c r="G418" s="9" t="s">
        <v>50</v>
      </c>
      <c r="H418" s="9" t="s">
        <v>51</v>
      </c>
      <c r="I418" s="9" t="s">
        <v>526</v>
      </c>
      <c r="J418" s="9" t="s">
        <v>51</v>
      </c>
      <c r="K418" s="9" t="s">
        <v>51</v>
      </c>
      <c r="L418" s="30" t="s">
        <v>1114</v>
      </c>
      <c r="M418" s="9" t="s">
        <v>51</v>
      </c>
      <c r="N418" s="30" t="s">
        <v>1114</v>
      </c>
      <c r="O418" s="9" t="s">
        <v>51</v>
      </c>
      <c r="P418" s="9" t="n">
        <v>214394</v>
      </c>
      <c r="Q418" s="9" t="n">
        <v>154597</v>
      </c>
      <c r="R418" s="10" t="n">
        <f aca="false">(Q418/P418)*100</f>
        <v>72.1088276724162</v>
      </c>
      <c r="S418" s="9" t="n">
        <f aca="false">Y418-AD418</f>
        <v>2291</v>
      </c>
      <c r="T418" s="10" t="n">
        <f aca="false">(S418/Q418)*100</f>
        <v>1.48191750163328</v>
      </c>
      <c r="U418" s="10" t="n">
        <f aca="false">Z418+AE418</f>
        <v>88.9532138398546</v>
      </c>
      <c r="V418" s="9" t="s">
        <v>55</v>
      </c>
      <c r="W418" s="9" t="s">
        <v>68</v>
      </c>
      <c r="X418" s="9" t="s">
        <v>2220</v>
      </c>
      <c r="Y418" s="9" t="n">
        <v>69905</v>
      </c>
      <c r="Z418" s="10" t="n">
        <f aca="false">(Y418/Q418)*100</f>
        <v>45.2175656707439</v>
      </c>
      <c r="AA418" s="9" t="s">
        <v>52</v>
      </c>
      <c r="AB418" s="9" t="s">
        <v>66</v>
      </c>
      <c r="AC418" s="9" t="s">
        <v>1683</v>
      </c>
      <c r="AD418" s="9" t="n">
        <v>67614</v>
      </c>
      <c r="AE418" s="10" t="n">
        <f aca="false">(AD418/Q418)*100</f>
        <v>43.7356481691107</v>
      </c>
      <c r="AF418" s="9" t="s">
        <v>1429</v>
      </c>
      <c r="AG418" s="9" t="s">
        <v>392</v>
      </c>
      <c r="AH418" s="9" t="s">
        <v>2221</v>
      </c>
      <c r="AI418" s="9" t="n">
        <v>6341</v>
      </c>
      <c r="AJ418" s="10" t="n">
        <f aca="false">(AI418/Q418)*100</f>
        <v>4.10163198509674</v>
      </c>
      <c r="AK418" s="9"/>
      <c r="AL418" s="9" t="s">
        <v>352</v>
      </c>
      <c r="AM418" s="9" t="s">
        <v>2222</v>
      </c>
      <c r="AN418" s="9" t="n">
        <v>1741</v>
      </c>
      <c r="AO418" s="10" t="n">
        <f aca="false">(AN418/Q418)*100</f>
        <v>1.12615380634812</v>
      </c>
      <c r="AP418" s="9" t="s">
        <v>197</v>
      </c>
      <c r="AQ418" s="9" t="s">
        <v>197</v>
      </c>
      <c r="AR418" s="9" t="s">
        <v>2223</v>
      </c>
      <c r="AS418" s="9" t="n">
        <v>1238</v>
      </c>
      <c r="AT418" s="10" t="n">
        <f aca="false">(AS418/Q418)*100</f>
        <v>0.80079173593278</v>
      </c>
    </row>
    <row r="419" customFormat="false" ht="12.8" hidden="false" customHeight="true" outlineLevel="0" collapsed="false">
      <c r="A419" s="33" t="n">
        <v>2016</v>
      </c>
      <c r="B419" s="8" t="n">
        <v>184</v>
      </c>
      <c r="C419" s="9" t="s">
        <v>1119</v>
      </c>
      <c r="D419" s="9" t="s">
        <v>1120</v>
      </c>
      <c r="E419" s="9" t="s">
        <v>192</v>
      </c>
      <c r="F419" s="9" t="s">
        <v>1085</v>
      </c>
      <c r="G419" s="9" t="s">
        <v>88</v>
      </c>
      <c r="H419" s="9" t="s">
        <v>51</v>
      </c>
      <c r="I419" s="9" t="s">
        <v>51</v>
      </c>
      <c r="J419" s="9" t="s">
        <v>51</v>
      </c>
      <c r="K419" s="9" t="s">
        <v>51</v>
      </c>
      <c r="L419" s="9" t="s">
        <v>51</v>
      </c>
      <c r="M419" s="9" t="s">
        <v>51</v>
      </c>
      <c r="N419" s="9" t="s">
        <v>51</v>
      </c>
      <c r="O419" s="9" t="s">
        <v>51</v>
      </c>
      <c r="P419" s="9" t="n">
        <v>286435</v>
      </c>
      <c r="Q419" s="9" t="n">
        <v>201355</v>
      </c>
      <c r="R419" s="10" t="n">
        <f aca="false">(Q419/P419)*100</f>
        <v>70.2969260041545</v>
      </c>
      <c r="S419" s="9" t="n">
        <f aca="false">Y419-AD419</f>
        <v>18283</v>
      </c>
      <c r="T419" s="10" t="n">
        <f aca="false">(S419/Q419)*100</f>
        <v>9.07998311439994</v>
      </c>
      <c r="U419" s="10" t="n">
        <f aca="false">Z419+AE419</f>
        <v>83.7103622954483</v>
      </c>
      <c r="V419" s="9" t="s">
        <v>52</v>
      </c>
      <c r="W419" s="9" t="s">
        <v>66</v>
      </c>
      <c r="X419" s="9" t="s">
        <v>2224</v>
      </c>
      <c r="Y419" s="9" t="n">
        <v>93419</v>
      </c>
      <c r="Z419" s="10" t="n">
        <f aca="false">(Y419/Q419)*100</f>
        <v>46.3951727049241</v>
      </c>
      <c r="AA419" s="9" t="s">
        <v>55</v>
      </c>
      <c r="AB419" s="9" t="s">
        <v>68</v>
      </c>
      <c r="AC419" s="9" t="s">
        <v>2225</v>
      </c>
      <c r="AD419" s="9" t="n">
        <v>75136</v>
      </c>
      <c r="AE419" s="10" t="n">
        <f aca="false">(AD419/Q419)*100</f>
        <v>37.3151895905242</v>
      </c>
      <c r="AF419" s="9" t="s">
        <v>1429</v>
      </c>
      <c r="AG419" s="9" t="s">
        <v>271</v>
      </c>
      <c r="AH419" s="9" t="s">
        <v>2226</v>
      </c>
      <c r="AI419" s="9" t="n">
        <v>14279</v>
      </c>
      <c r="AJ419" s="10" t="n">
        <f aca="false">(AI419/Q419)*100</f>
        <v>7.09145538973455</v>
      </c>
      <c r="AK419" s="9" t="s">
        <v>58</v>
      </c>
      <c r="AL419" s="9" t="s">
        <v>58</v>
      </c>
      <c r="AM419" s="9" t="s">
        <v>2227</v>
      </c>
      <c r="AN419" s="9" t="n">
        <v>5344</v>
      </c>
      <c r="AO419" s="10" t="n">
        <f aca="false">(AN419/Q419)*100</f>
        <v>2.65401902113183</v>
      </c>
      <c r="AP419" s="9" t="s">
        <v>1431</v>
      </c>
      <c r="AQ419" s="9" t="s">
        <v>171</v>
      </c>
      <c r="AR419" s="9" t="s">
        <v>2228</v>
      </c>
      <c r="AS419" s="9" t="n">
        <v>4969</v>
      </c>
      <c r="AT419" s="10" t="n">
        <f aca="false">(AS419/Q419)*100</f>
        <v>2.4677807851804</v>
      </c>
    </row>
    <row r="420" customFormat="false" ht="12.8" hidden="false" customHeight="true" outlineLevel="0" collapsed="false">
      <c r="A420" s="33" t="n">
        <v>2016</v>
      </c>
      <c r="B420" s="8" t="n">
        <v>185</v>
      </c>
      <c r="C420" s="9" t="s">
        <v>1126</v>
      </c>
      <c r="D420" s="9" t="s">
        <v>1120</v>
      </c>
      <c r="E420" s="9" t="s">
        <v>192</v>
      </c>
      <c r="F420" s="9" t="s">
        <v>1085</v>
      </c>
      <c r="G420" s="9" t="s">
        <v>77</v>
      </c>
      <c r="H420" s="9" t="s">
        <v>51</v>
      </c>
      <c r="I420" s="9" t="s">
        <v>51</v>
      </c>
      <c r="J420" s="9" t="s">
        <v>51</v>
      </c>
      <c r="K420" s="9" t="s">
        <v>53</v>
      </c>
      <c r="L420" s="9" t="s">
        <v>51</v>
      </c>
      <c r="M420" s="9" t="s">
        <v>53</v>
      </c>
      <c r="N420" s="9" t="s">
        <v>51</v>
      </c>
      <c r="O420" s="9" t="s">
        <v>51</v>
      </c>
      <c r="P420" s="9" t="n">
        <v>268126</v>
      </c>
      <c r="Q420" s="9" t="n">
        <v>198690</v>
      </c>
      <c r="R420" s="10" t="n">
        <f aca="false">(Q420/P420)*100</f>
        <v>74.1032201278504</v>
      </c>
      <c r="S420" s="9" t="n">
        <f aca="false">Y420-AD420</f>
        <v>42004</v>
      </c>
      <c r="T420" s="10" t="n">
        <f aca="false">(S420/Q420)*100</f>
        <v>21.1404700790176</v>
      </c>
      <c r="U420" s="10" t="n">
        <f aca="false">Z420+AE420</f>
        <v>90.3085208113141</v>
      </c>
      <c r="V420" s="9" t="s">
        <v>52</v>
      </c>
      <c r="W420" s="9" t="s">
        <v>53</v>
      </c>
      <c r="X420" s="9" t="s">
        <v>2229</v>
      </c>
      <c r="Y420" s="9" t="n">
        <v>110719</v>
      </c>
      <c r="Z420" s="10" t="n">
        <f aca="false">(Y420/Q420)*100</f>
        <v>55.7244954451658</v>
      </c>
      <c r="AA420" s="9" t="s">
        <v>55</v>
      </c>
      <c r="AB420" s="9" t="s">
        <v>68</v>
      </c>
      <c r="AC420" s="9" t="s">
        <v>2230</v>
      </c>
      <c r="AD420" s="9" t="n">
        <v>68715</v>
      </c>
      <c r="AE420" s="10" t="n">
        <f aca="false">(AD420/Q420)*100</f>
        <v>34.5840253661483</v>
      </c>
      <c r="AF420" s="9" t="s">
        <v>1429</v>
      </c>
      <c r="AG420" s="9" t="s">
        <v>392</v>
      </c>
      <c r="AH420" s="9" t="s">
        <v>2231</v>
      </c>
      <c r="AI420" s="9" t="n">
        <v>7380</v>
      </c>
      <c r="AJ420" s="10" t="n">
        <f aca="false">(AI420/Q420)*100</f>
        <v>3.71432885399366</v>
      </c>
      <c r="AK420" s="9" t="s">
        <v>58</v>
      </c>
      <c r="AL420" s="9" t="s">
        <v>58</v>
      </c>
      <c r="AM420" s="9" t="s">
        <v>2232</v>
      </c>
      <c r="AN420" s="9" t="n">
        <v>2801</v>
      </c>
      <c r="AO420" s="10" t="n">
        <f aca="false">(AN420/Q420)*100</f>
        <v>1.40973375610247</v>
      </c>
      <c r="AP420" s="9" t="s">
        <v>63</v>
      </c>
      <c r="AQ420" s="9" t="s">
        <v>63</v>
      </c>
      <c r="AR420" s="9" t="s">
        <v>63</v>
      </c>
      <c r="AS420" s="9" t="n">
        <v>1939</v>
      </c>
      <c r="AT420" s="10" t="n">
        <f aca="false">(AS420/Q420)*100</f>
        <v>0.975892093210529</v>
      </c>
    </row>
    <row r="421" customFormat="false" ht="12.8" hidden="false" customHeight="true" outlineLevel="0" collapsed="false">
      <c r="A421" s="33" t="n">
        <v>2016</v>
      </c>
      <c r="B421" s="8" t="n">
        <v>186</v>
      </c>
      <c r="C421" s="9" t="s">
        <v>1120</v>
      </c>
      <c r="D421" s="9" t="s">
        <v>1120</v>
      </c>
      <c r="E421" s="9" t="s">
        <v>192</v>
      </c>
      <c r="F421" s="9" t="s">
        <v>1085</v>
      </c>
      <c r="G421" s="9" t="s">
        <v>77</v>
      </c>
      <c r="H421" s="9" t="s">
        <v>51</v>
      </c>
      <c r="I421" s="9" t="s">
        <v>51</v>
      </c>
      <c r="J421" s="9" t="s">
        <v>51</v>
      </c>
      <c r="K421" s="9" t="s">
        <v>51</v>
      </c>
      <c r="L421" s="9" t="s">
        <v>66</v>
      </c>
      <c r="M421" s="9" t="s">
        <v>51</v>
      </c>
      <c r="N421" s="9" t="s">
        <v>51</v>
      </c>
      <c r="O421" s="9" t="s">
        <v>51</v>
      </c>
      <c r="P421" s="9" t="n">
        <v>273251</v>
      </c>
      <c r="Q421" s="9" t="n">
        <v>189342</v>
      </c>
      <c r="R421" s="10" t="n">
        <f aca="false">(Q421/P421)*100</f>
        <v>69.2923356181679</v>
      </c>
      <c r="S421" s="9" t="n">
        <f aca="false">Y421-AD421</f>
        <v>6636</v>
      </c>
      <c r="T421" s="10" t="n">
        <f aca="false">(S421/Q421)*100</f>
        <v>3.50476914789112</v>
      </c>
      <c r="U421" s="10" t="n">
        <f aca="false">Z421+AE421</f>
        <v>82.7909285842549</v>
      </c>
      <c r="V421" s="9" t="s">
        <v>55</v>
      </c>
      <c r="W421" s="9" t="s">
        <v>68</v>
      </c>
      <c r="X421" s="9" t="s">
        <v>2233</v>
      </c>
      <c r="Y421" s="9" t="n">
        <v>81697</v>
      </c>
      <c r="Z421" s="10" t="n">
        <f aca="false">(Y421/Q421)*100</f>
        <v>43.147848866073</v>
      </c>
      <c r="AA421" s="9" t="s">
        <v>52</v>
      </c>
      <c r="AB421" s="9" t="s">
        <v>53</v>
      </c>
      <c r="AC421" s="9" t="s">
        <v>2234</v>
      </c>
      <c r="AD421" s="9" t="n">
        <v>75061</v>
      </c>
      <c r="AE421" s="10" t="n">
        <f aca="false">(AD421/Q421)*100</f>
        <v>39.6430797181819</v>
      </c>
      <c r="AF421" s="9" t="s">
        <v>1429</v>
      </c>
      <c r="AG421" s="9" t="s">
        <v>392</v>
      </c>
      <c r="AH421" s="9" t="s">
        <v>1967</v>
      </c>
      <c r="AI421" s="9" t="n">
        <v>15114</v>
      </c>
      <c r="AJ421" s="10" t="n">
        <f aca="false">(AI421/Q421)*100</f>
        <v>7.98238108818963</v>
      </c>
      <c r="AK421" s="9" t="s">
        <v>197</v>
      </c>
      <c r="AL421" s="9" t="s">
        <v>2235</v>
      </c>
      <c r="AM421" s="9" t="s">
        <v>2236</v>
      </c>
      <c r="AN421" s="9" t="n">
        <v>5214</v>
      </c>
      <c r="AO421" s="10" t="n">
        <f aca="false">(AN421/Q421)*100</f>
        <v>2.75374718762874</v>
      </c>
      <c r="AP421" s="9" t="s">
        <v>58</v>
      </c>
      <c r="AQ421" s="9" t="s">
        <v>58</v>
      </c>
      <c r="AR421" s="9" t="s">
        <v>2237</v>
      </c>
      <c r="AS421" s="9" t="n">
        <v>3118</v>
      </c>
      <c r="AT421" s="10" t="n">
        <f aca="false">(AS421/Q421)*100</f>
        <v>1.64675560625746</v>
      </c>
    </row>
    <row r="422" customFormat="false" ht="12.8" hidden="false" customHeight="true" outlineLevel="0" collapsed="false">
      <c r="A422" s="33" t="n">
        <v>2016</v>
      </c>
      <c r="B422" s="8" t="n">
        <v>187</v>
      </c>
      <c r="C422" s="9" t="s">
        <v>1136</v>
      </c>
      <c r="D422" s="9" t="s">
        <v>1120</v>
      </c>
      <c r="E422" s="9" t="s">
        <v>192</v>
      </c>
      <c r="F422" s="9" t="s">
        <v>1085</v>
      </c>
      <c r="G422" s="9" t="s">
        <v>50</v>
      </c>
      <c r="H422" s="9" t="s">
        <v>65</v>
      </c>
      <c r="I422" s="9" t="s">
        <v>51</v>
      </c>
      <c r="J422" s="9" t="s">
        <v>51</v>
      </c>
      <c r="K422" s="9" t="s">
        <v>51</v>
      </c>
      <c r="L422" s="9" t="s">
        <v>51</v>
      </c>
      <c r="M422" s="9" t="s">
        <v>51</v>
      </c>
      <c r="N422" s="9" t="s">
        <v>51</v>
      </c>
      <c r="O422" s="9" t="s">
        <v>51</v>
      </c>
      <c r="P422" s="9" t="n">
        <v>255081</v>
      </c>
      <c r="Q422" s="9" t="n">
        <v>185522</v>
      </c>
      <c r="R422" s="10" t="n">
        <f aca="false">(Q422/P422)*100</f>
        <v>72.7306228217703</v>
      </c>
      <c r="S422" s="9" t="n">
        <f aca="false">Y422-AD422</f>
        <v>14889</v>
      </c>
      <c r="T422" s="10" t="n">
        <f aca="false">(S422/Q422)*100</f>
        <v>8.02546328737293</v>
      </c>
      <c r="U422" s="10" t="n">
        <f aca="false">Z422+AE422</f>
        <v>88.8827201086664</v>
      </c>
      <c r="V422" s="9" t="s">
        <v>55</v>
      </c>
      <c r="W422" s="9" t="s">
        <v>68</v>
      </c>
      <c r="X422" s="9" t="s">
        <v>2238</v>
      </c>
      <c r="Y422" s="9" t="n">
        <v>89893</v>
      </c>
      <c r="Z422" s="10" t="n">
        <f aca="false">(Y422/Q422)*100</f>
        <v>48.4540916980196</v>
      </c>
      <c r="AA422" s="9" t="s">
        <v>52</v>
      </c>
      <c r="AB422" s="9" t="s">
        <v>53</v>
      </c>
      <c r="AC422" s="9" t="s">
        <v>2239</v>
      </c>
      <c r="AD422" s="9" t="n">
        <v>75004</v>
      </c>
      <c r="AE422" s="10" t="n">
        <f aca="false">(AD422/Q422)*100</f>
        <v>40.4286284106467</v>
      </c>
      <c r="AF422" s="9" t="s">
        <v>1429</v>
      </c>
      <c r="AG422" s="9" t="s">
        <v>257</v>
      </c>
      <c r="AH422" s="9" t="s">
        <v>2240</v>
      </c>
      <c r="AI422" s="9" t="n">
        <v>7493</v>
      </c>
      <c r="AJ422" s="10" t="n">
        <f aca="false">(AI422/Q422)*100</f>
        <v>4.03887409579457</v>
      </c>
      <c r="AK422" s="9" t="s">
        <v>1431</v>
      </c>
      <c r="AL422" s="9" t="s">
        <v>171</v>
      </c>
      <c r="AM422" s="9" t="s">
        <v>2241</v>
      </c>
      <c r="AN422" s="9" t="n">
        <v>3493</v>
      </c>
      <c r="AO422" s="10" t="n">
        <f aca="false">(AN422/Q422)*100</f>
        <v>1.88279557141471</v>
      </c>
      <c r="AP422" s="9" t="s">
        <v>58</v>
      </c>
      <c r="AQ422" s="9" t="s">
        <v>58</v>
      </c>
      <c r="AR422" s="9" t="s">
        <v>2100</v>
      </c>
      <c r="AS422" s="9" t="n">
        <v>2997</v>
      </c>
      <c r="AT422" s="10" t="n">
        <f aca="false">(AS422/Q422)*100</f>
        <v>1.61544183439161</v>
      </c>
    </row>
    <row r="423" customFormat="false" ht="12.8" hidden="false" customHeight="true" outlineLevel="0" collapsed="false">
      <c r="A423" s="33" t="n">
        <v>2016</v>
      </c>
      <c r="B423" s="8" t="n">
        <v>188</v>
      </c>
      <c r="C423" s="9" t="s">
        <v>1142</v>
      </c>
      <c r="D423" s="9" t="s">
        <v>1143</v>
      </c>
      <c r="E423" s="9" t="s">
        <v>192</v>
      </c>
      <c r="F423" s="9" t="s">
        <v>1144</v>
      </c>
      <c r="G423" s="9" t="s">
        <v>77</v>
      </c>
      <c r="H423" s="9" t="s">
        <v>51</v>
      </c>
      <c r="I423" s="9" t="s">
        <v>51</v>
      </c>
      <c r="J423" s="9" t="s">
        <v>51</v>
      </c>
      <c r="K423" s="9" t="s">
        <v>51</v>
      </c>
      <c r="L423" s="9" t="s">
        <v>68</v>
      </c>
      <c r="M423" s="9" t="s">
        <v>68</v>
      </c>
      <c r="N423" s="9" t="s">
        <v>66</v>
      </c>
      <c r="O423" s="9" t="s">
        <v>51</v>
      </c>
      <c r="P423" s="9" t="n">
        <v>232476</v>
      </c>
      <c r="Q423" s="9" t="n">
        <v>172501</v>
      </c>
      <c r="R423" s="10" t="n">
        <f aca="false">(Q423/P423)*100</f>
        <v>74.2016380185482</v>
      </c>
      <c r="S423" s="9" t="n">
        <f aca="false">Y423-AD423</f>
        <v>19723</v>
      </c>
      <c r="T423" s="10" t="n">
        <f aca="false">(S423/Q423)*100</f>
        <v>11.4335569069165</v>
      </c>
      <c r="U423" s="10" t="n">
        <f aca="false">Z423+AE423</f>
        <v>91.6487440652518</v>
      </c>
      <c r="V423" s="9" t="s">
        <v>55</v>
      </c>
      <c r="W423" s="9" t="s">
        <v>68</v>
      </c>
      <c r="X423" s="9" t="s">
        <v>2242</v>
      </c>
      <c r="Y423" s="9" t="n">
        <v>88909</v>
      </c>
      <c r="Z423" s="10" t="n">
        <f aca="false">(Y423/Q423)*100</f>
        <v>51.5411504860841</v>
      </c>
      <c r="AA423" s="9" t="s">
        <v>52</v>
      </c>
      <c r="AB423" s="9" t="s">
        <v>53</v>
      </c>
      <c r="AC423" s="9" t="s">
        <v>2243</v>
      </c>
      <c r="AD423" s="9" t="n">
        <v>69186</v>
      </c>
      <c r="AE423" s="10" t="n">
        <f aca="false">(AD423/Q423)*100</f>
        <v>40.1075935791677</v>
      </c>
      <c r="AF423" s="9" t="s">
        <v>1429</v>
      </c>
      <c r="AG423" s="9" t="s">
        <v>1338</v>
      </c>
      <c r="AH423" s="9" t="s">
        <v>2244</v>
      </c>
      <c r="AI423" s="9" t="n">
        <v>4579</v>
      </c>
      <c r="AJ423" s="10" t="n">
        <f aca="false">(AI423/Q423)*100</f>
        <v>2.65447736534861</v>
      </c>
      <c r="AK423" s="9" t="s">
        <v>1431</v>
      </c>
      <c r="AL423" s="9" t="s">
        <v>171</v>
      </c>
      <c r="AM423" s="9" t="s">
        <v>2245</v>
      </c>
      <c r="AN423" s="9" t="n">
        <v>1921</v>
      </c>
      <c r="AO423" s="10" t="n">
        <f aca="false">(AN423/Q423)*100</f>
        <v>1.11361673265662</v>
      </c>
      <c r="AP423" s="9" t="s">
        <v>58</v>
      </c>
      <c r="AQ423" s="9" t="s">
        <v>58</v>
      </c>
      <c r="AR423" s="9" t="s">
        <v>2246</v>
      </c>
      <c r="AS423" s="9" t="n">
        <v>1339</v>
      </c>
      <c r="AT423" s="10" t="n">
        <f aca="false">(AS423/Q423)*100</f>
        <v>0.776227384189077</v>
      </c>
    </row>
    <row r="424" customFormat="false" ht="12.8" hidden="false" customHeight="true" outlineLevel="0" collapsed="false">
      <c r="A424" s="33" t="n">
        <v>2016</v>
      </c>
      <c r="B424" s="8" t="n">
        <v>189</v>
      </c>
      <c r="C424" s="9" t="s">
        <v>1150</v>
      </c>
      <c r="D424" s="9" t="s">
        <v>1143</v>
      </c>
      <c r="E424" s="9" t="s">
        <v>192</v>
      </c>
      <c r="F424" s="9" t="s">
        <v>1144</v>
      </c>
      <c r="G424" s="9" t="s">
        <v>88</v>
      </c>
      <c r="H424" s="9" t="s">
        <v>51</v>
      </c>
      <c r="I424" s="9" t="s">
        <v>51</v>
      </c>
      <c r="J424" s="9" t="s">
        <v>51</v>
      </c>
      <c r="K424" s="9" t="s">
        <v>51</v>
      </c>
      <c r="L424" s="9" t="s">
        <v>51</v>
      </c>
      <c r="M424" s="9" t="s">
        <v>51</v>
      </c>
      <c r="N424" s="9" t="s">
        <v>51</v>
      </c>
      <c r="O424" s="9" t="s">
        <v>51</v>
      </c>
      <c r="P424" s="9" t="n">
        <v>286766</v>
      </c>
      <c r="Q424" s="9" t="n">
        <v>214473</v>
      </c>
      <c r="R424" s="10" t="n">
        <f aca="false">(Q424/P424)*100</f>
        <v>74.7902471004233</v>
      </c>
      <c r="S424" s="9" t="n">
        <f aca="false">Y424-AD424</f>
        <v>32772</v>
      </c>
      <c r="T424" s="10" t="n">
        <f aca="false">(S424/Q424)*100</f>
        <v>15.2802450658125</v>
      </c>
      <c r="U424" s="10" t="n">
        <f aca="false">Z424+AE424</f>
        <v>85.9623355853651</v>
      </c>
      <c r="V424" s="9" t="s">
        <v>52</v>
      </c>
      <c r="W424" s="9" t="s">
        <v>53</v>
      </c>
      <c r="X424" s="9" t="s">
        <v>2247</v>
      </c>
      <c r="Y424" s="9" t="n">
        <v>108569</v>
      </c>
      <c r="Z424" s="10" t="n">
        <f aca="false">(Y424/Q424)*100</f>
        <v>50.6212903255888</v>
      </c>
      <c r="AA424" s="9" t="s">
        <v>55</v>
      </c>
      <c r="AB424" s="9" t="s">
        <v>68</v>
      </c>
      <c r="AC424" s="9" t="s">
        <v>2248</v>
      </c>
      <c r="AD424" s="9" t="n">
        <v>75797</v>
      </c>
      <c r="AE424" s="10" t="n">
        <f aca="false">(AD424/Q424)*100</f>
        <v>35.3410452597763</v>
      </c>
      <c r="AF424" s="9" t="s">
        <v>1429</v>
      </c>
      <c r="AG424" s="9" t="s">
        <v>392</v>
      </c>
      <c r="AH424" s="9" t="s">
        <v>2249</v>
      </c>
      <c r="AI424" s="9" t="n">
        <v>11599</v>
      </c>
      <c r="AJ424" s="10" t="n">
        <f aca="false">(AI424/Q424)*100</f>
        <v>5.40813995234831</v>
      </c>
      <c r="AK424" s="9" t="s">
        <v>1431</v>
      </c>
      <c r="AL424" s="9" t="s">
        <v>171</v>
      </c>
      <c r="AM424" s="9" t="s">
        <v>2250</v>
      </c>
      <c r="AN424" s="9" t="n">
        <v>6181</v>
      </c>
      <c r="AO424" s="10" t="n">
        <f aca="false">(AN424/Q424)*100</f>
        <v>2.88194784425079</v>
      </c>
      <c r="AP424" s="9" t="s">
        <v>58</v>
      </c>
      <c r="AQ424" s="9" t="s">
        <v>58</v>
      </c>
      <c r="AR424" s="9" t="s">
        <v>2251</v>
      </c>
      <c r="AS424" s="9" t="n">
        <v>3296</v>
      </c>
      <c r="AT424" s="10" t="n">
        <f aca="false">(AS424/Q424)*100</f>
        <v>1.53679017871713</v>
      </c>
    </row>
    <row r="425" customFormat="false" ht="12.8" hidden="false" customHeight="true" outlineLevel="0" collapsed="false">
      <c r="A425" s="33" t="n">
        <v>2016</v>
      </c>
      <c r="B425" s="8" t="n">
        <v>190</v>
      </c>
      <c r="C425" s="9" t="s">
        <v>1156</v>
      </c>
      <c r="D425" s="9" t="s">
        <v>1143</v>
      </c>
      <c r="E425" s="9" t="s">
        <v>192</v>
      </c>
      <c r="F425" s="9" t="s">
        <v>1144</v>
      </c>
      <c r="G425" s="9" t="s">
        <v>50</v>
      </c>
      <c r="H425" s="9" t="s">
        <v>65</v>
      </c>
      <c r="I425" s="9" t="s">
        <v>51</v>
      </c>
      <c r="J425" s="9" t="s">
        <v>51</v>
      </c>
      <c r="K425" s="9" t="s">
        <v>51</v>
      </c>
      <c r="L425" s="9" t="s">
        <v>51</v>
      </c>
      <c r="M425" s="9" t="s">
        <v>51</v>
      </c>
      <c r="N425" s="9" t="s">
        <v>51</v>
      </c>
      <c r="O425" s="9" t="s">
        <v>51</v>
      </c>
      <c r="P425" s="9" t="n">
        <v>206488</v>
      </c>
      <c r="Q425" s="9" t="n">
        <v>166324</v>
      </c>
      <c r="R425" s="10" t="n">
        <f aca="false">(Q425/P425)*100</f>
        <v>80.548990740382</v>
      </c>
      <c r="S425" s="9" t="n">
        <f aca="false">Y425-AD425</f>
        <v>24857</v>
      </c>
      <c r="T425" s="10" t="n">
        <f aca="false">(S425/Q425)*100</f>
        <v>14.944926769438</v>
      </c>
      <c r="U425" s="10" t="n">
        <f aca="false">Z425+AE425</f>
        <v>89.7230706332219</v>
      </c>
      <c r="V425" s="9" t="s">
        <v>55</v>
      </c>
      <c r="W425" s="9" t="s">
        <v>68</v>
      </c>
      <c r="X425" s="9" t="s">
        <v>2252</v>
      </c>
      <c r="Y425" s="9" t="n">
        <v>87044</v>
      </c>
      <c r="Z425" s="10" t="n">
        <f aca="false">(Y425/Q425)*100</f>
        <v>52.3339987013299</v>
      </c>
      <c r="AA425" s="9" t="s">
        <v>52</v>
      </c>
      <c r="AB425" s="9" t="s">
        <v>53</v>
      </c>
      <c r="AC425" s="9" t="s">
        <v>2253</v>
      </c>
      <c r="AD425" s="9" t="n">
        <v>62187</v>
      </c>
      <c r="AE425" s="10" t="n">
        <f aca="false">(AD425/Q425)*100</f>
        <v>37.389071931892</v>
      </c>
      <c r="AF425" s="9" t="s">
        <v>1429</v>
      </c>
      <c r="AG425" s="9" t="s">
        <v>257</v>
      </c>
      <c r="AH425" s="9" t="s">
        <v>2254</v>
      </c>
      <c r="AI425" s="9" t="n">
        <v>7357</v>
      </c>
      <c r="AJ425" s="10" t="n">
        <f aca="false">(AI425/Q425)*100</f>
        <v>4.42329429306655</v>
      </c>
      <c r="AK425" s="9" t="s">
        <v>1431</v>
      </c>
      <c r="AL425" s="9" t="s">
        <v>171</v>
      </c>
      <c r="AM425" s="9" t="s">
        <v>2255</v>
      </c>
      <c r="AN425" s="9" t="n">
        <v>2766</v>
      </c>
      <c r="AO425" s="10" t="n">
        <f aca="false">(AN425/Q425)*100</f>
        <v>1.66301916740819</v>
      </c>
      <c r="AP425" s="9" t="s">
        <v>63</v>
      </c>
      <c r="AQ425" s="9" t="s">
        <v>63</v>
      </c>
      <c r="AR425" s="9" t="s">
        <v>63</v>
      </c>
      <c r="AS425" s="9" t="n">
        <v>1930</v>
      </c>
      <c r="AT425" s="10" t="n">
        <f aca="false">(AS425/Q425)*100</f>
        <v>1.16038575310839</v>
      </c>
    </row>
    <row r="426" customFormat="false" ht="12.8" hidden="false" customHeight="true" outlineLevel="0" collapsed="false">
      <c r="A426" s="33" t="n">
        <v>2016</v>
      </c>
      <c r="B426" s="8" t="n">
        <v>191</v>
      </c>
      <c r="C426" s="9" t="s">
        <v>1162</v>
      </c>
      <c r="D426" s="9" t="s">
        <v>1143</v>
      </c>
      <c r="E426" s="9" t="s">
        <v>192</v>
      </c>
      <c r="F426" s="9" t="s">
        <v>1144</v>
      </c>
      <c r="G426" s="9" t="s">
        <v>88</v>
      </c>
      <c r="H426" s="9" t="s">
        <v>51</v>
      </c>
      <c r="I426" s="9" t="s">
        <v>51</v>
      </c>
      <c r="J426" s="9" t="s">
        <v>51</v>
      </c>
      <c r="K426" s="9" t="s">
        <v>51</v>
      </c>
      <c r="L426" s="9" t="s">
        <v>51</v>
      </c>
      <c r="M426" s="9" t="s">
        <v>51</v>
      </c>
      <c r="N426" s="9" t="s">
        <v>51</v>
      </c>
      <c r="O426" s="9" t="s">
        <v>51</v>
      </c>
      <c r="P426" s="9" t="n">
        <v>233129</v>
      </c>
      <c r="Q426" s="9" t="n">
        <v>154368</v>
      </c>
      <c r="R426" s="10" t="n">
        <f aca="false">(Q426/P426)*100</f>
        <v>66.2157003204235</v>
      </c>
      <c r="S426" s="9" t="n">
        <f aca="false">Y426-AD426</f>
        <v>18839</v>
      </c>
      <c r="T426" s="10" t="n">
        <f aca="false">(S426/Q426)*100</f>
        <v>12.2039541873964</v>
      </c>
      <c r="U426" s="10" t="n">
        <f aca="false">Z426+AE426</f>
        <v>79.0843957296849</v>
      </c>
      <c r="V426" s="9" t="s">
        <v>55</v>
      </c>
      <c r="W426" s="9" t="s">
        <v>68</v>
      </c>
      <c r="X426" s="9" t="s">
        <v>2256</v>
      </c>
      <c r="Y426" s="9" t="n">
        <v>70460</v>
      </c>
      <c r="Z426" s="10" t="n">
        <f aca="false">(Y426/Q426)*100</f>
        <v>45.6441749585406</v>
      </c>
      <c r="AA426" s="9" t="s">
        <v>52</v>
      </c>
      <c r="AB426" s="9" t="s">
        <v>66</v>
      </c>
      <c r="AC426" s="9" t="s">
        <v>2257</v>
      </c>
      <c r="AD426" s="9" t="n">
        <v>51621</v>
      </c>
      <c r="AE426" s="10" t="n">
        <f aca="false">(AD426/Q426)*100</f>
        <v>33.4402207711443</v>
      </c>
      <c r="AF426" s="9" t="s">
        <v>1429</v>
      </c>
      <c r="AG426" s="9" t="s">
        <v>61</v>
      </c>
      <c r="AH426" s="9" t="s">
        <v>2258</v>
      </c>
      <c r="AI426" s="9" t="n">
        <v>17732</v>
      </c>
      <c r="AJ426" s="10" t="n">
        <f aca="false">(AI426/Q426)*100</f>
        <v>11.4868366500829</v>
      </c>
      <c r="AK426" s="9" t="s">
        <v>58</v>
      </c>
      <c r="AL426" s="9" t="s">
        <v>58</v>
      </c>
      <c r="AM426" s="9" t="s">
        <v>2259</v>
      </c>
      <c r="AN426" s="9" t="n">
        <v>3541</v>
      </c>
      <c r="AO426" s="10" t="n">
        <f aca="false">(AN426/Q426)*100</f>
        <v>2.29386919568823</v>
      </c>
      <c r="AP426" s="9" t="s">
        <v>63</v>
      </c>
      <c r="AQ426" s="9" t="s">
        <v>63</v>
      </c>
      <c r="AR426" s="9" t="s">
        <v>63</v>
      </c>
      <c r="AS426" s="9" t="n">
        <v>3479</v>
      </c>
      <c r="AT426" s="10" t="n">
        <f aca="false">(AS426/Q426)*100</f>
        <v>2.25370543117745</v>
      </c>
    </row>
    <row r="427" customFormat="false" ht="12.8" hidden="false" customHeight="true" outlineLevel="0" collapsed="false">
      <c r="A427" s="33" t="n">
        <v>2016</v>
      </c>
      <c r="B427" s="8" t="n">
        <v>192</v>
      </c>
      <c r="C427" s="9" t="s">
        <v>1167</v>
      </c>
      <c r="D427" s="9" t="s">
        <v>1143</v>
      </c>
      <c r="E427" s="9" t="s">
        <v>192</v>
      </c>
      <c r="F427" s="9" t="s">
        <v>1144</v>
      </c>
      <c r="G427" s="9" t="s">
        <v>88</v>
      </c>
      <c r="H427" s="9" t="s">
        <v>51</v>
      </c>
      <c r="I427" s="9" t="s">
        <v>51</v>
      </c>
      <c r="J427" s="9" t="s">
        <v>51</v>
      </c>
      <c r="K427" s="9" t="s">
        <v>51</v>
      </c>
      <c r="L427" s="9" t="s">
        <v>51</v>
      </c>
      <c r="M427" s="9" t="s">
        <v>51</v>
      </c>
      <c r="N427" s="9" t="s">
        <v>51</v>
      </c>
      <c r="O427" s="9" t="s">
        <v>51</v>
      </c>
      <c r="P427" s="9" t="n">
        <v>219349</v>
      </c>
      <c r="Q427" s="9" t="n">
        <v>146611</v>
      </c>
      <c r="R427" s="10" t="n">
        <f aca="false">(Q427/P427)*100</f>
        <v>66.8391467478767</v>
      </c>
      <c r="S427" s="9" t="n">
        <f aca="false">Y427-AD427</f>
        <v>23763</v>
      </c>
      <c r="T427" s="10" t="n">
        <f aca="false">(S427/Q427)*100</f>
        <v>16.2081972021199</v>
      </c>
      <c r="U427" s="10" t="n">
        <f aca="false">Z427+AE427</f>
        <v>69.3010756355253</v>
      </c>
      <c r="V427" s="9" t="s">
        <v>55</v>
      </c>
      <c r="W427" s="9" t="s">
        <v>68</v>
      </c>
      <c r="X427" s="9" t="s">
        <v>2260</v>
      </c>
      <c r="Y427" s="9" t="n">
        <v>62683</v>
      </c>
      <c r="Z427" s="10" t="n">
        <f aca="false">(Y427/Q427)*100</f>
        <v>42.7546364188226</v>
      </c>
      <c r="AA427" s="9" t="s">
        <v>52</v>
      </c>
      <c r="AB427" s="9" t="s">
        <v>53</v>
      </c>
      <c r="AC427" s="9" t="s">
        <v>2261</v>
      </c>
      <c r="AD427" s="9" t="n">
        <v>38920</v>
      </c>
      <c r="AE427" s="10" t="n">
        <f aca="false">(AD427/Q427)*100</f>
        <v>26.5464392167027</v>
      </c>
      <c r="AF427" s="9" t="s">
        <v>1429</v>
      </c>
      <c r="AG427" s="9" t="s">
        <v>271</v>
      </c>
      <c r="AH427" s="9" t="s">
        <v>2262</v>
      </c>
      <c r="AI427" s="9" t="n">
        <v>19443</v>
      </c>
      <c r="AJ427" s="10" t="n">
        <f aca="false">(AI427/Q427)*100</f>
        <v>13.2616242983132</v>
      </c>
      <c r="AK427" s="9" t="s">
        <v>1431</v>
      </c>
      <c r="AL427" s="9" t="s">
        <v>171</v>
      </c>
      <c r="AM427" s="9" t="s">
        <v>2263</v>
      </c>
      <c r="AN427" s="9" t="n">
        <v>16069</v>
      </c>
      <c r="AO427" s="10" t="n">
        <f aca="false">(AN427/Q427)*100</f>
        <v>10.9602962942753</v>
      </c>
      <c r="AP427" s="9" t="s">
        <v>63</v>
      </c>
      <c r="AQ427" s="9" t="s">
        <v>63</v>
      </c>
      <c r="AR427" s="9" t="s">
        <v>63</v>
      </c>
      <c r="AS427" s="9" t="n">
        <v>2918</v>
      </c>
      <c r="AT427" s="10" t="n">
        <f aca="false">(AS427/Q427)*100</f>
        <v>1.99030086419164</v>
      </c>
    </row>
    <row r="428" customFormat="false" ht="12.8" hidden="false" customHeight="true" outlineLevel="0" collapsed="false">
      <c r="A428" s="33" t="n">
        <v>2016</v>
      </c>
      <c r="B428" s="8" t="n">
        <v>193</v>
      </c>
      <c r="C428" s="9" t="s">
        <v>1173</v>
      </c>
      <c r="D428" s="9" t="s">
        <v>1143</v>
      </c>
      <c r="E428" s="9" t="s">
        <v>192</v>
      </c>
      <c r="F428" s="9" t="s">
        <v>1144</v>
      </c>
      <c r="G428" s="9" t="s">
        <v>88</v>
      </c>
      <c r="H428" s="9" t="s">
        <v>51</v>
      </c>
      <c r="I428" s="9" t="s">
        <v>51</v>
      </c>
      <c r="J428" s="9" t="s">
        <v>51</v>
      </c>
      <c r="K428" s="9" t="s">
        <v>51</v>
      </c>
      <c r="L428" s="9" t="s">
        <v>51</v>
      </c>
      <c r="M428" s="9" t="s">
        <v>51</v>
      </c>
      <c r="N428" s="9" t="s">
        <v>51</v>
      </c>
      <c r="O428" s="9" t="s">
        <v>51</v>
      </c>
      <c r="P428" s="9" t="n">
        <v>233084</v>
      </c>
      <c r="Q428" s="9" t="n">
        <v>151982</v>
      </c>
      <c r="R428" s="10" t="n">
        <f aca="false">(Q428/P428)*100</f>
        <v>65.2048188635857</v>
      </c>
      <c r="S428" s="9" t="n">
        <f aca="false">Y428-AD428</f>
        <v>5762</v>
      </c>
      <c r="T428" s="10" t="n">
        <f aca="false">(S428/Q428)*100</f>
        <v>3.79123843613059</v>
      </c>
      <c r="U428" s="10" t="n">
        <f aca="false">Z428+AE428</f>
        <v>81.3004171546631</v>
      </c>
      <c r="V428" s="9" t="s">
        <v>52</v>
      </c>
      <c r="W428" s="9" t="s">
        <v>53</v>
      </c>
      <c r="X428" s="9" t="s">
        <v>1174</v>
      </c>
      <c r="Y428" s="9" t="n">
        <v>64662</v>
      </c>
      <c r="Z428" s="10" t="n">
        <f aca="false">(Y428/Q428)*100</f>
        <v>42.5458277953968</v>
      </c>
      <c r="AA428" s="9" t="s">
        <v>55</v>
      </c>
      <c r="AB428" s="9" t="s">
        <v>68</v>
      </c>
      <c r="AC428" s="9" t="s">
        <v>2264</v>
      </c>
      <c r="AD428" s="9" t="n">
        <v>58900</v>
      </c>
      <c r="AE428" s="10" t="n">
        <f aca="false">(AD428/Q428)*100</f>
        <v>38.7545893592662</v>
      </c>
      <c r="AF428" s="9" t="s">
        <v>1429</v>
      </c>
      <c r="AG428" s="9" t="s">
        <v>61</v>
      </c>
      <c r="AH428" s="9" t="s">
        <v>2265</v>
      </c>
      <c r="AI428" s="9" t="n">
        <v>11235</v>
      </c>
      <c r="AJ428" s="10" t="n">
        <f aca="false">(AI428/Q428)*100</f>
        <v>7.39232277506547</v>
      </c>
      <c r="AK428" s="9" t="s">
        <v>1431</v>
      </c>
      <c r="AL428" s="9" t="s">
        <v>171</v>
      </c>
      <c r="AM428" s="9" t="s">
        <v>2266</v>
      </c>
      <c r="AN428" s="9" t="n">
        <v>6926</v>
      </c>
      <c r="AO428" s="10" t="n">
        <f aca="false">(AN428/Q428)*100</f>
        <v>4.55711860615073</v>
      </c>
      <c r="AP428" s="9" t="s">
        <v>58</v>
      </c>
      <c r="AQ428" s="9" t="s">
        <v>58</v>
      </c>
      <c r="AR428" s="9" t="s">
        <v>2267</v>
      </c>
      <c r="AS428" s="9" t="n">
        <v>2998</v>
      </c>
      <c r="AT428" s="10" t="n">
        <f aca="false">(AS428/Q428)*100</f>
        <v>1.9726020186601</v>
      </c>
    </row>
    <row r="429" customFormat="false" ht="12.8" hidden="false" customHeight="true" outlineLevel="0" collapsed="false">
      <c r="A429" s="33" t="n">
        <v>2016</v>
      </c>
      <c r="B429" s="8" t="n">
        <v>194</v>
      </c>
      <c r="C429" s="9" t="s">
        <v>1179</v>
      </c>
      <c r="D429" s="9" t="s">
        <v>1143</v>
      </c>
      <c r="E429" s="9" t="s">
        <v>192</v>
      </c>
      <c r="F429" s="9" t="s">
        <v>1144</v>
      </c>
      <c r="G429" s="9" t="s">
        <v>88</v>
      </c>
      <c r="H429" s="9" t="s">
        <v>51</v>
      </c>
      <c r="I429" s="9" t="s">
        <v>51</v>
      </c>
      <c r="J429" s="9" t="s">
        <v>51</v>
      </c>
      <c r="K429" s="9" t="s">
        <v>68</v>
      </c>
      <c r="L429" s="9" t="s">
        <v>51</v>
      </c>
      <c r="M429" s="9" t="s">
        <v>68</v>
      </c>
      <c r="N429" s="9" t="s">
        <v>51</v>
      </c>
      <c r="O429" s="9" t="s">
        <v>228</v>
      </c>
      <c r="P429" s="9" t="n">
        <v>280863</v>
      </c>
      <c r="Q429" s="9" t="n">
        <v>184180</v>
      </c>
      <c r="R429" s="10" t="n">
        <f aca="false">(Q429/P429)*100</f>
        <v>65.5764554248869</v>
      </c>
      <c r="S429" s="9" t="n">
        <f aca="false">Y429-AD429</f>
        <v>16398</v>
      </c>
      <c r="T429" s="10" t="n">
        <f aca="false">(S429/Q429)*100</f>
        <v>8.90324682375937</v>
      </c>
      <c r="U429" s="10" t="n">
        <f aca="false">Z429+AE429</f>
        <v>80.7145184059073</v>
      </c>
      <c r="V429" s="9" t="s">
        <v>55</v>
      </c>
      <c r="W429" s="9" t="s">
        <v>68</v>
      </c>
      <c r="X429" s="9" t="s">
        <v>2268</v>
      </c>
      <c r="Y429" s="9" t="n">
        <v>82529</v>
      </c>
      <c r="Z429" s="10" t="n">
        <f aca="false">(Y429/Q429)*100</f>
        <v>44.8088826148333</v>
      </c>
      <c r="AA429" s="9" t="s">
        <v>52</v>
      </c>
      <c r="AB429" s="9" t="s">
        <v>53</v>
      </c>
      <c r="AC429" s="9" t="s">
        <v>2269</v>
      </c>
      <c r="AD429" s="9" t="n">
        <v>66131</v>
      </c>
      <c r="AE429" s="10" t="n">
        <f aca="false">(AD429/Q429)*100</f>
        <v>35.905635791074</v>
      </c>
      <c r="AF429" s="9" t="s">
        <v>1429</v>
      </c>
      <c r="AG429" s="9" t="s">
        <v>422</v>
      </c>
      <c r="AH429" s="9" t="s">
        <v>2270</v>
      </c>
      <c r="AI429" s="9" t="n">
        <v>19991</v>
      </c>
      <c r="AJ429" s="10" t="n">
        <f aca="false">(AI429/Q429)*100</f>
        <v>10.8540558149636</v>
      </c>
      <c r="AK429" s="9" t="s">
        <v>1431</v>
      </c>
      <c r="AL429" s="9" t="s">
        <v>171</v>
      </c>
      <c r="AM429" s="9" t="s">
        <v>2271</v>
      </c>
      <c r="AN429" s="9" t="n">
        <v>5705</v>
      </c>
      <c r="AO429" s="10" t="n">
        <f aca="false">(AN429/Q429)*100</f>
        <v>3.09751330220437</v>
      </c>
      <c r="AP429" s="9" t="s">
        <v>58</v>
      </c>
      <c r="AQ429" s="9" t="s">
        <v>58</v>
      </c>
      <c r="AR429" s="9" t="s">
        <v>2272</v>
      </c>
      <c r="AS429" s="9" t="n">
        <v>3454</v>
      </c>
      <c r="AT429" s="10" t="n">
        <f aca="false">(AS429/Q429)*100</f>
        <v>1.87533934194809</v>
      </c>
    </row>
    <row r="430" customFormat="false" ht="12.8" hidden="false" customHeight="true" outlineLevel="0" collapsed="false">
      <c r="A430" s="33" t="n">
        <v>2016</v>
      </c>
      <c r="B430" s="8" t="n">
        <v>195</v>
      </c>
      <c r="C430" s="9" t="s">
        <v>1185</v>
      </c>
      <c r="D430" s="9" t="s">
        <v>1143</v>
      </c>
      <c r="E430" s="9" t="s">
        <v>192</v>
      </c>
      <c r="F430" s="9" t="s">
        <v>1144</v>
      </c>
      <c r="G430" s="9" t="s">
        <v>77</v>
      </c>
      <c r="H430" s="9" t="s">
        <v>51</v>
      </c>
      <c r="I430" s="9" t="s">
        <v>51</v>
      </c>
      <c r="J430" s="9" t="s">
        <v>51</v>
      </c>
      <c r="K430" s="9" t="s">
        <v>51</v>
      </c>
      <c r="L430" s="9" t="s">
        <v>51</v>
      </c>
      <c r="M430" s="9" t="s">
        <v>51</v>
      </c>
      <c r="N430" s="9" t="s">
        <v>51</v>
      </c>
      <c r="O430" s="9" t="s">
        <v>51</v>
      </c>
      <c r="P430" s="9" t="n">
        <v>279599</v>
      </c>
      <c r="Q430" s="9" t="n">
        <v>197650</v>
      </c>
      <c r="R430" s="10" t="n">
        <f aca="false">(Q430/P430)*100</f>
        <v>70.6905246442226</v>
      </c>
      <c r="S430" s="9" t="n">
        <f aca="false">Y430-AD430</f>
        <v>22992</v>
      </c>
      <c r="T430" s="10" t="n">
        <f aca="false">(S430/Q430)*100</f>
        <v>11.6326840374399</v>
      </c>
      <c r="U430" s="10" t="n">
        <f aca="false">Z430+AE430</f>
        <v>82.9314444725525</v>
      </c>
      <c r="V430" s="9" t="s">
        <v>55</v>
      </c>
      <c r="W430" s="9" t="s">
        <v>68</v>
      </c>
      <c r="X430" s="9" t="s">
        <v>2273</v>
      </c>
      <c r="Y430" s="9" t="n">
        <v>93453</v>
      </c>
      <c r="Z430" s="10" t="n">
        <f aca="false">(Y430/Q430)*100</f>
        <v>47.2820642549962</v>
      </c>
      <c r="AA430" s="9" t="s">
        <v>52</v>
      </c>
      <c r="AB430" s="9" t="s">
        <v>53</v>
      </c>
      <c r="AC430" s="9" t="s">
        <v>2274</v>
      </c>
      <c r="AD430" s="9" t="n">
        <v>70461</v>
      </c>
      <c r="AE430" s="10" t="n">
        <f aca="false">(AD430/Q430)*100</f>
        <v>35.6493802175563</v>
      </c>
      <c r="AF430" s="9" t="s">
        <v>1429</v>
      </c>
      <c r="AG430" s="9" t="s">
        <v>392</v>
      </c>
      <c r="AH430" s="9" t="s">
        <v>2275</v>
      </c>
      <c r="AI430" s="9" t="n">
        <v>15275</v>
      </c>
      <c r="AJ430" s="10" t="n">
        <f aca="false">(AI430/Q430)*100</f>
        <v>7.72830761447002</v>
      </c>
      <c r="AK430" s="9" t="s">
        <v>1431</v>
      </c>
      <c r="AL430" s="9" t="s">
        <v>171</v>
      </c>
      <c r="AM430" s="9" t="s">
        <v>2276</v>
      </c>
      <c r="AN430" s="9" t="n">
        <v>7698</v>
      </c>
      <c r="AO430" s="10" t="n">
        <f aca="false">(AN430/Q430)*100</f>
        <v>3.89476347078169</v>
      </c>
      <c r="AP430" s="9" t="s">
        <v>63</v>
      </c>
      <c r="AQ430" s="9" t="s">
        <v>63</v>
      </c>
      <c r="AR430" s="9" t="s">
        <v>63</v>
      </c>
      <c r="AS430" s="9" t="n">
        <v>3111</v>
      </c>
      <c r="AT430" s="10" t="n">
        <f aca="false">(AS430/Q430)*100</f>
        <v>1.57399443460663</v>
      </c>
    </row>
    <row r="431" customFormat="false" ht="12.8" hidden="false" customHeight="true" outlineLevel="0" collapsed="false">
      <c r="A431" s="33" t="n">
        <v>2016</v>
      </c>
      <c r="B431" s="8" t="n">
        <v>196</v>
      </c>
      <c r="C431" s="9" t="s">
        <v>1191</v>
      </c>
      <c r="D431" s="9" t="s">
        <v>1143</v>
      </c>
      <c r="E431" s="9" t="s">
        <v>192</v>
      </c>
      <c r="F431" s="9" t="s">
        <v>1144</v>
      </c>
      <c r="G431" s="9" t="s">
        <v>77</v>
      </c>
      <c r="H431" s="9" t="s">
        <v>51</v>
      </c>
      <c r="I431" s="9" t="s">
        <v>526</v>
      </c>
      <c r="J431" s="9" t="s">
        <v>51</v>
      </c>
      <c r="K431" s="9" t="s">
        <v>51</v>
      </c>
      <c r="L431" s="9" t="s">
        <v>51</v>
      </c>
      <c r="M431" s="9" t="s">
        <v>51</v>
      </c>
      <c r="N431" s="9" t="s">
        <v>51</v>
      </c>
      <c r="O431" s="9" t="s">
        <v>51</v>
      </c>
      <c r="P431" s="9" t="n">
        <v>261622</v>
      </c>
      <c r="Q431" s="9" t="n">
        <v>204004</v>
      </c>
      <c r="R431" s="10" t="n">
        <f aca="false">(Q431/P431)*100</f>
        <v>77.9766227610828</v>
      </c>
      <c r="S431" s="9" t="n">
        <f aca="false">Y431-AD431</f>
        <v>23590</v>
      </c>
      <c r="T431" s="10" t="n">
        <f aca="false">(S431/Q431)*100</f>
        <v>11.5634987549264</v>
      </c>
      <c r="U431" s="10" t="n">
        <f aca="false">Z431+AE431</f>
        <v>82.4189721770161</v>
      </c>
      <c r="V431" s="9" t="s">
        <v>55</v>
      </c>
      <c r="W431" s="9" t="s">
        <v>68</v>
      </c>
      <c r="X431" s="9" t="s">
        <v>2277</v>
      </c>
      <c r="Y431" s="9" t="n">
        <v>95864</v>
      </c>
      <c r="Z431" s="10" t="n">
        <f aca="false">(Y431/Q431)*100</f>
        <v>46.9912354659713</v>
      </c>
      <c r="AA431" s="9" t="s">
        <v>52</v>
      </c>
      <c r="AB431" s="9" t="s">
        <v>66</v>
      </c>
      <c r="AC431" s="9" t="s">
        <v>2278</v>
      </c>
      <c r="AD431" s="9" t="n">
        <v>72274</v>
      </c>
      <c r="AE431" s="10" t="n">
        <f aca="false">(AD431/Q431)*100</f>
        <v>35.4277367110449</v>
      </c>
      <c r="AF431" s="9" t="s">
        <v>1429</v>
      </c>
      <c r="AG431" s="9" t="s">
        <v>61</v>
      </c>
      <c r="AH431" s="9" t="s">
        <v>2279</v>
      </c>
      <c r="AI431" s="9" t="n">
        <v>20589</v>
      </c>
      <c r="AJ431" s="10" t="n">
        <f aca="false">(AI431/Q431)*100</f>
        <v>10.0924491676634</v>
      </c>
      <c r="AK431" s="9" t="s">
        <v>1431</v>
      </c>
      <c r="AL431" s="9" t="s">
        <v>171</v>
      </c>
      <c r="AM431" s="9" t="s">
        <v>2280</v>
      </c>
      <c r="AN431" s="9" t="n">
        <v>3261</v>
      </c>
      <c r="AO431" s="10" t="n">
        <f aca="false">(AN431/Q431)*100</f>
        <v>1.59849806866532</v>
      </c>
      <c r="AP431" s="9" t="s">
        <v>58</v>
      </c>
      <c r="AQ431" s="9" t="s">
        <v>58</v>
      </c>
      <c r="AR431" s="9" t="s">
        <v>2281</v>
      </c>
      <c r="AS431" s="9" t="n">
        <v>1999</v>
      </c>
      <c r="AT431" s="10" t="n">
        <f aca="false">(AS431/Q431)*100</f>
        <v>0.97988274739711</v>
      </c>
    </row>
    <row r="432" customFormat="false" ht="12.8" hidden="false" customHeight="true" outlineLevel="0" collapsed="false">
      <c r="A432" s="33" t="n">
        <v>2016</v>
      </c>
      <c r="B432" s="8" t="n">
        <v>197</v>
      </c>
      <c r="C432" s="9" t="s">
        <v>1197</v>
      </c>
      <c r="D432" s="9" t="s">
        <v>1143</v>
      </c>
      <c r="E432" s="9" t="s">
        <v>192</v>
      </c>
      <c r="F432" s="9" t="s">
        <v>1144</v>
      </c>
      <c r="G432" s="9" t="s">
        <v>77</v>
      </c>
      <c r="H432" s="9" t="s">
        <v>51</v>
      </c>
      <c r="I432" s="9" t="s">
        <v>51</v>
      </c>
      <c r="J432" s="9" t="s">
        <v>51</v>
      </c>
      <c r="K432" s="9" t="s">
        <v>51</v>
      </c>
      <c r="L432" s="30" t="s">
        <v>1198</v>
      </c>
      <c r="M432" s="9" t="s">
        <v>51</v>
      </c>
      <c r="N432" s="30" t="s">
        <v>1198</v>
      </c>
      <c r="O432" s="9" t="s">
        <v>51</v>
      </c>
      <c r="P432" s="9" t="n">
        <v>269244</v>
      </c>
      <c r="Q432" s="9" t="n">
        <v>201126</v>
      </c>
      <c r="R432" s="10" t="n">
        <f aca="false">(Q432/P432)*100</f>
        <v>74.7002718723537</v>
      </c>
      <c r="S432" s="9" t="n">
        <f aca="false">Y432-AD432</f>
        <v>32906</v>
      </c>
      <c r="T432" s="10" t="n">
        <f aca="false">(S432/Q432)*100</f>
        <v>16.3608881994372</v>
      </c>
      <c r="U432" s="10" t="n">
        <f aca="false">Z432+AE432</f>
        <v>89.3927189920746</v>
      </c>
      <c r="V432" s="9" t="s">
        <v>55</v>
      </c>
      <c r="W432" s="9" t="s">
        <v>68</v>
      </c>
      <c r="X432" s="9" t="s">
        <v>2282</v>
      </c>
      <c r="Y432" s="9" t="n">
        <v>106349</v>
      </c>
      <c r="Z432" s="10" t="n">
        <f aca="false">(Y432/Q432)*100</f>
        <v>52.8768035957559</v>
      </c>
      <c r="AA432" s="9" t="s">
        <v>52</v>
      </c>
      <c r="AB432" s="9" t="s">
        <v>53</v>
      </c>
      <c r="AC432" s="9" t="s">
        <v>2283</v>
      </c>
      <c r="AD432" s="9" t="n">
        <v>73443</v>
      </c>
      <c r="AE432" s="10" t="n">
        <f aca="false">(AD432/Q432)*100</f>
        <v>36.5159153963187</v>
      </c>
      <c r="AF432" s="9" t="s">
        <v>1429</v>
      </c>
      <c r="AG432" s="9" t="s">
        <v>271</v>
      </c>
      <c r="AH432" s="9" t="s">
        <v>2284</v>
      </c>
      <c r="AI432" s="9" t="n">
        <v>7079</v>
      </c>
      <c r="AJ432" s="10" t="n">
        <f aca="false">(AI432/Q432)*100</f>
        <v>3.51968417807742</v>
      </c>
      <c r="AK432" s="9" t="s">
        <v>197</v>
      </c>
      <c r="AL432" s="9" t="s">
        <v>1198</v>
      </c>
      <c r="AM432" s="9" t="s">
        <v>2285</v>
      </c>
      <c r="AN432" s="9" t="n">
        <v>5136</v>
      </c>
      <c r="AO432" s="10" t="n">
        <f aca="false">(AN432/Q432)*100</f>
        <v>2.5536231019361</v>
      </c>
      <c r="AP432" s="9" t="s">
        <v>1431</v>
      </c>
      <c r="AQ432" s="9" t="s">
        <v>171</v>
      </c>
      <c r="AR432" s="9" t="s">
        <v>2286</v>
      </c>
      <c r="AS432" s="9" t="n">
        <v>2860</v>
      </c>
      <c r="AT432" s="10" t="n">
        <f aca="false">(AS432/Q432)*100</f>
        <v>1.4219941728071</v>
      </c>
    </row>
    <row r="433" customFormat="false" ht="12.8" hidden="false" customHeight="true" outlineLevel="0" collapsed="false">
      <c r="A433" s="33" t="n">
        <v>2016</v>
      </c>
      <c r="B433" s="8" t="n">
        <v>198</v>
      </c>
      <c r="C433" s="9" t="s">
        <v>1203</v>
      </c>
      <c r="D433" s="9" t="s">
        <v>1204</v>
      </c>
      <c r="E433" s="9" t="s">
        <v>192</v>
      </c>
      <c r="F433" s="9" t="s">
        <v>1144</v>
      </c>
      <c r="G433" s="9" t="s">
        <v>77</v>
      </c>
      <c r="H433" s="9" t="s">
        <v>51</v>
      </c>
      <c r="I433" s="9" t="s">
        <v>526</v>
      </c>
      <c r="J433" s="9" t="s">
        <v>51</v>
      </c>
      <c r="K433" s="9" t="s">
        <v>51</v>
      </c>
      <c r="L433" s="9" t="s">
        <v>68</v>
      </c>
      <c r="M433" s="9" t="s">
        <v>51</v>
      </c>
      <c r="N433" s="9" t="s">
        <v>68</v>
      </c>
      <c r="O433" s="9" t="s">
        <v>228</v>
      </c>
      <c r="P433" s="9" t="n">
        <v>253826</v>
      </c>
      <c r="Q433" s="9" t="n">
        <v>198609</v>
      </c>
      <c r="R433" s="10" t="n">
        <f aca="false">(Q433/P433)*100</f>
        <v>78.2461213587261</v>
      </c>
      <c r="S433" s="9" t="n">
        <f aca="false">Y433-AD433</f>
        <v>30196</v>
      </c>
      <c r="T433" s="10" t="n">
        <f aca="false">(S433/Q433)*100</f>
        <v>15.2037420257894</v>
      </c>
      <c r="U433" s="10" t="n">
        <f aca="false">Z433+AE433</f>
        <v>88.6475436661984</v>
      </c>
      <c r="V433" s="9" t="s">
        <v>55</v>
      </c>
      <c r="W433" s="9" t="s">
        <v>68</v>
      </c>
      <c r="X433" s="9" t="s">
        <v>2287</v>
      </c>
      <c r="Y433" s="9" t="n">
        <v>103129</v>
      </c>
      <c r="Z433" s="10" t="n">
        <f aca="false">(Y433/Q433)*100</f>
        <v>51.9256428459939</v>
      </c>
      <c r="AA433" s="9" t="s">
        <v>52</v>
      </c>
      <c r="AB433" s="30" t="s">
        <v>53</v>
      </c>
      <c r="AC433" s="9" t="s">
        <v>2288</v>
      </c>
      <c r="AD433" s="9" t="n">
        <v>72933</v>
      </c>
      <c r="AE433" s="10" t="n">
        <f aca="false">(AD433/Q433)*100</f>
        <v>36.7219008202045</v>
      </c>
      <c r="AF433" s="9" t="s">
        <v>1429</v>
      </c>
      <c r="AG433" s="9" t="s">
        <v>61</v>
      </c>
      <c r="AH433" s="9" t="s">
        <v>2289</v>
      </c>
      <c r="AI433" s="9" t="n">
        <v>10776</v>
      </c>
      <c r="AJ433" s="10" t="n">
        <f aca="false">(AI433/Q433)*100</f>
        <v>5.42573599383714</v>
      </c>
      <c r="AK433" s="9" t="s">
        <v>1431</v>
      </c>
      <c r="AL433" s="9" t="s">
        <v>171</v>
      </c>
      <c r="AM433" s="9" t="s">
        <v>2290</v>
      </c>
      <c r="AN433" s="9" t="n">
        <v>3465</v>
      </c>
      <c r="AO433" s="10" t="n">
        <f aca="false">(AN433/Q433)*100</f>
        <v>1.74463392897603</v>
      </c>
      <c r="AP433" s="9" t="s">
        <v>63</v>
      </c>
      <c r="AQ433" s="9" t="s">
        <v>63</v>
      </c>
      <c r="AR433" s="9" t="s">
        <v>63</v>
      </c>
      <c r="AS433" s="9" t="n">
        <v>1909</v>
      </c>
      <c r="AT433" s="10" t="n">
        <f aca="false">(AS433/Q433)*100</f>
        <v>0.96118504196688</v>
      </c>
    </row>
    <row r="434" customFormat="false" ht="12.8" hidden="false" customHeight="true" outlineLevel="0" collapsed="false">
      <c r="A434" s="33" t="n">
        <v>2016</v>
      </c>
      <c r="B434" s="8" t="n">
        <v>199</v>
      </c>
      <c r="C434" s="9" t="s">
        <v>1209</v>
      </c>
      <c r="D434" s="9" t="s">
        <v>1204</v>
      </c>
      <c r="E434" s="9" t="s">
        <v>192</v>
      </c>
      <c r="F434" s="9" t="s">
        <v>1144</v>
      </c>
      <c r="G434" s="9" t="s">
        <v>77</v>
      </c>
      <c r="H434" s="9" t="s">
        <v>65</v>
      </c>
      <c r="I434" s="9" t="s">
        <v>51</v>
      </c>
      <c r="J434" s="9" t="s">
        <v>51</v>
      </c>
      <c r="K434" s="9" t="s">
        <v>51</v>
      </c>
      <c r="L434" s="9" t="s">
        <v>51</v>
      </c>
      <c r="M434" s="9" t="s">
        <v>51</v>
      </c>
      <c r="N434" s="9" t="s">
        <v>51</v>
      </c>
      <c r="O434" s="9" t="s">
        <v>51</v>
      </c>
      <c r="P434" s="9" t="n">
        <v>257555</v>
      </c>
      <c r="Q434" s="9" t="n">
        <v>193010</v>
      </c>
      <c r="R434" s="10" t="n">
        <f aca="false">(Q434/P434)*100</f>
        <v>74.9393333462756</v>
      </c>
      <c r="S434" s="9" t="n">
        <f aca="false">Y434-AD434</f>
        <v>14350</v>
      </c>
      <c r="T434" s="10" t="n">
        <f aca="false">(S434/Q434)*100</f>
        <v>7.43484793534014</v>
      </c>
      <c r="U434" s="10" t="n">
        <f aca="false">Z434+AE434</f>
        <v>86.4452619035283</v>
      </c>
      <c r="V434" s="9" t="s">
        <v>55</v>
      </c>
      <c r="W434" s="9" t="s">
        <v>68</v>
      </c>
      <c r="X434" s="9" t="s">
        <v>2291</v>
      </c>
      <c r="Y434" s="9" t="n">
        <v>90599</v>
      </c>
      <c r="Z434" s="10" t="n">
        <f aca="false">(Y434/Q434)*100</f>
        <v>46.9400549194342</v>
      </c>
      <c r="AA434" s="9" t="s">
        <v>52</v>
      </c>
      <c r="AB434" s="9" t="s">
        <v>53</v>
      </c>
      <c r="AC434" s="9" t="s">
        <v>2292</v>
      </c>
      <c r="AD434" s="9" t="n">
        <v>76249</v>
      </c>
      <c r="AE434" s="10" t="n">
        <f aca="false">(AD434/Q434)*100</f>
        <v>39.5052069840941</v>
      </c>
      <c r="AF434" s="9" t="s">
        <v>1429</v>
      </c>
      <c r="AG434" s="9" t="s">
        <v>422</v>
      </c>
      <c r="AH434" s="9" t="s">
        <v>2293</v>
      </c>
      <c r="AI434" s="9" t="n">
        <v>13525</v>
      </c>
      <c r="AJ434" s="10" t="n">
        <f aca="false">(AI434/Q434)*100</f>
        <v>7.00740894254184</v>
      </c>
      <c r="AK434" s="9" t="s">
        <v>1431</v>
      </c>
      <c r="AL434" s="9" t="s">
        <v>171</v>
      </c>
      <c r="AM434" s="9" t="s">
        <v>2294</v>
      </c>
      <c r="AN434" s="9" t="n">
        <v>5015</v>
      </c>
      <c r="AO434" s="10" t="n">
        <f aca="false">(AN434/Q434)*100</f>
        <v>2.59831096834361</v>
      </c>
      <c r="AP434" s="9" t="s">
        <v>63</v>
      </c>
      <c r="AQ434" s="9" t="s">
        <v>63</v>
      </c>
      <c r="AR434" s="9" t="s">
        <v>63</v>
      </c>
      <c r="AS434" s="9" t="n">
        <v>2275</v>
      </c>
      <c r="AT434" s="10" t="n">
        <f aca="false">(AS434/Q434)*100</f>
        <v>1.17869540438319</v>
      </c>
    </row>
    <row r="435" customFormat="false" ht="12.8" hidden="false" customHeight="true" outlineLevel="0" collapsed="false">
      <c r="A435" s="33" t="n">
        <v>2016</v>
      </c>
      <c r="B435" s="8" t="n">
        <v>200</v>
      </c>
      <c r="C435" s="9" t="s">
        <v>1215</v>
      </c>
      <c r="D435" s="9" t="s">
        <v>1204</v>
      </c>
      <c r="E435" s="9" t="s">
        <v>192</v>
      </c>
      <c r="F435" s="9" t="s">
        <v>1144</v>
      </c>
      <c r="G435" s="9" t="s">
        <v>77</v>
      </c>
      <c r="H435" s="9" t="s">
        <v>51</v>
      </c>
      <c r="I435" s="9" t="s">
        <v>51</v>
      </c>
      <c r="J435" s="9" t="s">
        <v>51</v>
      </c>
      <c r="K435" s="9" t="s">
        <v>68</v>
      </c>
      <c r="L435" s="9" t="s">
        <v>51</v>
      </c>
      <c r="M435" s="9" t="s">
        <v>68</v>
      </c>
      <c r="N435" s="9" t="s">
        <v>51</v>
      </c>
      <c r="O435" s="9" t="s">
        <v>126</v>
      </c>
      <c r="P435" s="9" t="n">
        <v>257500</v>
      </c>
      <c r="Q435" s="9" t="n">
        <v>201579</v>
      </c>
      <c r="R435" s="10" t="n">
        <f aca="false">(Q435/P435)*100</f>
        <v>78.2831067961165</v>
      </c>
      <c r="S435" s="9" t="n">
        <f aca="false">Y435-AD435</f>
        <v>15608</v>
      </c>
      <c r="T435" s="10" t="n">
        <f aca="false">(S435/Q435)*100</f>
        <v>7.7428700410261</v>
      </c>
      <c r="U435" s="10" t="n">
        <f aca="false">Z435+AE435</f>
        <v>91.00848798734</v>
      </c>
      <c r="V435" s="9" t="s">
        <v>55</v>
      </c>
      <c r="W435" s="9" t="s">
        <v>68</v>
      </c>
      <c r="X435" s="9" t="s">
        <v>1216</v>
      </c>
      <c r="Y435" s="9" t="n">
        <v>99531</v>
      </c>
      <c r="Z435" s="10" t="n">
        <f aca="false">(Y435/Q435)*100</f>
        <v>49.375679014183</v>
      </c>
      <c r="AA435" s="9" t="s">
        <v>52</v>
      </c>
      <c r="AB435" s="9" t="s">
        <v>53</v>
      </c>
      <c r="AC435" s="9" t="s">
        <v>2295</v>
      </c>
      <c r="AD435" s="9" t="n">
        <v>83923</v>
      </c>
      <c r="AE435" s="10" t="n">
        <f aca="false">(AD435/Q435)*100</f>
        <v>41.6328089731569</v>
      </c>
      <c r="AF435" s="9" t="s">
        <v>1429</v>
      </c>
      <c r="AG435" s="9" t="s">
        <v>61</v>
      </c>
      <c r="AH435" s="9" t="s">
        <v>2296</v>
      </c>
      <c r="AI435" s="9" t="n">
        <v>6889</v>
      </c>
      <c r="AJ435" s="10" t="n">
        <f aca="false">(AI435/Q435)*100</f>
        <v>3.4175186899429</v>
      </c>
      <c r="AK435" s="9" t="s">
        <v>1431</v>
      </c>
      <c r="AL435" s="9" t="s">
        <v>171</v>
      </c>
      <c r="AM435" s="9" t="s">
        <v>2297</v>
      </c>
      <c r="AN435" s="9" t="n">
        <v>3250</v>
      </c>
      <c r="AO435" s="10" t="n">
        <f aca="false">(AN435/Q435)*100</f>
        <v>1.61227111951146</v>
      </c>
      <c r="AP435" s="9" t="s">
        <v>63</v>
      </c>
      <c r="AQ435" s="9" t="s">
        <v>63</v>
      </c>
      <c r="AR435" s="9" t="s">
        <v>63</v>
      </c>
      <c r="AS435" s="9" t="n">
        <v>1966</v>
      </c>
      <c r="AT435" s="10" t="n">
        <f aca="false">(AS435/Q435)*100</f>
        <v>0.975300006449084</v>
      </c>
    </row>
    <row r="436" customFormat="false" ht="12.8" hidden="false" customHeight="true" outlineLevel="0" collapsed="false">
      <c r="A436" s="33" t="n">
        <v>2016</v>
      </c>
      <c r="B436" s="8" t="n">
        <v>201</v>
      </c>
      <c r="C436" s="9" t="s">
        <v>1221</v>
      </c>
      <c r="D436" s="9" t="s">
        <v>1204</v>
      </c>
      <c r="E436" s="9" t="s">
        <v>192</v>
      </c>
      <c r="F436" s="9" t="s">
        <v>1144</v>
      </c>
      <c r="G436" s="9" t="s">
        <v>77</v>
      </c>
      <c r="H436" s="9" t="s">
        <v>51</v>
      </c>
      <c r="I436" s="9" t="s">
        <v>526</v>
      </c>
      <c r="J436" s="9" t="s">
        <v>51</v>
      </c>
      <c r="K436" s="9" t="s">
        <v>53</v>
      </c>
      <c r="L436" s="9" t="s">
        <v>51</v>
      </c>
      <c r="M436" s="9" t="s">
        <v>51</v>
      </c>
      <c r="N436" s="9" t="s">
        <v>53</v>
      </c>
      <c r="O436" s="9" t="s">
        <v>51</v>
      </c>
      <c r="P436" s="9" t="n">
        <v>262868</v>
      </c>
      <c r="Q436" s="9" t="n">
        <v>194082</v>
      </c>
      <c r="R436" s="10" t="n">
        <f aca="false">(Q436/P436)*100</f>
        <v>73.832493875253</v>
      </c>
      <c r="S436" s="9" t="n">
        <f aca="false">Y436-AD436</f>
        <v>11221</v>
      </c>
      <c r="T436" s="10" t="n">
        <f aca="false">(S436/Q436)*100</f>
        <v>5.78157685926567</v>
      </c>
      <c r="U436" s="10" t="n">
        <f aca="false">Z436+AE436</f>
        <v>88.0952380952381</v>
      </c>
      <c r="V436" s="9" t="s">
        <v>55</v>
      </c>
      <c r="W436" s="9" t="s">
        <v>68</v>
      </c>
      <c r="X436" s="9" t="s">
        <v>2298</v>
      </c>
      <c r="Y436" s="9" t="n">
        <v>91099</v>
      </c>
      <c r="Z436" s="10" t="n">
        <f aca="false">(Y436/Q436)*100</f>
        <v>46.9384074772519</v>
      </c>
      <c r="AA436" s="9" t="s">
        <v>52</v>
      </c>
      <c r="AB436" s="9" t="s">
        <v>53</v>
      </c>
      <c r="AC436" s="9" t="s">
        <v>2299</v>
      </c>
      <c r="AD436" s="9" t="n">
        <v>79878</v>
      </c>
      <c r="AE436" s="10" t="n">
        <f aca="false">(AD436/Q436)*100</f>
        <v>41.1568306179862</v>
      </c>
      <c r="AF436" s="9" t="s">
        <v>1429</v>
      </c>
      <c r="AG436" s="9" t="s">
        <v>1338</v>
      </c>
      <c r="AH436" s="9" t="s">
        <v>2300</v>
      </c>
      <c r="AI436" s="9" t="n">
        <v>10149</v>
      </c>
      <c r="AJ436" s="10" t="n">
        <f aca="false">(AI436/Q436)*100</f>
        <v>5.2292330046063</v>
      </c>
      <c r="AK436" s="9" t="s">
        <v>1431</v>
      </c>
      <c r="AL436" s="9" t="s">
        <v>171</v>
      </c>
      <c r="AM436" s="9" t="s">
        <v>2301</v>
      </c>
      <c r="AN436" s="9" t="n">
        <v>3971</v>
      </c>
      <c r="AO436" s="10" t="n">
        <f aca="false">(AN436/Q436)*100</f>
        <v>2.04604239445183</v>
      </c>
      <c r="AP436" s="9" t="s">
        <v>63</v>
      </c>
      <c r="AQ436" s="9" t="s">
        <v>63</v>
      </c>
      <c r="AR436" s="9" t="s">
        <v>63</v>
      </c>
      <c r="AS436" s="9" t="n">
        <v>2219</v>
      </c>
      <c r="AT436" s="10" t="n">
        <f aca="false">(AS436/Q436)*100</f>
        <v>1.14333116929957</v>
      </c>
    </row>
    <row r="437" customFormat="false" ht="12.8" hidden="false" customHeight="true" outlineLevel="0" collapsed="false">
      <c r="A437" s="33" t="n">
        <v>2016</v>
      </c>
      <c r="B437" s="8" t="n">
        <v>202</v>
      </c>
      <c r="C437" s="9" t="s">
        <v>1227</v>
      </c>
      <c r="D437" s="9" t="s">
        <v>1228</v>
      </c>
      <c r="E437" s="9" t="s">
        <v>192</v>
      </c>
      <c r="F437" s="9" t="s">
        <v>1144</v>
      </c>
      <c r="G437" s="9" t="s">
        <v>88</v>
      </c>
      <c r="H437" s="9" t="s">
        <v>51</v>
      </c>
      <c r="I437" s="9" t="s">
        <v>51</v>
      </c>
      <c r="J437" s="9" t="s">
        <v>51</v>
      </c>
      <c r="K437" s="9" t="s">
        <v>51</v>
      </c>
      <c r="L437" s="9" t="s">
        <v>51</v>
      </c>
      <c r="M437" s="9" t="s">
        <v>51</v>
      </c>
      <c r="N437" s="9" t="s">
        <v>51</v>
      </c>
      <c r="O437" s="9" t="s">
        <v>51</v>
      </c>
      <c r="P437" s="9" t="n">
        <v>224407</v>
      </c>
      <c r="Q437" s="9" t="n">
        <v>170688</v>
      </c>
      <c r="R437" s="10" t="n">
        <f aca="false">(Q437/P437)*100</f>
        <v>76.0617984287478</v>
      </c>
      <c r="S437" s="9" t="n">
        <f aca="false">Y437-AD437</f>
        <v>4802</v>
      </c>
      <c r="T437" s="10" t="n">
        <f aca="false">(S437/Q437)*100</f>
        <v>2.81332020997375</v>
      </c>
      <c r="U437" s="10" t="n">
        <f aca="false">Z437+AE437</f>
        <v>84.8167416572928</v>
      </c>
      <c r="V437" s="9" t="s">
        <v>52</v>
      </c>
      <c r="W437" s="9" t="s">
        <v>53</v>
      </c>
      <c r="X437" s="9" t="s">
        <v>2302</v>
      </c>
      <c r="Y437" s="9" t="n">
        <v>74787</v>
      </c>
      <c r="Z437" s="10" t="n">
        <f aca="false">(Y437/Q437)*100</f>
        <v>43.8150309336333</v>
      </c>
      <c r="AA437" s="9" t="s">
        <v>55</v>
      </c>
      <c r="AB437" s="9" t="s">
        <v>68</v>
      </c>
      <c r="AC437" s="9" t="s">
        <v>2303</v>
      </c>
      <c r="AD437" s="9" t="n">
        <v>69985</v>
      </c>
      <c r="AE437" s="10" t="n">
        <f aca="false">(AD437/Q437)*100</f>
        <v>41.0017107236595</v>
      </c>
      <c r="AF437" s="9" t="s">
        <v>1429</v>
      </c>
      <c r="AG437" s="9" t="s">
        <v>422</v>
      </c>
      <c r="AH437" s="9" t="s">
        <v>2304</v>
      </c>
      <c r="AI437" s="9" t="n">
        <v>12505</v>
      </c>
      <c r="AJ437" s="10" t="n">
        <f aca="false">(AI437/Q437)*100</f>
        <v>7.3262326584177</v>
      </c>
      <c r="AK437" s="9" t="s">
        <v>1431</v>
      </c>
      <c r="AL437" s="9" t="s">
        <v>171</v>
      </c>
      <c r="AM437" s="9" t="s">
        <v>2305</v>
      </c>
      <c r="AN437" s="9" t="n">
        <v>3435</v>
      </c>
      <c r="AO437" s="10" t="n">
        <f aca="false">(AN437/Q437)*100</f>
        <v>2.01244375703037</v>
      </c>
      <c r="AP437" s="9" t="s">
        <v>58</v>
      </c>
      <c r="AQ437" s="9" t="s">
        <v>58</v>
      </c>
      <c r="AR437" s="9" t="s">
        <v>2306</v>
      </c>
      <c r="AS437" s="9" t="n">
        <v>2414</v>
      </c>
      <c r="AT437" s="10" t="n">
        <f aca="false">(AS437/Q437)*100</f>
        <v>1.41427634045744</v>
      </c>
    </row>
    <row r="438" customFormat="false" ht="12.8" hidden="false" customHeight="true" outlineLevel="0" collapsed="false">
      <c r="A438" s="33" t="n">
        <v>2016</v>
      </c>
      <c r="B438" s="8" t="n">
        <v>203</v>
      </c>
      <c r="C438" s="9" t="s">
        <v>1234</v>
      </c>
      <c r="D438" s="9" t="s">
        <v>1228</v>
      </c>
      <c r="E438" s="9" t="s">
        <v>192</v>
      </c>
      <c r="F438" s="9" t="s">
        <v>1144</v>
      </c>
      <c r="G438" s="9" t="s">
        <v>77</v>
      </c>
      <c r="H438" s="9" t="s">
        <v>65</v>
      </c>
      <c r="I438" s="9" t="s">
        <v>51</v>
      </c>
      <c r="J438" s="9" t="s">
        <v>51</v>
      </c>
      <c r="K438" s="9" t="s">
        <v>51</v>
      </c>
      <c r="L438" s="9" t="s">
        <v>68</v>
      </c>
      <c r="M438" s="9" t="s">
        <v>51</v>
      </c>
      <c r="N438" s="9" t="s">
        <v>51</v>
      </c>
      <c r="O438" s="9" t="s">
        <v>51</v>
      </c>
      <c r="P438" s="9" t="n">
        <v>233156</v>
      </c>
      <c r="Q438" s="9" t="n">
        <v>178630</v>
      </c>
      <c r="R438" s="10" t="n">
        <f aca="false">(Q438/P438)*100</f>
        <v>76.6139408807837</v>
      </c>
      <c r="S438" s="9" t="n">
        <f aca="false">Y438-AD438</f>
        <v>36673</v>
      </c>
      <c r="T438" s="10" t="n">
        <f aca="false">(S438/Q438)*100</f>
        <v>20.5301461120752</v>
      </c>
      <c r="U438" s="10" t="n">
        <f aca="false">Z438+AE438</f>
        <v>78.1128589822538</v>
      </c>
      <c r="V438" s="9" t="s">
        <v>55</v>
      </c>
      <c r="W438" s="9" t="s">
        <v>68</v>
      </c>
      <c r="X438" s="9" t="s">
        <v>2307</v>
      </c>
      <c r="Y438" s="9" t="n">
        <v>88103</v>
      </c>
      <c r="Z438" s="10" t="n">
        <f aca="false">(Y438/Q438)*100</f>
        <v>49.3215025471645</v>
      </c>
      <c r="AA438" s="9" t="s">
        <v>52</v>
      </c>
      <c r="AB438" s="9" t="s">
        <v>1059</v>
      </c>
      <c r="AC438" s="9" t="s">
        <v>2308</v>
      </c>
      <c r="AD438" s="9" t="n">
        <v>51430</v>
      </c>
      <c r="AE438" s="10" t="n">
        <f aca="false">(AD438/Q438)*100</f>
        <v>28.7913564350893</v>
      </c>
      <c r="AF438" s="9" t="s">
        <v>1429</v>
      </c>
      <c r="AG438" s="9" t="s">
        <v>392</v>
      </c>
      <c r="AH438" s="9" t="s">
        <v>2309</v>
      </c>
      <c r="AI438" s="9" t="n">
        <v>19415</v>
      </c>
      <c r="AJ438" s="10" t="n">
        <f aca="false">(AI438/Q438)*100</f>
        <v>10.8688350221127</v>
      </c>
      <c r="AK438" s="9" t="s">
        <v>1431</v>
      </c>
      <c r="AL438" s="9" t="s">
        <v>171</v>
      </c>
      <c r="AM438" s="9" t="s">
        <v>2310</v>
      </c>
      <c r="AN438" s="9" t="n">
        <v>5497</v>
      </c>
      <c r="AO438" s="10" t="n">
        <f aca="false">(AN438/Q438)*100</f>
        <v>3.07731064210939</v>
      </c>
      <c r="AP438" s="9" t="s">
        <v>58</v>
      </c>
      <c r="AQ438" s="9" t="s">
        <v>58</v>
      </c>
      <c r="AR438" s="9" t="s">
        <v>2311</v>
      </c>
      <c r="AS438" s="9" t="n">
        <v>3833</v>
      </c>
      <c r="AT438" s="10" t="n">
        <f aca="false">(AS438/Q438)*100</f>
        <v>2.14577618541119</v>
      </c>
    </row>
    <row r="439" customFormat="false" ht="12.8" hidden="false" customHeight="true" outlineLevel="0" collapsed="false">
      <c r="A439" s="33" t="n">
        <v>2016</v>
      </c>
      <c r="B439" s="8" t="n">
        <v>204</v>
      </c>
      <c r="C439" s="9" t="s">
        <v>1240</v>
      </c>
      <c r="D439" s="9" t="s">
        <v>1228</v>
      </c>
      <c r="E439" s="9" t="s">
        <v>192</v>
      </c>
      <c r="F439" s="9" t="s">
        <v>1144</v>
      </c>
      <c r="G439" s="9" t="s">
        <v>77</v>
      </c>
      <c r="H439" s="9" t="s">
        <v>51</v>
      </c>
      <c r="I439" s="9" t="s">
        <v>526</v>
      </c>
      <c r="J439" s="9" t="s">
        <v>51</v>
      </c>
      <c r="K439" s="9" t="s">
        <v>51</v>
      </c>
      <c r="L439" s="9" t="s">
        <v>53</v>
      </c>
      <c r="M439" s="9" t="s">
        <v>51</v>
      </c>
      <c r="N439" s="9" t="s">
        <v>51</v>
      </c>
      <c r="O439" s="9" t="s">
        <v>334</v>
      </c>
      <c r="P439" s="9" t="n">
        <v>224931</v>
      </c>
      <c r="Q439" s="9" t="n">
        <v>175939</v>
      </c>
      <c r="R439" s="10" t="n">
        <f aca="false">(Q439/P439)*100</f>
        <v>78.2190983012568</v>
      </c>
      <c r="S439" s="9" t="n">
        <f aca="false">Y439-AD439</f>
        <v>4427</v>
      </c>
      <c r="T439" s="10" t="n">
        <f aca="false">(S439/Q439)*100</f>
        <v>2.516213005644</v>
      </c>
      <c r="U439" s="10" t="n">
        <f aca="false">Z439+AE439</f>
        <v>78.7767351184217</v>
      </c>
      <c r="V439" s="9" t="s">
        <v>55</v>
      </c>
      <c r="W439" s="9" t="s">
        <v>68</v>
      </c>
      <c r="X439" s="9" t="s">
        <v>2312</v>
      </c>
      <c r="Y439" s="9" t="n">
        <v>71513</v>
      </c>
      <c r="Z439" s="10" t="n">
        <f aca="false">(Y439/Q439)*100</f>
        <v>40.6464740620329</v>
      </c>
      <c r="AA439" s="9" t="s">
        <v>52</v>
      </c>
      <c r="AB439" s="9" t="s">
        <v>53</v>
      </c>
      <c r="AC439" s="9" t="s">
        <v>2313</v>
      </c>
      <c r="AD439" s="9" t="n">
        <v>67086</v>
      </c>
      <c r="AE439" s="10" t="n">
        <f aca="false">(AD439/Q439)*100</f>
        <v>38.1302610563889</v>
      </c>
      <c r="AF439" s="9" t="s">
        <v>1429</v>
      </c>
      <c r="AG439" s="9" t="s">
        <v>271</v>
      </c>
      <c r="AH439" s="9" t="s">
        <v>2314</v>
      </c>
      <c r="AI439" s="9" t="n">
        <v>25442</v>
      </c>
      <c r="AJ439" s="10" t="n">
        <f aca="false">(AI439/Q439)*100</f>
        <v>14.4606937631793</v>
      </c>
      <c r="AK439" s="9" t="s">
        <v>1431</v>
      </c>
      <c r="AL439" s="9" t="s">
        <v>171</v>
      </c>
      <c r="AM439" s="9" t="s">
        <v>2315</v>
      </c>
      <c r="AN439" s="9" t="n">
        <v>3407</v>
      </c>
      <c r="AO439" s="10" t="n">
        <f aca="false">(AN439/Q439)*100</f>
        <v>1.93646661627041</v>
      </c>
      <c r="AP439" s="30" t="s">
        <v>58</v>
      </c>
      <c r="AQ439" s="30" t="s">
        <v>58</v>
      </c>
      <c r="AR439" s="9" t="s">
        <v>2316</v>
      </c>
      <c r="AS439" s="9" t="n">
        <v>1520</v>
      </c>
      <c r="AT439" s="10" t="n">
        <f aca="false">(AS439/Q439)*100</f>
        <v>0.863935795929271</v>
      </c>
    </row>
    <row r="440" customFormat="false" ht="12.8" hidden="false" customHeight="true" outlineLevel="0" collapsed="false">
      <c r="A440" s="33" t="n">
        <v>2016</v>
      </c>
      <c r="B440" s="8" t="n">
        <v>205</v>
      </c>
      <c r="C440" s="9" t="s">
        <v>1246</v>
      </c>
      <c r="D440" s="9" t="s">
        <v>1228</v>
      </c>
      <c r="E440" s="9" t="s">
        <v>192</v>
      </c>
      <c r="F440" s="9" t="s">
        <v>1144</v>
      </c>
      <c r="G440" s="9" t="s">
        <v>77</v>
      </c>
      <c r="H440" s="9" t="s">
        <v>51</v>
      </c>
      <c r="I440" s="9" t="s">
        <v>51</v>
      </c>
      <c r="J440" s="9" t="s">
        <v>51</v>
      </c>
      <c r="K440" s="9" t="s">
        <v>51</v>
      </c>
      <c r="L440" s="9" t="s">
        <v>51</v>
      </c>
      <c r="M440" s="9" t="s">
        <v>51</v>
      </c>
      <c r="N440" s="9" t="s">
        <v>51</v>
      </c>
      <c r="O440" s="9" t="s">
        <v>51</v>
      </c>
      <c r="P440" s="9" t="n">
        <v>237773</v>
      </c>
      <c r="Q440" s="9" t="n">
        <v>175702</v>
      </c>
      <c r="R440" s="10" t="n">
        <f aca="false">(Q440/P440)*100</f>
        <v>73.8948492890278</v>
      </c>
      <c r="S440" s="9" t="n">
        <f aca="false">Y440-AD440</f>
        <v>14748</v>
      </c>
      <c r="T440" s="10" t="n">
        <f aca="false">(S440/Q440)*100</f>
        <v>8.39375761232086</v>
      </c>
      <c r="U440" s="10" t="n">
        <f aca="false">Z440+AE440</f>
        <v>78.9518616748813</v>
      </c>
      <c r="V440" s="9" t="s">
        <v>55</v>
      </c>
      <c r="W440" s="9" t="s">
        <v>68</v>
      </c>
      <c r="X440" s="9" t="s">
        <v>2317</v>
      </c>
      <c r="Y440" s="9" t="n">
        <v>76734</v>
      </c>
      <c r="Z440" s="10" t="n">
        <f aca="false">(Y440/Q440)*100</f>
        <v>43.6728096436011</v>
      </c>
      <c r="AA440" s="9" t="s">
        <v>52</v>
      </c>
      <c r="AB440" s="9" t="s">
        <v>66</v>
      </c>
      <c r="AC440" s="9" t="s">
        <v>2318</v>
      </c>
      <c r="AD440" s="9" t="n">
        <v>61986</v>
      </c>
      <c r="AE440" s="10" t="n">
        <f aca="false">(AD440/Q440)*100</f>
        <v>35.2790520312802</v>
      </c>
      <c r="AF440" s="9" t="s">
        <v>1429</v>
      </c>
      <c r="AG440" s="9" t="s">
        <v>61</v>
      </c>
      <c r="AH440" s="9" t="s">
        <v>2319</v>
      </c>
      <c r="AI440" s="9" t="n">
        <v>17379</v>
      </c>
      <c r="AJ440" s="10" t="n">
        <f aca="false">(AI440/Q440)*100</f>
        <v>9.89117938327395</v>
      </c>
      <c r="AK440" s="9" t="s">
        <v>1431</v>
      </c>
      <c r="AL440" s="9" t="s">
        <v>171</v>
      </c>
      <c r="AM440" s="9" t="s">
        <v>2320</v>
      </c>
      <c r="AN440" s="9" t="n">
        <v>6189</v>
      </c>
      <c r="AO440" s="10" t="n">
        <f aca="false">(AN440/Q440)*100</f>
        <v>3.52244140647232</v>
      </c>
      <c r="AP440" s="9" t="s">
        <v>58</v>
      </c>
      <c r="AQ440" s="15" t="s">
        <v>58</v>
      </c>
      <c r="AR440" s="9" t="s">
        <v>2321</v>
      </c>
      <c r="AS440" s="9" t="n">
        <v>3245</v>
      </c>
      <c r="AT440" s="10" t="n">
        <f aca="false">(AS440/Q440)*100</f>
        <v>1.84687709872398</v>
      </c>
    </row>
    <row r="441" customFormat="false" ht="12.8" hidden="false" customHeight="true" outlineLevel="0" collapsed="false">
      <c r="A441" s="33" t="n">
        <v>2016</v>
      </c>
      <c r="B441" s="8" t="n">
        <v>206</v>
      </c>
      <c r="C441" s="9" t="s">
        <v>1228</v>
      </c>
      <c r="D441" s="9" t="s">
        <v>1228</v>
      </c>
      <c r="E441" s="9" t="s">
        <v>192</v>
      </c>
      <c r="F441" s="9" t="s">
        <v>1144</v>
      </c>
      <c r="G441" s="9" t="s">
        <v>77</v>
      </c>
      <c r="H441" s="9" t="s">
        <v>51</v>
      </c>
      <c r="I441" s="9" t="s">
        <v>51</v>
      </c>
      <c r="J441" s="9" t="s">
        <v>51</v>
      </c>
      <c r="K441" s="9" t="s">
        <v>53</v>
      </c>
      <c r="L441" s="9" t="s">
        <v>51</v>
      </c>
      <c r="M441" s="9" t="s">
        <v>51</v>
      </c>
      <c r="N441" s="9" t="s">
        <v>51</v>
      </c>
      <c r="O441" s="9" t="s">
        <v>334</v>
      </c>
      <c r="P441" s="9" t="n">
        <v>208304</v>
      </c>
      <c r="Q441" s="9" t="n">
        <v>153347</v>
      </c>
      <c r="R441" s="10" t="n">
        <f aca="false">(Q441/P441)*100</f>
        <v>73.616925263077</v>
      </c>
      <c r="S441" s="9" t="n">
        <f aca="false">Y441-AD441</f>
        <v>2870</v>
      </c>
      <c r="T441" s="10" t="n">
        <f aca="false">(S441/Q441)*100</f>
        <v>1.8715723163805</v>
      </c>
      <c r="U441" s="10" t="n">
        <f aca="false">Z441+AE441</f>
        <v>83.5542919000698</v>
      </c>
      <c r="V441" s="9" t="s">
        <v>52</v>
      </c>
      <c r="W441" s="9" t="s">
        <v>53</v>
      </c>
      <c r="X441" s="9" t="s">
        <v>2322</v>
      </c>
      <c r="Y441" s="9" t="n">
        <v>65499</v>
      </c>
      <c r="Z441" s="10" t="n">
        <f aca="false">(Y441/Q441)*100</f>
        <v>42.7129321082251</v>
      </c>
      <c r="AA441" s="9" t="s">
        <v>55</v>
      </c>
      <c r="AB441" s="9" t="s">
        <v>68</v>
      </c>
      <c r="AC441" s="9" t="s">
        <v>2323</v>
      </c>
      <c r="AD441" s="9" t="n">
        <v>62629</v>
      </c>
      <c r="AE441" s="10" t="n">
        <f aca="false">(AD441/Q441)*100</f>
        <v>40.8413597918446</v>
      </c>
      <c r="AF441" s="9" t="s">
        <v>1429</v>
      </c>
      <c r="AG441" s="9" t="s">
        <v>61</v>
      </c>
      <c r="AH441" s="9" t="s">
        <v>2324</v>
      </c>
      <c r="AI441" s="9" t="n">
        <v>10127</v>
      </c>
      <c r="AJ441" s="10" t="n">
        <f aca="false">(AI441/Q441)*100</f>
        <v>6.60397660208547</v>
      </c>
      <c r="AK441" s="9" t="s">
        <v>1431</v>
      </c>
      <c r="AL441" s="9" t="s">
        <v>171</v>
      </c>
      <c r="AM441" s="9" t="s">
        <v>2325</v>
      </c>
      <c r="AN441" s="9" t="n">
        <v>7013</v>
      </c>
      <c r="AO441" s="10" t="n">
        <f aca="false">(AN441/Q441)*100</f>
        <v>4.57328803302314</v>
      </c>
      <c r="AP441" s="9" t="s">
        <v>63</v>
      </c>
      <c r="AQ441" s="9" t="s">
        <v>63</v>
      </c>
      <c r="AR441" s="9" t="s">
        <v>63</v>
      </c>
      <c r="AS441" s="9" t="n">
        <v>2835</v>
      </c>
      <c r="AT441" s="10" t="n">
        <f aca="false">(AS441/Q441)*100</f>
        <v>1.84874826374171</v>
      </c>
    </row>
    <row r="442" customFormat="false" ht="12.8" hidden="false" customHeight="true" outlineLevel="0" collapsed="false">
      <c r="A442" s="33" t="n">
        <v>2016</v>
      </c>
      <c r="B442" s="8" t="n">
        <v>207</v>
      </c>
      <c r="C442" s="9" t="s">
        <v>1258</v>
      </c>
      <c r="D442" s="9" t="s">
        <v>1228</v>
      </c>
      <c r="E442" s="9" t="s">
        <v>192</v>
      </c>
      <c r="F442" s="9" t="s">
        <v>1144</v>
      </c>
      <c r="G442" s="9" t="s">
        <v>77</v>
      </c>
      <c r="H442" s="9" t="s">
        <v>51</v>
      </c>
      <c r="I442" s="9" t="s">
        <v>51</v>
      </c>
      <c r="J442" s="9" t="s">
        <v>51</v>
      </c>
      <c r="K442" s="9" t="s">
        <v>51</v>
      </c>
      <c r="L442" s="9" t="s">
        <v>51</v>
      </c>
      <c r="M442" s="9" t="s">
        <v>51</v>
      </c>
      <c r="N442" s="9" t="s">
        <v>51</v>
      </c>
      <c r="O442" s="9" t="s">
        <v>228</v>
      </c>
      <c r="P442" s="9" t="n">
        <v>208309</v>
      </c>
      <c r="Q442" s="9" t="n">
        <v>164909</v>
      </c>
      <c r="R442" s="10" t="n">
        <f aca="false">(Q442/P442)*100</f>
        <v>79.1655665381717</v>
      </c>
      <c r="S442" s="9" t="n">
        <f aca="false">Y442-AD442</f>
        <v>18054</v>
      </c>
      <c r="T442" s="10" t="n">
        <f aca="false">(S442/Q442)*100</f>
        <v>10.9478560903286</v>
      </c>
      <c r="U442" s="10" t="n">
        <f aca="false">Z442+AE442</f>
        <v>87.8763439230121</v>
      </c>
      <c r="V442" s="9" t="s">
        <v>52</v>
      </c>
      <c r="W442" s="9" t="s">
        <v>53</v>
      </c>
      <c r="X442" s="9" t="s">
        <v>2326</v>
      </c>
      <c r="Y442" s="9" t="n">
        <v>81485</v>
      </c>
      <c r="Z442" s="10" t="n">
        <f aca="false">(Y442/Q442)*100</f>
        <v>49.4121000066703</v>
      </c>
      <c r="AA442" s="9" t="s">
        <v>55</v>
      </c>
      <c r="AB442" s="9" t="s">
        <v>68</v>
      </c>
      <c r="AC442" s="9" t="s">
        <v>2327</v>
      </c>
      <c r="AD442" s="9" t="n">
        <v>63431</v>
      </c>
      <c r="AE442" s="10" t="n">
        <f aca="false">(AD442/Q442)*100</f>
        <v>38.4642439163417</v>
      </c>
      <c r="AF442" s="9" t="s">
        <v>1429</v>
      </c>
      <c r="AG442" s="9" t="s">
        <v>392</v>
      </c>
      <c r="AH442" s="9" t="s">
        <v>2328</v>
      </c>
      <c r="AI442" s="9" t="n">
        <v>9817</v>
      </c>
      <c r="AJ442" s="10" t="n">
        <f aca="false">(AI442/Q442)*100</f>
        <v>5.95298012843447</v>
      </c>
      <c r="AK442" s="9" t="s">
        <v>1431</v>
      </c>
      <c r="AL442" s="9" t="s">
        <v>171</v>
      </c>
      <c r="AM442" s="9" t="s">
        <v>2329</v>
      </c>
      <c r="AN442" s="9" t="n">
        <v>3223</v>
      </c>
      <c r="AO442" s="10" t="n">
        <f aca="false">(AN442/Q442)*100</f>
        <v>1.95441122073386</v>
      </c>
      <c r="AP442" s="9" t="s">
        <v>63</v>
      </c>
      <c r="AQ442" s="22" t="s">
        <v>63</v>
      </c>
      <c r="AR442" s="9" t="s">
        <v>63</v>
      </c>
      <c r="AS442" s="9" t="n">
        <v>2509</v>
      </c>
      <c r="AT442" s="10" t="n">
        <f aca="false">(AS442/Q442)*100</f>
        <v>1.52144516066437</v>
      </c>
    </row>
    <row r="443" customFormat="false" ht="12.8" hidden="false" customHeight="true" outlineLevel="0" collapsed="false">
      <c r="A443" s="33" t="n">
        <v>2016</v>
      </c>
      <c r="B443" s="8" t="n">
        <v>208</v>
      </c>
      <c r="C443" s="9" t="s">
        <v>1263</v>
      </c>
      <c r="D443" s="9" t="s">
        <v>1228</v>
      </c>
      <c r="E443" s="9" t="s">
        <v>192</v>
      </c>
      <c r="F443" s="9" t="s">
        <v>1144</v>
      </c>
      <c r="G443" s="9" t="s">
        <v>50</v>
      </c>
      <c r="H443" s="9" t="s">
        <v>51</v>
      </c>
      <c r="I443" s="9" t="s">
        <v>51</v>
      </c>
      <c r="J443" s="9" t="s">
        <v>51</v>
      </c>
      <c r="K443" s="9" t="s">
        <v>53</v>
      </c>
      <c r="L443" s="9" t="s">
        <v>51</v>
      </c>
      <c r="M443" s="9" t="s">
        <v>53</v>
      </c>
      <c r="N443" s="9" t="s">
        <v>51</v>
      </c>
      <c r="O443" s="9" t="s">
        <v>51</v>
      </c>
      <c r="P443" s="9" t="n">
        <v>207142</v>
      </c>
      <c r="Q443" s="9" t="n">
        <v>167742</v>
      </c>
      <c r="R443" s="10" t="n">
        <f aca="false">(Q443/P443)*100</f>
        <v>80.9792316381999</v>
      </c>
      <c r="S443" s="9" t="n">
        <f aca="false">Y443-AD443</f>
        <v>26577</v>
      </c>
      <c r="T443" s="10" t="n">
        <f aca="false">(S443/Q443)*100</f>
        <v>15.8439746753944</v>
      </c>
      <c r="U443" s="10" t="n">
        <f aca="false">Z443+AE443</f>
        <v>91.3766379320623</v>
      </c>
      <c r="V443" s="9" t="s">
        <v>52</v>
      </c>
      <c r="W443" s="9" t="s">
        <v>53</v>
      </c>
      <c r="X443" s="9" t="s">
        <v>2330</v>
      </c>
      <c r="Y443" s="9" t="n">
        <v>89927</v>
      </c>
      <c r="Z443" s="10" t="n">
        <f aca="false">(Y443/Q443)*100</f>
        <v>53.6103063037284</v>
      </c>
      <c r="AA443" s="9" t="s">
        <v>55</v>
      </c>
      <c r="AB443" s="9" t="s">
        <v>68</v>
      </c>
      <c r="AC443" s="9" t="s">
        <v>2331</v>
      </c>
      <c r="AD443" s="9" t="n">
        <v>63350</v>
      </c>
      <c r="AE443" s="10" t="n">
        <f aca="false">(AD443/Q443)*100</f>
        <v>37.766331628334</v>
      </c>
      <c r="AF443" s="9" t="s">
        <v>1429</v>
      </c>
      <c r="AG443" s="9" t="s">
        <v>61</v>
      </c>
      <c r="AH443" s="9" t="s">
        <v>2332</v>
      </c>
      <c r="AI443" s="9" t="n">
        <v>5799</v>
      </c>
      <c r="AJ443" s="10" t="n">
        <f aca="false">(AI443/Q443)*100</f>
        <v>3.4570948241943</v>
      </c>
      <c r="AK443" s="9" t="s">
        <v>1431</v>
      </c>
      <c r="AL443" s="9" t="s">
        <v>171</v>
      </c>
      <c r="AM443" s="9" t="s">
        <v>2333</v>
      </c>
      <c r="AN443" s="9" t="n">
        <v>1779</v>
      </c>
      <c r="AO443" s="10" t="n">
        <f aca="false">(AN443/Q443)*100</f>
        <v>1.06055728440104</v>
      </c>
      <c r="AP443" s="9" t="s">
        <v>63</v>
      </c>
      <c r="AQ443" s="9" t="s">
        <v>63</v>
      </c>
      <c r="AR443" s="9" t="s">
        <v>63</v>
      </c>
      <c r="AS443" s="9" t="n">
        <v>1328</v>
      </c>
      <c r="AT443" s="10" t="n">
        <f aca="false">(AS443/Q443)*100</f>
        <v>0.791692003195384</v>
      </c>
    </row>
    <row r="444" customFormat="false" ht="12.8" hidden="false" customHeight="true" outlineLevel="0" collapsed="false">
      <c r="A444" s="33" t="n">
        <v>2016</v>
      </c>
      <c r="B444" s="8" t="n">
        <v>209</v>
      </c>
      <c r="C444" s="9" t="s">
        <v>1269</v>
      </c>
      <c r="D444" s="9" t="s">
        <v>1270</v>
      </c>
      <c r="E444" s="9" t="s">
        <v>192</v>
      </c>
      <c r="F444" s="9" t="s">
        <v>1085</v>
      </c>
      <c r="G444" s="9" t="s">
        <v>77</v>
      </c>
      <c r="H444" s="9" t="s">
        <v>65</v>
      </c>
      <c r="I444" s="9" t="s">
        <v>51</v>
      </c>
      <c r="J444" s="9" t="s">
        <v>51</v>
      </c>
      <c r="K444" s="9" t="s">
        <v>51</v>
      </c>
      <c r="L444" s="9" t="s">
        <v>51</v>
      </c>
      <c r="M444" s="9" t="s">
        <v>51</v>
      </c>
      <c r="N444" s="9" t="s">
        <v>68</v>
      </c>
      <c r="O444" s="9" t="s">
        <v>51</v>
      </c>
      <c r="P444" s="9" t="n">
        <v>245978</v>
      </c>
      <c r="Q444" s="9" t="n">
        <v>169009</v>
      </c>
      <c r="R444" s="10" t="n">
        <f aca="false">(Q444/P444)*100</f>
        <v>68.7089902348991</v>
      </c>
      <c r="S444" s="9" t="n">
        <f aca="false">Y444-AD444</f>
        <v>11389</v>
      </c>
      <c r="T444" s="10" t="n">
        <f aca="false">(S444/Q444)*100</f>
        <v>6.73869438905621</v>
      </c>
      <c r="U444" s="10" t="n">
        <f aca="false">Z444+AE444</f>
        <v>87.0480270281464</v>
      </c>
      <c r="V444" s="9" t="s">
        <v>55</v>
      </c>
      <c r="W444" s="9" t="s">
        <v>68</v>
      </c>
      <c r="X444" s="9" t="s">
        <v>2334</v>
      </c>
      <c r="Y444" s="9" t="n">
        <v>79254</v>
      </c>
      <c r="Z444" s="10" t="n">
        <f aca="false">(Y444/Q444)*100</f>
        <v>46.8933607086013</v>
      </c>
      <c r="AA444" s="9" t="s">
        <v>52</v>
      </c>
      <c r="AB444" s="9" t="s">
        <v>53</v>
      </c>
      <c r="AC444" s="9" t="s">
        <v>2335</v>
      </c>
      <c r="AD444" s="9" t="n">
        <v>67865</v>
      </c>
      <c r="AE444" s="10" t="n">
        <f aca="false">(AD444/Q444)*100</f>
        <v>40.1546663195451</v>
      </c>
      <c r="AF444" s="9" t="s">
        <v>1431</v>
      </c>
      <c r="AG444" s="9" t="s">
        <v>171</v>
      </c>
      <c r="AH444" s="9" t="s">
        <v>2336</v>
      </c>
      <c r="AI444" s="9" t="n">
        <v>9537</v>
      </c>
      <c r="AJ444" s="10" t="n">
        <f aca="false">(AI444/Q444)*100</f>
        <v>5.64289475708394</v>
      </c>
      <c r="AK444" s="9" t="s">
        <v>1429</v>
      </c>
      <c r="AL444" s="9" t="s">
        <v>257</v>
      </c>
      <c r="AM444" s="9" t="s">
        <v>2337</v>
      </c>
      <c r="AN444" s="9" t="n">
        <v>3780</v>
      </c>
      <c r="AO444" s="10" t="n">
        <f aca="false">(AN444/Q444)*100</f>
        <v>2.23656728339911</v>
      </c>
      <c r="AP444" s="9" t="s">
        <v>58</v>
      </c>
      <c r="AQ444" s="9" t="s">
        <v>58</v>
      </c>
      <c r="AR444" s="9" t="s">
        <v>2338</v>
      </c>
      <c r="AS444" s="9" t="n">
        <v>2655</v>
      </c>
      <c r="AT444" s="10" t="n">
        <f aca="false">(AS444/Q444)*100</f>
        <v>1.57092225857795</v>
      </c>
    </row>
    <row r="445" customFormat="false" ht="12.8" hidden="false" customHeight="true" outlineLevel="0" collapsed="false">
      <c r="A445" s="33" t="n">
        <v>2016</v>
      </c>
      <c r="B445" s="8" t="n">
        <v>210</v>
      </c>
      <c r="C445" s="9" t="s">
        <v>1276</v>
      </c>
      <c r="D445" s="9" t="s">
        <v>1270</v>
      </c>
      <c r="E445" s="9" t="s">
        <v>192</v>
      </c>
      <c r="F445" s="9" t="s">
        <v>1085</v>
      </c>
      <c r="G445" s="9" t="s">
        <v>50</v>
      </c>
      <c r="H445" s="9" t="s">
        <v>51</v>
      </c>
      <c r="I445" s="9" t="s">
        <v>51</v>
      </c>
      <c r="J445" s="9" t="s">
        <v>51</v>
      </c>
      <c r="K445" s="9" t="s">
        <v>51</v>
      </c>
      <c r="L445" s="9" t="s">
        <v>66</v>
      </c>
      <c r="M445" s="9" t="s">
        <v>51</v>
      </c>
      <c r="N445" s="9" t="s">
        <v>66</v>
      </c>
      <c r="O445" s="9" t="s">
        <v>51</v>
      </c>
      <c r="P445" s="9" t="n">
        <v>273644</v>
      </c>
      <c r="Q445" s="9" t="n">
        <v>186649</v>
      </c>
      <c r="R445" s="10" t="n">
        <f aca="false">(Q445/P445)*100</f>
        <v>68.2086945081931</v>
      </c>
      <c r="S445" s="9" t="n">
        <f aca="false">Y445-AD445</f>
        <v>8696</v>
      </c>
      <c r="T445" s="10" t="n">
        <f aca="false">(S445/Q445)*100</f>
        <v>4.65901237081367</v>
      </c>
      <c r="U445" s="10" t="n">
        <f aca="false">Z445+AE445</f>
        <v>77.6194889873506</v>
      </c>
      <c r="V445" s="9" t="s">
        <v>55</v>
      </c>
      <c r="W445" s="9" t="s">
        <v>68</v>
      </c>
      <c r="X445" s="9" t="s">
        <v>2339</v>
      </c>
      <c r="Y445" s="9" t="n">
        <v>76786</v>
      </c>
      <c r="Z445" s="10" t="n">
        <f aca="false">(Y445/Q445)*100</f>
        <v>41.1392506790821</v>
      </c>
      <c r="AA445" s="9" t="s">
        <v>52</v>
      </c>
      <c r="AB445" s="9" t="s">
        <v>53</v>
      </c>
      <c r="AC445" s="9" t="s">
        <v>2340</v>
      </c>
      <c r="AD445" s="9" t="n">
        <v>68090</v>
      </c>
      <c r="AE445" s="10" t="n">
        <f aca="false">(AD445/Q445)*100</f>
        <v>36.4802383082685</v>
      </c>
      <c r="AF445" s="9" t="s">
        <v>1431</v>
      </c>
      <c r="AG445" s="9" t="s">
        <v>171</v>
      </c>
      <c r="AH445" s="9" t="s">
        <v>2341</v>
      </c>
      <c r="AI445" s="9" t="n">
        <v>11842</v>
      </c>
      <c r="AJ445" s="10" t="n">
        <f aca="false">(AI445/Q445)*100</f>
        <v>6.34452903578374</v>
      </c>
      <c r="AK445" s="9" t="s">
        <v>197</v>
      </c>
      <c r="AL445" s="9" t="s">
        <v>2342</v>
      </c>
      <c r="AM445" s="9" t="s">
        <v>2343</v>
      </c>
      <c r="AN445" s="9" t="n">
        <v>9597</v>
      </c>
      <c r="AO445" s="10" t="n">
        <f aca="false">(AN445/Q445)*100</f>
        <v>5.14173662864521</v>
      </c>
      <c r="AP445" s="9" t="s">
        <v>1429</v>
      </c>
      <c r="AQ445" s="9" t="s">
        <v>61</v>
      </c>
      <c r="AR445" s="9" t="s">
        <v>2344</v>
      </c>
      <c r="AS445" s="9" t="n">
        <v>4913</v>
      </c>
      <c r="AT445" s="10" t="n">
        <f aca="false">(AS445/Q445)*100</f>
        <v>2.63221340591163</v>
      </c>
    </row>
    <row r="446" customFormat="false" ht="12.8" hidden="false" customHeight="true" outlineLevel="0" collapsed="false">
      <c r="A446" s="33" t="n">
        <v>2016</v>
      </c>
      <c r="B446" s="8" t="n">
        <v>211</v>
      </c>
      <c r="C446" s="9" t="s">
        <v>1270</v>
      </c>
      <c r="D446" s="9" t="s">
        <v>1270</v>
      </c>
      <c r="E446" s="9" t="s">
        <v>192</v>
      </c>
      <c r="F446" s="9" t="s">
        <v>1085</v>
      </c>
      <c r="G446" s="9" t="s">
        <v>77</v>
      </c>
      <c r="H446" s="9" t="s">
        <v>51</v>
      </c>
      <c r="I446" s="9" t="s">
        <v>51</v>
      </c>
      <c r="J446" s="9" t="s">
        <v>1646</v>
      </c>
      <c r="K446" s="9" t="s">
        <v>51</v>
      </c>
      <c r="L446" s="9" t="s">
        <v>68</v>
      </c>
      <c r="M446" s="9" t="s">
        <v>51</v>
      </c>
      <c r="N446" s="9" t="s">
        <v>51</v>
      </c>
      <c r="O446" s="9" t="s">
        <v>51</v>
      </c>
      <c r="P446" s="9" t="n">
        <v>284405</v>
      </c>
      <c r="Q446" s="9" t="n">
        <v>193002</v>
      </c>
      <c r="R446" s="10" t="n">
        <f aca="false">(Q446/P446)*100</f>
        <v>67.8616761308697</v>
      </c>
      <c r="S446" s="9" t="n">
        <f aca="false">Y446-AD446</f>
        <v>33222</v>
      </c>
      <c r="T446" s="10" t="n">
        <f aca="false">(S446/Q446)*100</f>
        <v>17.2132931264961</v>
      </c>
      <c r="U446" s="10" t="n">
        <f aca="false">Z446+AE446</f>
        <v>75.3919648501052</v>
      </c>
      <c r="V446" s="9" t="s">
        <v>55</v>
      </c>
      <c r="W446" s="9" t="s">
        <v>68</v>
      </c>
      <c r="X446" s="9" t="s">
        <v>2345</v>
      </c>
      <c r="Y446" s="9" t="n">
        <v>89365</v>
      </c>
      <c r="Z446" s="10" t="n">
        <f aca="false">(Y446/Q446)*100</f>
        <v>46.3026289883006</v>
      </c>
      <c r="AA446" s="9" t="s">
        <v>52</v>
      </c>
      <c r="AB446" s="9" t="s">
        <v>1646</v>
      </c>
      <c r="AC446" s="9" t="s">
        <v>2346</v>
      </c>
      <c r="AD446" s="9" t="n">
        <v>56143</v>
      </c>
      <c r="AE446" s="10" t="n">
        <f aca="false">(AD446/Q446)*100</f>
        <v>29.0893358618045</v>
      </c>
      <c r="AF446" s="9" t="s">
        <v>1429</v>
      </c>
      <c r="AG446" s="9" t="s">
        <v>61</v>
      </c>
      <c r="AH446" s="9" t="s">
        <v>2347</v>
      </c>
      <c r="AI446" s="9" t="n">
        <v>16353</v>
      </c>
      <c r="AJ446" s="10" t="n">
        <f aca="false">(AI446/Q446)*100</f>
        <v>8.4729691920291</v>
      </c>
      <c r="AK446" s="9" t="s">
        <v>1431</v>
      </c>
      <c r="AL446" s="9" t="s">
        <v>171</v>
      </c>
      <c r="AM446" s="9" t="s">
        <v>2348</v>
      </c>
      <c r="AN446" s="9" t="n">
        <v>15029</v>
      </c>
      <c r="AO446" s="10" t="n">
        <f aca="false">(AN446/Q446)*100</f>
        <v>7.78696593817681</v>
      </c>
      <c r="AP446" s="9" t="s">
        <v>58</v>
      </c>
      <c r="AQ446" s="9" t="s">
        <v>58</v>
      </c>
      <c r="AR446" s="9" t="s">
        <v>2349</v>
      </c>
      <c r="AS446" s="9" t="n">
        <v>4001</v>
      </c>
      <c r="AT446" s="10" t="n">
        <f aca="false">(AS446/Q446)*100</f>
        <v>2.07303551258536</v>
      </c>
    </row>
    <row r="447" customFormat="false" ht="12.8" hidden="false" customHeight="true" outlineLevel="0" collapsed="false">
      <c r="A447" s="33" t="n">
        <v>2016</v>
      </c>
      <c r="B447" s="8" t="n">
        <v>212</v>
      </c>
      <c r="C447" s="9" t="s">
        <v>1287</v>
      </c>
      <c r="D447" s="9" t="s">
        <v>1270</v>
      </c>
      <c r="E447" s="9" t="s">
        <v>192</v>
      </c>
      <c r="F447" s="9" t="s">
        <v>1085</v>
      </c>
      <c r="G447" s="9" t="s">
        <v>50</v>
      </c>
      <c r="H447" s="9" t="s">
        <v>51</v>
      </c>
      <c r="I447" s="9" t="s">
        <v>526</v>
      </c>
      <c r="J447" s="9" t="s">
        <v>51</v>
      </c>
      <c r="K447" s="9" t="s">
        <v>51</v>
      </c>
      <c r="L447" s="9" t="s">
        <v>51</v>
      </c>
      <c r="M447" s="9" t="s">
        <v>51</v>
      </c>
      <c r="N447" s="9" t="s">
        <v>51</v>
      </c>
      <c r="O447" s="9" t="s">
        <v>51</v>
      </c>
      <c r="P447" s="9" t="n">
        <v>297394</v>
      </c>
      <c r="Q447" s="9" t="n">
        <v>203276</v>
      </c>
      <c r="R447" s="10" t="n">
        <f aca="false">(Q447/P447)*100</f>
        <v>68.3524213669408</v>
      </c>
      <c r="S447" s="9" t="n">
        <f aca="false">Y447-AD447</f>
        <v>13348</v>
      </c>
      <c r="T447" s="10" t="n">
        <f aca="false">(S447/Q447)*100</f>
        <v>6.56644168519648</v>
      </c>
      <c r="U447" s="10" t="n">
        <f aca="false">Z447+AE447</f>
        <v>86.8494067179598</v>
      </c>
      <c r="V447" s="9" t="s">
        <v>52</v>
      </c>
      <c r="W447" s="9" t="s">
        <v>66</v>
      </c>
      <c r="X447" s="9" t="s">
        <v>2350</v>
      </c>
      <c r="Y447" s="9" t="n">
        <v>94946</v>
      </c>
      <c r="Z447" s="10" t="n">
        <f aca="false">(Y447/Q447)*100</f>
        <v>46.7079242015782</v>
      </c>
      <c r="AA447" s="9" t="s">
        <v>55</v>
      </c>
      <c r="AB447" s="9" t="s">
        <v>68</v>
      </c>
      <c r="AC447" s="9" t="s">
        <v>2351</v>
      </c>
      <c r="AD447" s="9" t="n">
        <v>81598</v>
      </c>
      <c r="AE447" s="10" t="n">
        <f aca="false">(AD447/Q447)*100</f>
        <v>40.1414825163817</v>
      </c>
      <c r="AF447" s="9" t="s">
        <v>1429</v>
      </c>
      <c r="AG447" s="9" t="s">
        <v>271</v>
      </c>
      <c r="AH447" s="9" t="s">
        <v>2352</v>
      </c>
      <c r="AI447" s="9" t="n">
        <v>8800</v>
      </c>
      <c r="AJ447" s="10" t="n">
        <f aca="false">(AI447/Q447)*100</f>
        <v>4.32908951376454</v>
      </c>
      <c r="AK447" s="9" t="s">
        <v>1431</v>
      </c>
      <c r="AL447" s="9" t="s">
        <v>171</v>
      </c>
      <c r="AM447" s="9" t="s">
        <v>2353</v>
      </c>
      <c r="AN447" s="9" t="n">
        <v>5408</v>
      </c>
      <c r="AO447" s="10" t="n">
        <f aca="false">(AN447/Q447)*100</f>
        <v>2.66042228300439</v>
      </c>
      <c r="AP447" s="9" t="s">
        <v>352</v>
      </c>
      <c r="AQ447" s="9" t="s">
        <v>352</v>
      </c>
      <c r="AR447" s="9" t="s">
        <v>2354</v>
      </c>
      <c r="AS447" s="9" t="n">
        <v>2103</v>
      </c>
      <c r="AT447" s="10" t="n">
        <f aca="false">(AS447/Q447)*100</f>
        <v>1.03455400539168</v>
      </c>
    </row>
    <row r="448" customFormat="false" ht="12.8" hidden="false" customHeight="true" outlineLevel="0" collapsed="false">
      <c r="A448" s="33" t="n">
        <v>2016</v>
      </c>
      <c r="B448" s="8" t="n">
        <v>213</v>
      </c>
      <c r="C448" s="9" t="s">
        <v>1292</v>
      </c>
      <c r="D448" s="9" t="s">
        <v>1293</v>
      </c>
      <c r="E448" s="9" t="s">
        <v>192</v>
      </c>
      <c r="F448" s="9" t="s">
        <v>1144</v>
      </c>
      <c r="G448" s="9" t="s">
        <v>50</v>
      </c>
      <c r="H448" s="9" t="s">
        <v>51</v>
      </c>
      <c r="I448" s="9" t="s">
        <v>51</v>
      </c>
      <c r="J448" s="9" t="s">
        <v>51</v>
      </c>
      <c r="K448" s="9" t="s">
        <v>51</v>
      </c>
      <c r="L448" s="9" t="s">
        <v>51</v>
      </c>
      <c r="M448" s="9" t="s">
        <v>51</v>
      </c>
      <c r="N448" s="9" t="s">
        <v>68</v>
      </c>
      <c r="O448" s="9" t="s">
        <v>51</v>
      </c>
      <c r="P448" s="9" t="n">
        <v>205689</v>
      </c>
      <c r="Q448" s="9" t="n">
        <v>152795</v>
      </c>
      <c r="R448" s="10" t="n">
        <f aca="false">(Q448/P448)*100</f>
        <v>74.2844780226458</v>
      </c>
      <c r="S448" s="9" t="n">
        <f aca="false">Y448-AD448</f>
        <v>18718</v>
      </c>
      <c r="T448" s="10" t="n">
        <f aca="false">(S448/Q448)*100</f>
        <v>12.2504008639026</v>
      </c>
      <c r="U448" s="10" t="n">
        <f aca="false">Z448+AE448</f>
        <v>81.3338132792303</v>
      </c>
      <c r="V448" s="9" t="s">
        <v>55</v>
      </c>
      <c r="W448" s="9" t="s">
        <v>68</v>
      </c>
      <c r="X448" s="9" t="s">
        <v>2355</v>
      </c>
      <c r="Y448" s="9" t="n">
        <v>71496</v>
      </c>
      <c r="Z448" s="10" t="n">
        <f aca="false">(Y448/Q448)*100</f>
        <v>46.7921070715665</v>
      </c>
      <c r="AA448" s="9" t="s">
        <v>52</v>
      </c>
      <c r="AB448" s="9" t="s">
        <v>53</v>
      </c>
      <c r="AC448" s="9" t="s">
        <v>2356</v>
      </c>
      <c r="AD448" s="9" t="n">
        <v>52778</v>
      </c>
      <c r="AE448" s="10" t="n">
        <f aca="false">(AD448/Q448)*100</f>
        <v>34.5417062076639</v>
      </c>
      <c r="AF448" s="9" t="s">
        <v>1429</v>
      </c>
      <c r="AG448" s="9" t="s">
        <v>1338</v>
      </c>
      <c r="AH448" s="9" t="s">
        <v>2357</v>
      </c>
      <c r="AI448" s="9" t="n">
        <v>15030</v>
      </c>
      <c r="AJ448" s="10" t="n">
        <f aca="false">(AI448/Q448)*100</f>
        <v>9.83670931640433</v>
      </c>
      <c r="AK448" s="9" t="s">
        <v>1431</v>
      </c>
      <c r="AL448" s="9" t="s">
        <v>171</v>
      </c>
      <c r="AM448" s="9" t="s">
        <v>2358</v>
      </c>
      <c r="AN448" s="9" t="n">
        <v>6441</v>
      </c>
      <c r="AO448" s="10" t="n">
        <f aca="false">(AN448/Q448)*100</f>
        <v>4.2154520763114</v>
      </c>
      <c r="AP448" s="9" t="s">
        <v>58</v>
      </c>
      <c r="AQ448" s="9" t="s">
        <v>58</v>
      </c>
      <c r="AR448" s="9" t="s">
        <v>2359</v>
      </c>
      <c r="AS448" s="9" t="n">
        <v>1766</v>
      </c>
      <c r="AT448" s="10" t="n">
        <f aca="false">(AS448/Q448)*100</f>
        <v>1.15579698288557</v>
      </c>
    </row>
    <row r="449" customFormat="false" ht="12.8" hidden="false" customHeight="true" outlineLevel="0" collapsed="false">
      <c r="A449" s="33" t="n">
        <v>2016</v>
      </c>
      <c r="B449" s="8" t="n">
        <v>214</v>
      </c>
      <c r="C449" s="9" t="s">
        <v>1299</v>
      </c>
      <c r="D449" s="9" t="s">
        <v>1293</v>
      </c>
      <c r="E449" s="9" t="s">
        <v>192</v>
      </c>
      <c r="F449" s="9" t="s">
        <v>1144</v>
      </c>
      <c r="G449" s="9" t="s">
        <v>88</v>
      </c>
      <c r="H449" s="9" t="s">
        <v>51</v>
      </c>
      <c r="I449" s="9" t="s">
        <v>51</v>
      </c>
      <c r="J449" s="9" t="s">
        <v>51</v>
      </c>
      <c r="K449" s="9" t="s">
        <v>51</v>
      </c>
      <c r="L449" s="9" t="s">
        <v>51</v>
      </c>
      <c r="M449" s="9" t="s">
        <v>51</v>
      </c>
      <c r="N449" s="9" t="s">
        <v>51</v>
      </c>
      <c r="O449" s="9" t="s">
        <v>51</v>
      </c>
      <c r="P449" s="9" t="n">
        <v>273187</v>
      </c>
      <c r="Q449" s="9" t="n">
        <v>189488</v>
      </c>
      <c r="R449" s="10" t="n">
        <f aca="false">(Q449/P449)*100</f>
        <v>69.3620121016007</v>
      </c>
      <c r="S449" s="9" t="n">
        <f aca="false">Y449-AD449</f>
        <v>20908</v>
      </c>
      <c r="T449" s="10" t="n">
        <f aca="false">(S449/Q449)*100</f>
        <v>11.0339441020012</v>
      </c>
      <c r="U449" s="10" t="n">
        <f aca="false">Z449+AE449</f>
        <v>81.8954234568944</v>
      </c>
      <c r="V449" s="9" t="s">
        <v>52</v>
      </c>
      <c r="W449" s="9" t="s">
        <v>53</v>
      </c>
      <c r="X449" s="9" t="s">
        <v>2360</v>
      </c>
      <c r="Y449" s="9" t="n">
        <v>88045</v>
      </c>
      <c r="Z449" s="10" t="n">
        <f aca="false">(Y449/Q449)*100</f>
        <v>46.4646837794478</v>
      </c>
      <c r="AA449" s="9" t="s">
        <v>55</v>
      </c>
      <c r="AB449" s="9" t="s">
        <v>68</v>
      </c>
      <c r="AC449" s="9" t="s">
        <v>2361</v>
      </c>
      <c r="AD449" s="9" t="n">
        <v>67137</v>
      </c>
      <c r="AE449" s="10" t="n">
        <f aca="false">(AD449/Q449)*100</f>
        <v>35.4307396774466</v>
      </c>
      <c r="AF449" s="9" t="s">
        <v>1429</v>
      </c>
      <c r="AG449" s="9" t="s">
        <v>271</v>
      </c>
      <c r="AH449" s="9" t="s">
        <v>2362</v>
      </c>
      <c r="AI449" s="9" t="n">
        <v>17798</v>
      </c>
      <c r="AJ449" s="10" t="n">
        <f aca="false">(AI449/Q449)*100</f>
        <v>9.39267921979228</v>
      </c>
      <c r="AK449" s="9" t="s">
        <v>1431</v>
      </c>
      <c r="AL449" s="9" t="s">
        <v>171</v>
      </c>
      <c r="AM449" s="9" t="s">
        <v>2363</v>
      </c>
      <c r="AN449" s="9" t="n">
        <v>6250</v>
      </c>
      <c r="AO449" s="10" t="n">
        <f aca="false">(AN449/Q449)*100</f>
        <v>3.29836190154522</v>
      </c>
      <c r="AP449" s="9" t="s">
        <v>58</v>
      </c>
      <c r="AQ449" s="9" t="s">
        <v>58</v>
      </c>
      <c r="AR449" s="9" t="s">
        <v>2364</v>
      </c>
      <c r="AS449" s="9" t="n">
        <v>3733</v>
      </c>
      <c r="AT449" s="10" t="n">
        <f aca="false">(AS449/Q449)*100</f>
        <v>1.97004559655493</v>
      </c>
    </row>
    <row r="450" customFormat="false" ht="12.8" hidden="false" customHeight="true" outlineLevel="0" collapsed="false">
      <c r="A450" s="33" t="n">
        <v>2016</v>
      </c>
      <c r="B450" s="8" t="n">
        <v>215</v>
      </c>
      <c r="C450" s="9" t="s">
        <v>1305</v>
      </c>
      <c r="D450" s="9" t="s">
        <v>1293</v>
      </c>
      <c r="E450" s="9" t="s">
        <v>192</v>
      </c>
      <c r="F450" s="9" t="s">
        <v>1144</v>
      </c>
      <c r="G450" s="9" t="s">
        <v>50</v>
      </c>
      <c r="H450" s="9" t="s">
        <v>51</v>
      </c>
      <c r="I450" s="9" t="s">
        <v>51</v>
      </c>
      <c r="J450" s="9" t="s">
        <v>51</v>
      </c>
      <c r="K450" s="9" t="s">
        <v>53</v>
      </c>
      <c r="L450" s="9" t="s">
        <v>51</v>
      </c>
      <c r="M450" s="9" t="s">
        <v>53</v>
      </c>
      <c r="N450" s="9" t="s">
        <v>51</v>
      </c>
      <c r="O450" s="9" t="s">
        <v>51</v>
      </c>
      <c r="P450" s="9" t="n">
        <v>227058</v>
      </c>
      <c r="Q450" s="9" t="n">
        <v>166808</v>
      </c>
      <c r="R450" s="10" t="n">
        <f aca="false">(Q450/P450)*100</f>
        <v>73.464929665548</v>
      </c>
      <c r="S450" s="9" t="n">
        <f aca="false">Y450-AD450</f>
        <v>26001</v>
      </c>
      <c r="T450" s="10" t="n">
        <f aca="false">(S450/Q450)*100</f>
        <v>15.5873819001487</v>
      </c>
      <c r="U450" s="10" t="n">
        <f aca="false">Z450+AE450</f>
        <v>90.3511821974965</v>
      </c>
      <c r="V450" s="9" t="s">
        <v>52</v>
      </c>
      <c r="W450" s="9" t="s">
        <v>53</v>
      </c>
      <c r="X450" s="9" t="s">
        <v>1306</v>
      </c>
      <c r="Y450" s="9" t="n">
        <v>88357</v>
      </c>
      <c r="Z450" s="10" t="n">
        <f aca="false">(Y450/Q450)*100</f>
        <v>52.9692820488226</v>
      </c>
      <c r="AA450" s="9" t="s">
        <v>55</v>
      </c>
      <c r="AB450" s="9" t="s">
        <v>68</v>
      </c>
      <c r="AC450" s="9" t="s">
        <v>2365</v>
      </c>
      <c r="AD450" s="9" t="n">
        <v>62356</v>
      </c>
      <c r="AE450" s="10" t="n">
        <f aca="false">(AD450/Q450)*100</f>
        <v>37.3819001486739</v>
      </c>
      <c r="AF450" s="9" t="s">
        <v>1429</v>
      </c>
      <c r="AG450" s="9" t="s">
        <v>61</v>
      </c>
      <c r="AH450" s="9" t="s">
        <v>2366</v>
      </c>
      <c r="AI450" s="9" t="n">
        <v>6330</v>
      </c>
      <c r="AJ450" s="10" t="n">
        <f aca="false">(AI450/Q450)*100</f>
        <v>3.79478202484293</v>
      </c>
      <c r="AK450" s="9" t="s">
        <v>1431</v>
      </c>
      <c r="AL450" s="9" t="s">
        <v>171</v>
      </c>
      <c r="AM450" s="9" t="s">
        <v>2367</v>
      </c>
      <c r="AN450" s="9" t="n">
        <v>4289</v>
      </c>
      <c r="AO450" s="10" t="n">
        <f aca="false">(AN450/Q450)*100</f>
        <v>2.5712196057743</v>
      </c>
      <c r="AP450" s="9" t="s">
        <v>58</v>
      </c>
      <c r="AQ450" s="9" t="s">
        <v>58</v>
      </c>
      <c r="AR450" s="9" t="s">
        <v>2368</v>
      </c>
      <c r="AS450" s="9" t="n">
        <v>2041</v>
      </c>
      <c r="AT450" s="10" t="n">
        <f aca="false">(AS450/Q450)*100</f>
        <v>1.22356241906863</v>
      </c>
    </row>
    <row r="451" customFormat="false" ht="12.8" hidden="false" customHeight="true" outlineLevel="0" collapsed="false">
      <c r="A451" s="33" t="n">
        <v>2016</v>
      </c>
      <c r="B451" s="8" t="n">
        <v>216</v>
      </c>
      <c r="C451" s="9" t="s">
        <v>1311</v>
      </c>
      <c r="D451" s="9" t="s">
        <v>1293</v>
      </c>
      <c r="E451" s="9" t="s">
        <v>192</v>
      </c>
      <c r="F451" s="9" t="s">
        <v>1144</v>
      </c>
      <c r="G451" s="9" t="s">
        <v>50</v>
      </c>
      <c r="H451" s="9" t="s">
        <v>51</v>
      </c>
      <c r="I451" s="9" t="s">
        <v>51</v>
      </c>
      <c r="J451" s="9" t="s">
        <v>51</v>
      </c>
      <c r="K451" s="9" t="s">
        <v>51</v>
      </c>
      <c r="L451" s="9" t="s">
        <v>66</v>
      </c>
      <c r="M451" s="9" t="s">
        <v>51</v>
      </c>
      <c r="N451" s="9" t="s">
        <v>66</v>
      </c>
      <c r="O451" s="9" t="s">
        <v>51</v>
      </c>
      <c r="P451" s="9" t="n">
        <v>207471</v>
      </c>
      <c r="Q451" s="9" t="n">
        <v>155366</v>
      </c>
      <c r="R451" s="10" t="n">
        <f aca="false">(Q451/P451)*100</f>
        <v>74.885646668691</v>
      </c>
      <c r="S451" s="9" t="n">
        <f aca="false">Y451-AD451</f>
        <v>3531</v>
      </c>
      <c r="T451" s="10" t="n">
        <f aca="false">(S451/Q451)*100</f>
        <v>2.272698016297</v>
      </c>
      <c r="U451" s="10" t="n">
        <f aca="false">Z451+AE451</f>
        <v>81.6555745787367</v>
      </c>
      <c r="V451" s="9" t="s">
        <v>55</v>
      </c>
      <c r="W451" s="9" t="s">
        <v>68</v>
      </c>
      <c r="X451" s="9" t="s">
        <v>2369</v>
      </c>
      <c r="Y451" s="9" t="n">
        <v>65198</v>
      </c>
      <c r="Z451" s="10" t="n">
        <f aca="false">(Y451/Q451)*100</f>
        <v>41.9641362975168</v>
      </c>
      <c r="AA451" s="9" t="s">
        <v>52</v>
      </c>
      <c r="AB451" s="9" t="s">
        <v>66</v>
      </c>
      <c r="AC451" s="9" t="s">
        <v>2370</v>
      </c>
      <c r="AD451" s="9" t="n">
        <v>61667</v>
      </c>
      <c r="AE451" s="10" t="n">
        <f aca="false">(AD451/Q451)*100</f>
        <v>39.6914382812198</v>
      </c>
      <c r="AF451" s="9" t="s">
        <v>1431</v>
      </c>
      <c r="AG451" s="9" t="s">
        <v>171</v>
      </c>
      <c r="AH451" s="9" t="s">
        <v>2371</v>
      </c>
      <c r="AI451" s="9" t="n">
        <v>9582</v>
      </c>
      <c r="AJ451" s="10" t="n">
        <f aca="false">(AI451/Q451)*100</f>
        <v>6.16737252680767</v>
      </c>
      <c r="AK451" s="9" t="s">
        <v>1429</v>
      </c>
      <c r="AL451" s="9" t="s">
        <v>1338</v>
      </c>
      <c r="AM451" s="9" t="s">
        <v>2372</v>
      </c>
      <c r="AN451" s="9" t="n">
        <v>6203</v>
      </c>
      <c r="AO451" s="10" t="n">
        <f aca="false">(AN451/Q451)*100</f>
        <v>3.99250801333625</v>
      </c>
      <c r="AP451" s="9" t="s">
        <v>197</v>
      </c>
      <c r="AQ451" s="9" t="s">
        <v>1198</v>
      </c>
      <c r="AR451" s="9" t="s">
        <v>2373</v>
      </c>
      <c r="AS451" s="9" t="n">
        <v>3764</v>
      </c>
      <c r="AT451" s="10" t="n">
        <f aca="false">(AS451/Q451)*100</f>
        <v>2.42266647786517</v>
      </c>
    </row>
    <row r="452" customFormat="false" ht="12.8" hidden="false" customHeight="true" outlineLevel="0" collapsed="false">
      <c r="A452" s="33" t="n">
        <v>2016</v>
      </c>
      <c r="B452" s="8" t="n">
        <v>217</v>
      </c>
      <c r="C452" s="9" t="s">
        <v>1317</v>
      </c>
      <c r="D452" s="9" t="s">
        <v>1293</v>
      </c>
      <c r="E452" s="9" t="s">
        <v>192</v>
      </c>
      <c r="F452" s="9" t="s">
        <v>1144</v>
      </c>
      <c r="G452" s="9" t="s">
        <v>50</v>
      </c>
      <c r="H452" s="9" t="s">
        <v>65</v>
      </c>
      <c r="I452" s="9" t="s">
        <v>51</v>
      </c>
      <c r="J452" s="9" t="s">
        <v>1059</v>
      </c>
      <c r="K452" s="9" t="s">
        <v>51</v>
      </c>
      <c r="L452" s="9" t="s">
        <v>51</v>
      </c>
      <c r="M452" s="9" t="s">
        <v>51</v>
      </c>
      <c r="N452" s="9" t="s">
        <v>51</v>
      </c>
      <c r="O452" s="9" t="s">
        <v>51</v>
      </c>
      <c r="P452" s="9" t="n">
        <v>220737</v>
      </c>
      <c r="Q452" s="9" t="n">
        <v>160395</v>
      </c>
      <c r="R452" s="10" t="n">
        <f aca="false">(Q452/P452)*100</f>
        <v>72.6633958058685</v>
      </c>
      <c r="S452" s="9" t="n">
        <f aca="false">Y452-AD452</f>
        <v>493</v>
      </c>
      <c r="T452" s="10" t="n">
        <f aca="false">(S452/Q452)*100</f>
        <v>0.307366189719131</v>
      </c>
      <c r="U452" s="10" t="n">
        <f aca="false">Z452+AE452</f>
        <v>80.8310732878207</v>
      </c>
      <c r="V452" s="9" t="s">
        <v>55</v>
      </c>
      <c r="W452" s="9" t="s">
        <v>68</v>
      </c>
      <c r="X452" s="9" t="s">
        <v>2374</v>
      </c>
      <c r="Y452" s="9" t="n">
        <v>65071</v>
      </c>
      <c r="Z452" s="10" t="n">
        <f aca="false">(Y452/Q452)*100</f>
        <v>40.5692197387699</v>
      </c>
      <c r="AA452" s="9" t="s">
        <v>52</v>
      </c>
      <c r="AB452" s="9" t="s">
        <v>1059</v>
      </c>
      <c r="AC452" s="9" t="s">
        <v>2375</v>
      </c>
      <c r="AD452" s="9" t="n">
        <v>64578</v>
      </c>
      <c r="AE452" s="10" t="n">
        <f aca="false">(AD452/Q452)*100</f>
        <v>40.2618535490508</v>
      </c>
      <c r="AF452" s="9" t="s">
        <v>1429</v>
      </c>
      <c r="AG452" s="9" t="s">
        <v>61</v>
      </c>
      <c r="AH452" s="9" t="s">
        <v>2376</v>
      </c>
      <c r="AI452" s="9" t="n">
        <v>14127</v>
      </c>
      <c r="AJ452" s="10" t="n">
        <f aca="false">(AI452/Q452)*100</f>
        <v>8.80763116057234</v>
      </c>
      <c r="AK452" s="9" t="s">
        <v>1431</v>
      </c>
      <c r="AL452" s="9" t="s">
        <v>171</v>
      </c>
      <c r="AM452" s="9" t="s">
        <v>2377</v>
      </c>
      <c r="AN452" s="9" t="n">
        <v>5931</v>
      </c>
      <c r="AO452" s="10" t="n">
        <f aca="false">(AN452/Q452)*100</f>
        <v>3.69774618909567</v>
      </c>
      <c r="AP452" s="9" t="s">
        <v>58</v>
      </c>
      <c r="AQ452" s="9" t="s">
        <v>58</v>
      </c>
      <c r="AR452" s="9" t="s">
        <v>2378</v>
      </c>
      <c r="AS452" s="9" t="n">
        <v>3792</v>
      </c>
      <c r="AT452" s="10" t="n">
        <f aca="false">(AS452/Q452)*100</f>
        <v>2.36416347142991</v>
      </c>
    </row>
    <row r="453" customFormat="false" ht="12.8" hidden="false" customHeight="true" outlineLevel="0" collapsed="false">
      <c r="A453" s="33" t="n">
        <v>2016</v>
      </c>
      <c r="B453" s="8" t="n">
        <v>218</v>
      </c>
      <c r="C453" s="9" t="s">
        <v>1323</v>
      </c>
      <c r="D453" s="9" t="s">
        <v>1293</v>
      </c>
      <c r="E453" s="9" t="s">
        <v>192</v>
      </c>
      <c r="F453" s="9" t="s">
        <v>1144</v>
      </c>
      <c r="G453" s="9" t="s">
        <v>50</v>
      </c>
      <c r="H453" s="9" t="s">
        <v>51</v>
      </c>
      <c r="I453" s="9" t="s">
        <v>526</v>
      </c>
      <c r="J453" s="9" t="s">
        <v>51</v>
      </c>
      <c r="K453" s="9" t="s">
        <v>68</v>
      </c>
      <c r="L453" s="9" t="s">
        <v>392</v>
      </c>
      <c r="M453" s="9" t="s">
        <v>68</v>
      </c>
      <c r="N453" s="9" t="s">
        <v>392</v>
      </c>
      <c r="O453" s="9" t="s">
        <v>51</v>
      </c>
      <c r="P453" s="9" t="n">
        <v>248279</v>
      </c>
      <c r="Q453" s="9" t="n">
        <v>165607</v>
      </c>
      <c r="R453" s="10" t="n">
        <f aca="false">(Q453/P453)*100</f>
        <v>66.701976405576</v>
      </c>
      <c r="S453" s="9" t="n">
        <f aca="false">Y453-AD453</f>
        <v>428</v>
      </c>
      <c r="T453" s="10" t="n">
        <f aca="false">(S453/Q453)*100</f>
        <v>0.258443181749564</v>
      </c>
      <c r="U453" s="10" t="n">
        <f aca="false">Z453+AE453</f>
        <v>77.6537223668082</v>
      </c>
      <c r="V453" s="9" t="s">
        <v>55</v>
      </c>
      <c r="W453" s="9" t="s">
        <v>68</v>
      </c>
      <c r="X453" s="9" t="s">
        <v>2379</v>
      </c>
      <c r="Y453" s="9" t="n">
        <v>64514</v>
      </c>
      <c r="Z453" s="10" t="n">
        <f aca="false">(Y453/Q453)*100</f>
        <v>38.9560827742789</v>
      </c>
      <c r="AA453" s="9" t="s">
        <v>52</v>
      </c>
      <c r="AB453" s="9" t="s">
        <v>53</v>
      </c>
      <c r="AC453" s="9" t="s">
        <v>2380</v>
      </c>
      <c r="AD453" s="9" t="n">
        <v>64086</v>
      </c>
      <c r="AE453" s="10" t="n">
        <f aca="false">(AD453/Q453)*100</f>
        <v>38.6976395925293</v>
      </c>
      <c r="AF453" s="9" t="s">
        <v>1429</v>
      </c>
      <c r="AG453" s="9" t="s">
        <v>271</v>
      </c>
      <c r="AH453" s="9" t="s">
        <v>2381</v>
      </c>
      <c r="AI453" s="9" t="n">
        <v>28512</v>
      </c>
      <c r="AJ453" s="10" t="n">
        <f aca="false">(AI453/Q453)*100</f>
        <v>17.2166635468308</v>
      </c>
      <c r="AK453" s="30" t="s">
        <v>63</v>
      </c>
      <c r="AL453" s="30" t="s">
        <v>63</v>
      </c>
      <c r="AM453" s="9" t="s">
        <v>63</v>
      </c>
      <c r="AN453" s="9" t="n">
        <v>2350</v>
      </c>
      <c r="AO453" s="10" t="n">
        <f aca="false">(AN453/Q453)*100</f>
        <v>1.41902214278382</v>
      </c>
      <c r="AP453" s="9" t="s">
        <v>58</v>
      </c>
      <c r="AQ453" s="9" t="s">
        <v>58</v>
      </c>
      <c r="AR453" s="9" t="s">
        <v>2382</v>
      </c>
      <c r="AS453" s="9" t="n">
        <v>2070</v>
      </c>
      <c r="AT453" s="10" t="n">
        <f aca="false">(AS453/Q453)*100</f>
        <v>1.24994716406915</v>
      </c>
    </row>
    <row r="454" customFormat="false" ht="12.8" hidden="false" customHeight="true" outlineLevel="0" collapsed="false">
      <c r="A454" s="33" t="n">
        <v>2016</v>
      </c>
      <c r="B454" s="8" t="n">
        <v>219</v>
      </c>
      <c r="C454" s="9" t="s">
        <v>1330</v>
      </c>
      <c r="D454" s="9" t="s">
        <v>1331</v>
      </c>
      <c r="E454" s="9" t="s">
        <v>192</v>
      </c>
      <c r="F454" s="9" t="s">
        <v>1144</v>
      </c>
      <c r="G454" s="9" t="s">
        <v>50</v>
      </c>
      <c r="H454" s="9" t="s">
        <v>65</v>
      </c>
      <c r="I454" s="9" t="s">
        <v>526</v>
      </c>
      <c r="J454" s="9" t="s">
        <v>51</v>
      </c>
      <c r="K454" s="9" t="s">
        <v>51</v>
      </c>
      <c r="L454" s="9" t="s">
        <v>68</v>
      </c>
      <c r="M454" s="9" t="s">
        <v>51</v>
      </c>
      <c r="N454" s="9" t="s">
        <v>68</v>
      </c>
      <c r="O454" s="9" t="s">
        <v>51</v>
      </c>
      <c r="P454" s="9" t="n">
        <v>233672</v>
      </c>
      <c r="Q454" s="9" t="n">
        <v>177510</v>
      </c>
      <c r="R454" s="10" t="n">
        <f aca="false">(Q454/P454)*100</f>
        <v>75.9654558526482</v>
      </c>
      <c r="S454" s="9" t="n">
        <f aca="false">Y454-AD454</f>
        <v>14489</v>
      </c>
      <c r="T454" s="10" t="n">
        <f aca="false">(S454/Q454)*100</f>
        <v>8.16235705030702</v>
      </c>
      <c r="U454" s="10" t="n">
        <f aca="false">Z454+AE454</f>
        <v>80.5661652864627</v>
      </c>
      <c r="V454" s="9" t="s">
        <v>55</v>
      </c>
      <c r="W454" s="9" t="s">
        <v>68</v>
      </c>
      <c r="X454" s="9" t="s">
        <v>2383</v>
      </c>
      <c r="Y454" s="9" t="n">
        <v>78751</v>
      </c>
      <c r="Z454" s="10" t="n">
        <f aca="false">(Y454/Q454)*100</f>
        <v>44.3642611683849</v>
      </c>
      <c r="AA454" s="9" t="s">
        <v>52</v>
      </c>
      <c r="AB454" s="9" t="s">
        <v>53</v>
      </c>
      <c r="AC454" s="9" t="s">
        <v>2384</v>
      </c>
      <c r="AD454" s="9" t="n">
        <v>64262</v>
      </c>
      <c r="AE454" s="10" t="n">
        <f aca="false">(AD454/Q454)*100</f>
        <v>36.2019041180779</v>
      </c>
      <c r="AF454" s="9" t="s">
        <v>1429</v>
      </c>
      <c r="AG454" s="9" t="s">
        <v>271</v>
      </c>
      <c r="AH454" s="9" t="s">
        <v>2385</v>
      </c>
      <c r="AI454" s="9" t="n">
        <v>20807</v>
      </c>
      <c r="AJ454" s="10" t="n">
        <f aca="false">(AI454/Q454)*100</f>
        <v>11.7215931496817</v>
      </c>
      <c r="AK454" s="9" t="s">
        <v>1431</v>
      </c>
      <c r="AL454" s="9" t="s">
        <v>171</v>
      </c>
      <c r="AM454" s="9" t="s">
        <v>2386</v>
      </c>
      <c r="AN454" s="9" t="n">
        <v>4242</v>
      </c>
      <c r="AO454" s="10" t="n">
        <f aca="false">(AN454/Q454)*100</f>
        <v>2.38972452256211</v>
      </c>
      <c r="AP454" s="9" t="s">
        <v>58</v>
      </c>
      <c r="AQ454" s="9" t="s">
        <v>58</v>
      </c>
      <c r="AR454" s="9" t="s">
        <v>2387</v>
      </c>
      <c r="AS454" s="9" t="n">
        <v>2476</v>
      </c>
      <c r="AT454" s="10" t="n">
        <f aca="false">(AS454/Q454)*100</f>
        <v>1.39485099431018</v>
      </c>
    </row>
    <row r="455" customFormat="false" ht="12.8" hidden="false" customHeight="true" outlineLevel="0" collapsed="false">
      <c r="A455" s="33" t="n">
        <v>2016</v>
      </c>
      <c r="B455" s="8" t="n">
        <v>220</v>
      </c>
      <c r="C455" s="9" t="s">
        <v>1337</v>
      </c>
      <c r="D455" s="9" t="s">
        <v>1331</v>
      </c>
      <c r="E455" s="9" t="s">
        <v>192</v>
      </c>
      <c r="F455" s="9" t="s">
        <v>1144</v>
      </c>
      <c r="G455" s="9" t="s">
        <v>50</v>
      </c>
      <c r="H455" s="9" t="s">
        <v>65</v>
      </c>
      <c r="I455" s="9" t="s">
        <v>51</v>
      </c>
      <c r="J455" s="9" t="s">
        <v>51</v>
      </c>
      <c r="K455" s="9" t="s">
        <v>51</v>
      </c>
      <c r="L455" s="31" t="s">
        <v>1338</v>
      </c>
      <c r="M455" s="9" t="s">
        <v>51</v>
      </c>
      <c r="N455" s="9" t="s">
        <v>51</v>
      </c>
      <c r="O455" s="9" t="s">
        <v>51</v>
      </c>
      <c r="P455" s="9" t="n">
        <v>221225</v>
      </c>
      <c r="Q455" s="9" t="n">
        <v>164007</v>
      </c>
      <c r="R455" s="10" t="n">
        <f aca="false">(Q455/P455)*100</f>
        <v>74.1358345575771</v>
      </c>
      <c r="S455" s="9" t="n">
        <f aca="false">Y455-AD455</f>
        <v>18758</v>
      </c>
      <c r="T455" s="10" t="n">
        <f aca="false">(S455/Q455)*100</f>
        <v>11.437316699897</v>
      </c>
      <c r="U455" s="10" t="n">
        <f aca="false">Z455+AE455</f>
        <v>78.6856658557257</v>
      </c>
      <c r="V455" s="9" t="s">
        <v>55</v>
      </c>
      <c r="W455" s="9" t="s">
        <v>68</v>
      </c>
      <c r="X455" s="9" t="s">
        <v>2388</v>
      </c>
      <c r="Y455" s="9" t="n">
        <v>73904</v>
      </c>
      <c r="Z455" s="10" t="n">
        <f aca="false">(Y455/Q455)*100</f>
        <v>45.0614912778113</v>
      </c>
      <c r="AA455" s="9" t="s">
        <v>52</v>
      </c>
      <c r="AB455" s="9" t="s">
        <v>1059</v>
      </c>
      <c r="AC455" s="9" t="s">
        <v>2389</v>
      </c>
      <c r="AD455" s="9" t="n">
        <v>55146</v>
      </c>
      <c r="AE455" s="10" t="n">
        <f aca="false">(AD455/Q455)*100</f>
        <v>33.6241745779144</v>
      </c>
      <c r="AF455" s="9" t="s">
        <v>1429</v>
      </c>
      <c r="AG455" s="9" t="s">
        <v>392</v>
      </c>
      <c r="AH455" s="9" t="s">
        <v>2390</v>
      </c>
      <c r="AI455" s="9" t="n">
        <v>13735</v>
      </c>
      <c r="AJ455" s="10" t="n">
        <f aca="false">(AI455/Q455)*100</f>
        <v>8.374642545745</v>
      </c>
      <c r="AK455" s="9" t="s">
        <v>1431</v>
      </c>
      <c r="AL455" s="9" t="s">
        <v>171</v>
      </c>
      <c r="AM455" s="9" t="s">
        <v>1601</v>
      </c>
      <c r="AN455" s="9" t="n">
        <v>7121</v>
      </c>
      <c r="AO455" s="10" t="n">
        <f aca="false">(AN455/Q455)*100</f>
        <v>4.34188784625047</v>
      </c>
      <c r="AP455" s="9" t="s">
        <v>58</v>
      </c>
      <c r="AQ455" s="9" t="s">
        <v>58</v>
      </c>
      <c r="AR455" s="9" t="s">
        <v>2391</v>
      </c>
      <c r="AS455" s="9" t="n">
        <v>4008</v>
      </c>
      <c r="AT455" s="10" t="n">
        <f aca="false">(AS455/Q455)*100</f>
        <v>2.4437981305676</v>
      </c>
    </row>
    <row r="456" customFormat="false" ht="12.8" hidden="false" customHeight="true" outlineLevel="0" collapsed="false">
      <c r="A456" s="33" t="n">
        <v>2016</v>
      </c>
      <c r="B456" s="8" t="n">
        <v>221</v>
      </c>
      <c r="C456" s="9" t="s">
        <v>1344</v>
      </c>
      <c r="D456" s="9" t="s">
        <v>1331</v>
      </c>
      <c r="E456" s="9" t="s">
        <v>192</v>
      </c>
      <c r="F456" s="9" t="s">
        <v>1144</v>
      </c>
      <c r="G456" s="9" t="s">
        <v>50</v>
      </c>
      <c r="H456" s="9" t="s">
        <v>51</v>
      </c>
      <c r="I456" s="9" t="s">
        <v>51</v>
      </c>
      <c r="J456" s="19" t="s">
        <v>51</v>
      </c>
      <c r="K456" s="9" t="s">
        <v>51</v>
      </c>
      <c r="L456" s="9" t="s">
        <v>51</v>
      </c>
      <c r="M456" s="9" t="s">
        <v>51</v>
      </c>
      <c r="N456" s="9" t="s">
        <v>51</v>
      </c>
      <c r="O456" s="9" t="s">
        <v>51</v>
      </c>
      <c r="P456" s="9" t="n">
        <v>264848</v>
      </c>
      <c r="Q456" s="9" t="n">
        <v>188737</v>
      </c>
      <c r="R456" s="10" t="n">
        <f aca="false">(Q456/P456)*100</f>
        <v>71.2623844620311</v>
      </c>
      <c r="S456" s="9" t="n">
        <f aca="false">Y456-AD456</f>
        <v>1194</v>
      </c>
      <c r="T456" s="10" t="n">
        <f aca="false">(S456/Q456)*100</f>
        <v>0.632626353073324</v>
      </c>
      <c r="U456" s="10" t="n">
        <f aca="false">Z456+AE456</f>
        <v>74.3532004853314</v>
      </c>
      <c r="V456" s="9" t="s">
        <v>52</v>
      </c>
      <c r="W456" s="9" t="s">
        <v>342</v>
      </c>
      <c r="X456" s="9" t="s">
        <v>2392</v>
      </c>
      <c r="Y456" s="9" t="n">
        <v>70763</v>
      </c>
      <c r="Z456" s="10" t="n">
        <f aca="false">(Y456/Q456)*100</f>
        <v>37.4929134192024</v>
      </c>
      <c r="AA456" s="9" t="s">
        <v>55</v>
      </c>
      <c r="AB456" s="9" t="s">
        <v>68</v>
      </c>
      <c r="AC456" s="9" t="s">
        <v>2393</v>
      </c>
      <c r="AD456" s="9" t="n">
        <v>69569</v>
      </c>
      <c r="AE456" s="10" t="n">
        <f aca="false">(AD456/Q456)*100</f>
        <v>36.8602870661291</v>
      </c>
      <c r="AF456" s="9" t="s">
        <v>1429</v>
      </c>
      <c r="AG456" s="9" t="s">
        <v>61</v>
      </c>
      <c r="AH456" s="9" t="s">
        <v>2394</v>
      </c>
      <c r="AI456" s="9" t="n">
        <v>15858</v>
      </c>
      <c r="AJ456" s="10" t="n">
        <f aca="false">(AI456/Q456)*100</f>
        <v>8.40216809634571</v>
      </c>
      <c r="AK456" s="9" t="s">
        <v>1431</v>
      </c>
      <c r="AL456" s="9" t="s">
        <v>171</v>
      </c>
      <c r="AM456" s="9" t="s">
        <v>2395</v>
      </c>
      <c r="AN456" s="9" t="n">
        <v>14286</v>
      </c>
      <c r="AO456" s="10" t="n">
        <f aca="false">(AN456/Q456)*100</f>
        <v>7.56926304858083</v>
      </c>
      <c r="AP456" s="30" t="s">
        <v>352</v>
      </c>
      <c r="AQ456" s="30" t="s">
        <v>352</v>
      </c>
      <c r="AR456" s="9" t="s">
        <v>2396</v>
      </c>
      <c r="AS456" s="9" t="n">
        <v>5993</v>
      </c>
      <c r="AT456" s="10" t="n">
        <f aca="false">(AS456/Q456)*100</f>
        <v>3.17531803514944</v>
      </c>
    </row>
    <row r="457" customFormat="false" ht="12.8" hidden="false" customHeight="true" outlineLevel="0" collapsed="false">
      <c r="A457" s="33" t="n">
        <v>2016</v>
      </c>
      <c r="B457" s="8" t="n">
        <v>222</v>
      </c>
      <c r="C457" s="9" t="s">
        <v>1331</v>
      </c>
      <c r="D457" s="9" t="s">
        <v>1331</v>
      </c>
      <c r="E457" s="9" t="s">
        <v>192</v>
      </c>
      <c r="F457" s="9" t="s">
        <v>1144</v>
      </c>
      <c r="G457" s="9" t="s">
        <v>50</v>
      </c>
      <c r="H457" s="9" t="s">
        <v>51</v>
      </c>
      <c r="I457" s="9" t="s">
        <v>51</v>
      </c>
      <c r="J457" s="9" t="s">
        <v>51</v>
      </c>
      <c r="K457" s="9" t="s">
        <v>51</v>
      </c>
      <c r="L457" s="9" t="s">
        <v>51</v>
      </c>
      <c r="M457" s="9" t="s">
        <v>51</v>
      </c>
      <c r="N457" s="9" t="s">
        <v>51</v>
      </c>
      <c r="O457" s="9" t="s">
        <v>51</v>
      </c>
      <c r="P457" s="9" t="n">
        <v>263584</v>
      </c>
      <c r="Q457" s="9" t="n">
        <v>202775</v>
      </c>
      <c r="R457" s="10" t="n">
        <f aca="false">(Q457/P457)*100</f>
        <v>76.9299350491684</v>
      </c>
      <c r="S457" s="9" t="n">
        <f aca="false">Y457-AD457</f>
        <v>462</v>
      </c>
      <c r="T457" s="10" t="n">
        <f aca="false">(S457/Q457)*100</f>
        <v>0.227838737516952</v>
      </c>
      <c r="U457" s="10" t="n">
        <f aca="false">Z457+AE457</f>
        <v>84.9296017753668</v>
      </c>
      <c r="V457" s="9" t="s">
        <v>55</v>
      </c>
      <c r="W457" s="9" t="s">
        <v>68</v>
      </c>
      <c r="X457" s="9" t="s">
        <v>2397</v>
      </c>
      <c r="Y457" s="9" t="n">
        <v>86339</v>
      </c>
      <c r="Z457" s="10" t="n">
        <f aca="false">(Y457/Q457)*100</f>
        <v>42.5787202564419</v>
      </c>
      <c r="AA457" s="9" t="s">
        <v>52</v>
      </c>
      <c r="AB457" s="19" t="s">
        <v>66</v>
      </c>
      <c r="AC457" s="9" t="s">
        <v>2398</v>
      </c>
      <c r="AD457" s="9" t="n">
        <v>85877</v>
      </c>
      <c r="AE457" s="10" t="n">
        <f aca="false">(AD457/Q457)*100</f>
        <v>42.3508815189249</v>
      </c>
      <c r="AF457" s="9" t="s">
        <v>1431</v>
      </c>
      <c r="AG457" s="9" t="s">
        <v>171</v>
      </c>
      <c r="AH457" s="9" t="s">
        <v>2399</v>
      </c>
      <c r="AI457" s="9" t="n">
        <v>11716</v>
      </c>
      <c r="AJ457" s="10" t="n">
        <f aca="false">(AI457/Q457)*100</f>
        <v>5.77783257304895</v>
      </c>
      <c r="AK457" s="9" t="s">
        <v>1429</v>
      </c>
      <c r="AL457" s="9" t="s">
        <v>1338</v>
      </c>
      <c r="AM457" s="9" t="s">
        <v>2400</v>
      </c>
      <c r="AN457" s="9" t="n">
        <v>7324</v>
      </c>
      <c r="AO457" s="10" t="n">
        <f aca="false">(AN457/Q457)*100</f>
        <v>3.61188509431636</v>
      </c>
      <c r="AP457" s="9" t="s">
        <v>63</v>
      </c>
      <c r="AQ457" s="9" t="s">
        <v>63</v>
      </c>
      <c r="AR457" s="9" t="s">
        <v>63</v>
      </c>
      <c r="AS457" s="9" t="n">
        <v>3391</v>
      </c>
      <c r="AT457" s="10" t="n">
        <f aca="false">(AS457/Q457)*100</f>
        <v>1.67229688077919</v>
      </c>
    </row>
    <row r="458" customFormat="false" ht="12.8" hidden="false" customHeight="true" outlineLevel="0" collapsed="false">
      <c r="A458" s="33" t="n">
        <v>2016</v>
      </c>
      <c r="B458" s="8" t="n">
        <v>223</v>
      </c>
      <c r="C458" s="9" t="s">
        <v>1355</v>
      </c>
      <c r="D458" s="9" t="s">
        <v>1331</v>
      </c>
      <c r="E458" s="9" t="s">
        <v>192</v>
      </c>
      <c r="F458" s="9" t="s">
        <v>1144</v>
      </c>
      <c r="G458" s="9" t="s">
        <v>50</v>
      </c>
      <c r="H458" s="9" t="s">
        <v>51</v>
      </c>
      <c r="I458" s="9" t="s">
        <v>51</v>
      </c>
      <c r="J458" s="9" t="s">
        <v>51</v>
      </c>
      <c r="K458" s="9" t="s">
        <v>51</v>
      </c>
      <c r="L458" s="9" t="s">
        <v>51</v>
      </c>
      <c r="M458" s="9" t="s">
        <v>51</v>
      </c>
      <c r="N458" s="9" t="s">
        <v>51</v>
      </c>
      <c r="O458" s="9" t="s">
        <v>51</v>
      </c>
      <c r="P458" s="9" t="n">
        <v>244588</v>
      </c>
      <c r="Q458" s="9" t="n">
        <v>193326</v>
      </c>
      <c r="R458" s="10" t="n">
        <f aca="false">(Q458/P458)*100</f>
        <v>79.0414901794037</v>
      </c>
      <c r="S458" s="9" t="n">
        <f aca="false">Y458-AD458</f>
        <v>4754</v>
      </c>
      <c r="T458" s="10" t="n">
        <f aca="false">(S458/Q458)*100</f>
        <v>2.45905879188521</v>
      </c>
      <c r="U458" s="10" t="n">
        <f aca="false">Z458+AE458</f>
        <v>89.5006362310295</v>
      </c>
      <c r="V458" s="9" t="s">
        <v>52</v>
      </c>
      <c r="W458" s="9" t="s">
        <v>53</v>
      </c>
      <c r="X458" s="9" t="s">
        <v>2401</v>
      </c>
      <c r="Y458" s="9" t="n">
        <v>88891</v>
      </c>
      <c r="Z458" s="10" t="n">
        <f aca="false">(Y458/Q458)*100</f>
        <v>45.9798475114573</v>
      </c>
      <c r="AA458" s="9" t="s">
        <v>55</v>
      </c>
      <c r="AB458" s="9" t="s">
        <v>68</v>
      </c>
      <c r="AC458" s="9" t="s">
        <v>2402</v>
      </c>
      <c r="AD458" s="9" t="n">
        <v>84137</v>
      </c>
      <c r="AE458" s="10" t="n">
        <f aca="false">(AD458/Q458)*100</f>
        <v>43.5207887195721</v>
      </c>
      <c r="AF458" s="9" t="s">
        <v>1429</v>
      </c>
      <c r="AG458" s="9" t="s">
        <v>61</v>
      </c>
      <c r="AH458" s="9" t="s">
        <v>2403</v>
      </c>
      <c r="AI458" s="9" t="n">
        <v>7784</v>
      </c>
      <c r="AJ458" s="10" t="n">
        <f aca="false">(AI458/Q458)*100</f>
        <v>4.02635962053733</v>
      </c>
      <c r="AK458" s="9" t="s">
        <v>1431</v>
      </c>
      <c r="AL458" s="9" t="s">
        <v>171</v>
      </c>
      <c r="AM458" s="9" t="s">
        <v>2404</v>
      </c>
      <c r="AN458" s="9" t="n">
        <v>4660</v>
      </c>
      <c r="AO458" s="10" t="n">
        <f aca="false">(AN458/Q458)*100</f>
        <v>2.41043625792703</v>
      </c>
      <c r="AP458" s="9" t="s">
        <v>58</v>
      </c>
      <c r="AQ458" s="9" t="s">
        <v>58</v>
      </c>
      <c r="AR458" s="9" t="s">
        <v>2405</v>
      </c>
      <c r="AS458" s="9" t="n">
        <v>2495</v>
      </c>
      <c r="AT458" s="10" t="n">
        <f aca="false">(AS458/Q458)*100</f>
        <v>1.29056619389011</v>
      </c>
    </row>
    <row r="459" customFormat="false" ht="12.8" hidden="false" customHeight="true" outlineLevel="0" collapsed="false">
      <c r="A459" s="33" t="n">
        <v>2016</v>
      </c>
      <c r="B459" s="8" t="n">
        <v>224</v>
      </c>
      <c r="C459" s="9" t="s">
        <v>1361</v>
      </c>
      <c r="D459" s="9" t="s">
        <v>1361</v>
      </c>
      <c r="E459" s="9" t="s">
        <v>192</v>
      </c>
      <c r="F459" s="9" t="s">
        <v>1362</v>
      </c>
      <c r="G459" s="9" t="s">
        <v>88</v>
      </c>
      <c r="H459" s="9" t="s">
        <v>51</v>
      </c>
      <c r="I459" s="9" t="s">
        <v>51</v>
      </c>
      <c r="J459" s="9" t="s">
        <v>51</v>
      </c>
      <c r="K459" s="9" t="s">
        <v>51</v>
      </c>
      <c r="L459" s="9" t="s">
        <v>51</v>
      </c>
      <c r="M459" s="9" t="s">
        <v>51</v>
      </c>
      <c r="N459" s="9" t="s">
        <v>51</v>
      </c>
      <c r="O459" s="9" t="s">
        <v>51</v>
      </c>
      <c r="P459" s="9" t="n">
        <v>268968</v>
      </c>
      <c r="Q459" s="9" t="n">
        <v>189576</v>
      </c>
      <c r="R459" s="10" t="n">
        <f aca="false">(Q459/P459)*100</f>
        <v>70.4827340055323</v>
      </c>
      <c r="S459" s="9" t="n">
        <f aca="false">Y459-AD459</f>
        <v>601</v>
      </c>
      <c r="T459" s="10" t="n">
        <f aca="false">(S459/Q459)*100</f>
        <v>0.317023251888425</v>
      </c>
      <c r="U459" s="10" t="n">
        <f aca="false">Z459+AE459</f>
        <v>85.9396759083428</v>
      </c>
      <c r="V459" s="9" t="s">
        <v>52</v>
      </c>
      <c r="W459" s="9" t="s">
        <v>53</v>
      </c>
      <c r="X459" s="9" t="s">
        <v>2406</v>
      </c>
      <c r="Y459" s="9" t="n">
        <v>81761</v>
      </c>
      <c r="Z459" s="10" t="n">
        <f aca="false">(Y459/Q459)*100</f>
        <v>43.1283495801156</v>
      </c>
      <c r="AA459" s="9" t="s">
        <v>55</v>
      </c>
      <c r="AB459" s="9" t="s">
        <v>68</v>
      </c>
      <c r="AC459" s="9" t="s">
        <v>2407</v>
      </c>
      <c r="AD459" s="9" t="n">
        <v>81160</v>
      </c>
      <c r="AE459" s="10" t="n">
        <f aca="false">(AD459/Q459)*100</f>
        <v>42.8113263282272</v>
      </c>
      <c r="AF459" s="9" t="s">
        <v>1429</v>
      </c>
      <c r="AG459" s="9" t="s">
        <v>61</v>
      </c>
      <c r="AH459" s="9" t="s">
        <v>2408</v>
      </c>
      <c r="AI459" s="9" t="n">
        <v>8640</v>
      </c>
      <c r="AJ459" s="10" t="n">
        <f aca="false">(AI459/Q459)*100</f>
        <v>4.55753892897835</v>
      </c>
      <c r="AK459" s="9" t="s">
        <v>1431</v>
      </c>
      <c r="AL459" s="9" t="s">
        <v>171</v>
      </c>
      <c r="AM459" s="9" t="s">
        <v>2409</v>
      </c>
      <c r="AN459" s="9" t="n">
        <v>6017</v>
      </c>
      <c r="AO459" s="10" t="n">
        <f aca="false">(AN459/Q459)*100</f>
        <v>3.17392496940541</v>
      </c>
      <c r="AP459" s="9" t="s">
        <v>63</v>
      </c>
      <c r="AQ459" s="9" t="s">
        <v>63</v>
      </c>
      <c r="AR459" s="9" t="s">
        <v>63</v>
      </c>
      <c r="AS459" s="9" t="n">
        <v>2218</v>
      </c>
      <c r="AT459" s="10" t="n">
        <f aca="false">(AS459/Q459)*100</f>
        <v>1.16997932227708</v>
      </c>
    </row>
    <row r="460" customFormat="false" ht="12.8" hidden="false" customHeight="true" outlineLevel="0" collapsed="false">
      <c r="A460" s="33" t="n">
        <v>2016</v>
      </c>
      <c r="B460" s="8" t="n">
        <v>225</v>
      </c>
      <c r="C460" s="9" t="s">
        <v>1367</v>
      </c>
      <c r="D460" s="9" t="s">
        <v>1361</v>
      </c>
      <c r="E460" s="9" t="s">
        <v>192</v>
      </c>
      <c r="F460" s="9" t="s">
        <v>1362</v>
      </c>
      <c r="G460" s="9" t="s">
        <v>77</v>
      </c>
      <c r="H460" s="9" t="s">
        <v>51</v>
      </c>
      <c r="I460" s="9" t="s">
        <v>51</v>
      </c>
      <c r="J460" s="9" t="s">
        <v>51</v>
      </c>
      <c r="K460" s="9" t="s">
        <v>51</v>
      </c>
      <c r="L460" s="9" t="s">
        <v>51</v>
      </c>
      <c r="M460" s="9" t="s">
        <v>68</v>
      </c>
      <c r="N460" s="9" t="s">
        <v>51</v>
      </c>
      <c r="O460" s="9" t="s">
        <v>51</v>
      </c>
      <c r="P460" s="9" t="n">
        <v>235065</v>
      </c>
      <c r="Q460" s="9" t="n">
        <v>171528</v>
      </c>
      <c r="R460" s="10" t="n">
        <f aca="false">(Q460/P460)*100</f>
        <v>72.9704549805373</v>
      </c>
      <c r="S460" s="9" t="n">
        <f aca="false">Y460-AD460</f>
        <v>13166</v>
      </c>
      <c r="T460" s="10" t="n">
        <f aca="false">(S460/Q460)*100</f>
        <v>7.67571475211044</v>
      </c>
      <c r="U460" s="10" t="n">
        <f aca="false">Z460+AE460</f>
        <v>83.9186605102374</v>
      </c>
      <c r="V460" s="9" t="s">
        <v>55</v>
      </c>
      <c r="W460" s="9" t="s">
        <v>68</v>
      </c>
      <c r="X460" s="9" t="s">
        <v>2410</v>
      </c>
      <c r="Y460" s="9" t="n">
        <v>78555</v>
      </c>
      <c r="Z460" s="10" t="n">
        <f aca="false">(Y460/Q460)*100</f>
        <v>45.7971876311739</v>
      </c>
      <c r="AA460" s="9" t="s">
        <v>52</v>
      </c>
      <c r="AB460" s="9" t="s">
        <v>53</v>
      </c>
      <c r="AC460" s="9" t="s">
        <v>1369</v>
      </c>
      <c r="AD460" s="9" t="n">
        <v>65389</v>
      </c>
      <c r="AE460" s="10" t="n">
        <f aca="false">(AD460/Q460)*100</f>
        <v>38.1214728790635</v>
      </c>
      <c r="AF460" s="9" t="s">
        <v>1429</v>
      </c>
      <c r="AG460" s="9" t="s">
        <v>422</v>
      </c>
      <c r="AH460" s="9" t="s">
        <v>2411</v>
      </c>
      <c r="AI460" s="9" t="n">
        <v>13690</v>
      </c>
      <c r="AJ460" s="10" t="n">
        <f aca="false">(AI460/Q460)*100</f>
        <v>7.9812042348771</v>
      </c>
      <c r="AK460" s="9" t="s">
        <v>1431</v>
      </c>
      <c r="AL460" s="9" t="s">
        <v>171</v>
      </c>
      <c r="AM460" s="9" t="s">
        <v>2412</v>
      </c>
      <c r="AN460" s="9" t="n">
        <v>4711</v>
      </c>
      <c r="AO460" s="10" t="n">
        <f aca="false">(AN460/Q460)*100</f>
        <v>2.74649036891936</v>
      </c>
      <c r="AP460" s="9" t="s">
        <v>63</v>
      </c>
      <c r="AQ460" s="9" t="s">
        <v>63</v>
      </c>
      <c r="AR460" s="9" t="s">
        <v>63</v>
      </c>
      <c r="AS460" s="9" t="n">
        <v>2041</v>
      </c>
      <c r="AT460" s="10" t="n">
        <f aca="false">(AS460/Q460)*100</f>
        <v>1.18989319528007</v>
      </c>
    </row>
    <row r="461" customFormat="false" ht="12.8" hidden="false" customHeight="true" outlineLevel="0" collapsed="false">
      <c r="A461" s="33" t="n">
        <v>2016</v>
      </c>
      <c r="B461" s="8" t="n">
        <v>226</v>
      </c>
      <c r="C461" s="9" t="s">
        <v>1373</v>
      </c>
      <c r="D461" s="9" t="s">
        <v>1361</v>
      </c>
      <c r="E461" s="9" t="s">
        <v>192</v>
      </c>
      <c r="F461" s="9" t="s">
        <v>1362</v>
      </c>
      <c r="G461" s="9" t="s">
        <v>77</v>
      </c>
      <c r="H461" s="9" t="s">
        <v>51</v>
      </c>
      <c r="I461" s="9" t="s">
        <v>51</v>
      </c>
      <c r="J461" s="9" t="s">
        <v>51</v>
      </c>
      <c r="K461" s="9" t="s">
        <v>51</v>
      </c>
      <c r="L461" s="9" t="s">
        <v>53</v>
      </c>
      <c r="M461" s="9" t="s">
        <v>53</v>
      </c>
      <c r="N461" s="9" t="s">
        <v>51</v>
      </c>
      <c r="O461" s="9" t="s">
        <v>51</v>
      </c>
      <c r="P461" s="9" t="n">
        <v>253520</v>
      </c>
      <c r="Q461" s="9" t="n">
        <v>154648</v>
      </c>
      <c r="R461" s="10" t="n">
        <f aca="false">(Q461/P461)*100</f>
        <v>61.000315556958</v>
      </c>
      <c r="S461" s="9" t="n">
        <f aca="false">Y461-AD461</f>
        <v>15872</v>
      </c>
      <c r="T461" s="10" t="n">
        <f aca="false">(S461/Q461)*100</f>
        <v>10.2633076405773</v>
      </c>
      <c r="U461" s="10" t="n">
        <f aca="false">Z461+AE461</f>
        <v>76.9838601210491</v>
      </c>
      <c r="V461" s="9" t="s">
        <v>52</v>
      </c>
      <c r="W461" s="9" t="s">
        <v>53</v>
      </c>
      <c r="X461" s="9" t="s">
        <v>2413</v>
      </c>
      <c r="Y461" s="9" t="n">
        <v>67463</v>
      </c>
      <c r="Z461" s="10" t="n">
        <f aca="false">(Y461/Q461)*100</f>
        <v>43.6235838808132</v>
      </c>
      <c r="AA461" s="9" t="s">
        <v>55</v>
      </c>
      <c r="AB461" s="9" t="s">
        <v>68</v>
      </c>
      <c r="AC461" s="9" t="s">
        <v>2414</v>
      </c>
      <c r="AD461" s="9" t="n">
        <v>51591</v>
      </c>
      <c r="AE461" s="10" t="n">
        <f aca="false">(AD461/Q461)*100</f>
        <v>33.3602762402359</v>
      </c>
      <c r="AF461" s="9" t="s">
        <v>1429</v>
      </c>
      <c r="AG461" s="9" t="s">
        <v>271</v>
      </c>
      <c r="AH461" s="9" t="s">
        <v>2415</v>
      </c>
      <c r="AI461" s="9" t="n">
        <v>12593</v>
      </c>
      <c r="AJ461" s="10" t="n">
        <f aca="false">(AI461/Q461)*100</f>
        <v>8.14300863897367</v>
      </c>
      <c r="AK461" s="9" t="s">
        <v>1431</v>
      </c>
      <c r="AL461" s="9" t="s">
        <v>171</v>
      </c>
      <c r="AM461" s="9" t="s">
        <v>2416</v>
      </c>
      <c r="AN461" s="9" t="n">
        <v>7063</v>
      </c>
      <c r="AO461" s="10" t="n">
        <f aca="false">(AN461/Q461)*100</f>
        <v>4.56714603486628</v>
      </c>
      <c r="AP461" s="9" t="s">
        <v>352</v>
      </c>
      <c r="AQ461" s="9" t="s">
        <v>352</v>
      </c>
      <c r="AR461" s="9" t="s">
        <v>2417</v>
      </c>
      <c r="AS461" s="9" t="n">
        <v>7008</v>
      </c>
      <c r="AT461" s="10" t="n">
        <f aca="false">(AS461/Q461)*100</f>
        <v>4.5315813977549</v>
      </c>
    </row>
    <row r="462" customFormat="false" ht="12.8" hidden="false" customHeight="true" outlineLevel="0" collapsed="false">
      <c r="A462" s="33" t="n">
        <v>2016</v>
      </c>
      <c r="B462" s="8" t="n">
        <v>227</v>
      </c>
      <c r="C462" s="9" t="s">
        <v>1379</v>
      </c>
      <c r="D462" s="9" t="s">
        <v>1361</v>
      </c>
      <c r="E462" s="9" t="s">
        <v>192</v>
      </c>
      <c r="F462" s="9" t="s">
        <v>1362</v>
      </c>
      <c r="G462" s="9" t="s">
        <v>50</v>
      </c>
      <c r="H462" s="9" t="s">
        <v>51</v>
      </c>
      <c r="I462" s="9" t="s">
        <v>51</v>
      </c>
      <c r="J462" s="9" t="s">
        <v>51</v>
      </c>
      <c r="K462" s="9" t="s">
        <v>51</v>
      </c>
      <c r="L462" s="9" t="s">
        <v>68</v>
      </c>
      <c r="M462" s="9" t="s">
        <v>51</v>
      </c>
      <c r="N462" s="9" t="s">
        <v>51</v>
      </c>
      <c r="O462" s="9" t="s">
        <v>51</v>
      </c>
      <c r="P462" s="9" t="n">
        <v>241732</v>
      </c>
      <c r="Q462" s="9" t="n">
        <v>172470</v>
      </c>
      <c r="R462" s="10" t="n">
        <f aca="false">(Q462/P462)*100</f>
        <v>71.347608094915</v>
      </c>
      <c r="S462" s="9" t="n">
        <f aca="false">Y462-AD462</f>
        <v>17315</v>
      </c>
      <c r="T462" s="10" t="n">
        <f aca="false">(S462/Q462)*100</f>
        <v>10.0394271467502</v>
      </c>
      <c r="U462" s="10" t="n">
        <f aca="false">Z462+AE462</f>
        <v>76.8533658027483</v>
      </c>
      <c r="V462" s="9" t="s">
        <v>52</v>
      </c>
      <c r="W462" s="9" t="s">
        <v>66</v>
      </c>
      <c r="X462" s="9" t="s">
        <v>2418</v>
      </c>
      <c r="Y462" s="9" t="n">
        <v>74932</v>
      </c>
      <c r="Z462" s="10" t="n">
        <f aca="false">(Y462/Q462)*100</f>
        <v>43.4463964747492</v>
      </c>
      <c r="AA462" s="9" t="s">
        <v>55</v>
      </c>
      <c r="AB462" s="9" t="s">
        <v>68</v>
      </c>
      <c r="AC462" s="9" t="s">
        <v>2419</v>
      </c>
      <c r="AD462" s="9" t="n">
        <v>57617</v>
      </c>
      <c r="AE462" s="10" t="n">
        <f aca="false">(AD462/Q462)*100</f>
        <v>33.4069693279991</v>
      </c>
      <c r="AF462" s="9" t="s">
        <v>197</v>
      </c>
      <c r="AG462" s="27" t="s">
        <v>1198</v>
      </c>
      <c r="AH462" s="9" t="s">
        <v>2420</v>
      </c>
      <c r="AI462" s="9" t="n">
        <v>14203</v>
      </c>
      <c r="AJ462" s="10" t="n">
        <f aca="false">(AI462/Q462)*100</f>
        <v>8.23505537194875</v>
      </c>
      <c r="AK462" s="9" t="s">
        <v>1429</v>
      </c>
      <c r="AL462" s="9" t="s">
        <v>61</v>
      </c>
      <c r="AM462" s="9" t="s">
        <v>2421</v>
      </c>
      <c r="AN462" s="9" t="n">
        <v>9446</v>
      </c>
      <c r="AO462" s="10" t="n">
        <f aca="false">(AN462/Q462)*100</f>
        <v>5.47689453238244</v>
      </c>
      <c r="AP462" s="9" t="s">
        <v>1431</v>
      </c>
      <c r="AQ462" s="9" t="s">
        <v>171</v>
      </c>
      <c r="AR462" s="9" t="s">
        <v>2422</v>
      </c>
      <c r="AS462" s="9" t="n">
        <v>6609</v>
      </c>
      <c r="AT462" s="10" t="n">
        <f aca="false">(AS462/Q462)*100</f>
        <v>3.83197077752653</v>
      </c>
    </row>
    <row r="463" customFormat="false" ht="12.8" hidden="false" customHeight="true" outlineLevel="0" collapsed="false">
      <c r="A463" s="33" t="n">
        <v>2016</v>
      </c>
      <c r="B463" s="8" t="n">
        <v>228</v>
      </c>
      <c r="C463" s="9" t="s">
        <v>1384</v>
      </c>
      <c r="D463" s="9" t="s">
        <v>1361</v>
      </c>
      <c r="E463" s="9" t="s">
        <v>192</v>
      </c>
      <c r="F463" s="9" t="s">
        <v>1362</v>
      </c>
      <c r="G463" s="9" t="s">
        <v>50</v>
      </c>
      <c r="H463" s="9" t="s">
        <v>51</v>
      </c>
      <c r="I463" s="9" t="s">
        <v>51</v>
      </c>
      <c r="J463" s="9" t="s">
        <v>51</v>
      </c>
      <c r="K463" s="9" t="s">
        <v>53</v>
      </c>
      <c r="L463" s="9" t="s">
        <v>51</v>
      </c>
      <c r="M463" s="9" t="s">
        <v>51</v>
      </c>
      <c r="N463" s="9" t="s">
        <v>51</v>
      </c>
      <c r="O463" s="9" t="s">
        <v>51</v>
      </c>
      <c r="P463" s="9" t="n">
        <v>240072</v>
      </c>
      <c r="Q463" s="9" t="n">
        <v>171337</v>
      </c>
      <c r="R463" s="10" t="n">
        <f aca="false">(Q463/P463)*100</f>
        <v>71.3690059648772</v>
      </c>
      <c r="S463" s="9" t="n">
        <f aca="false">Y463-AD463</f>
        <v>49</v>
      </c>
      <c r="T463" s="10" t="n">
        <f aca="false">(S463/Q463)*100</f>
        <v>0.0285986097573787</v>
      </c>
      <c r="U463" s="10" t="n">
        <f aca="false">Z463+AE463</f>
        <v>81.20312600314</v>
      </c>
      <c r="V463" s="9" t="s">
        <v>55</v>
      </c>
      <c r="W463" s="9" t="s">
        <v>68</v>
      </c>
      <c r="X463" s="9" t="s">
        <v>2423</v>
      </c>
      <c r="Y463" s="9" t="n">
        <v>69590</v>
      </c>
      <c r="Z463" s="10" t="n">
        <f aca="false">(Y463/Q463)*100</f>
        <v>40.6158623064487</v>
      </c>
      <c r="AA463" s="9" t="s">
        <v>52</v>
      </c>
      <c r="AB463" s="9" t="s">
        <v>53</v>
      </c>
      <c r="AC463" s="9" t="s">
        <v>2424</v>
      </c>
      <c r="AD463" s="9" t="n">
        <v>69541</v>
      </c>
      <c r="AE463" s="10" t="n">
        <f aca="false">(AD463/Q463)*100</f>
        <v>40.5872636966913</v>
      </c>
      <c r="AF463" s="9" t="s">
        <v>1431</v>
      </c>
      <c r="AG463" s="9" t="s">
        <v>171</v>
      </c>
      <c r="AH463" s="9" t="s">
        <v>2425</v>
      </c>
      <c r="AI463" s="9" t="n">
        <v>11131</v>
      </c>
      <c r="AJ463" s="10" t="n">
        <f aca="false">(AI463/Q463)*100</f>
        <v>6.49655357570169</v>
      </c>
      <c r="AK463" s="9" t="s">
        <v>1429</v>
      </c>
      <c r="AL463" s="9" t="s">
        <v>61</v>
      </c>
      <c r="AM463" s="9" t="s">
        <v>2426</v>
      </c>
      <c r="AN463" s="9" t="n">
        <v>8362</v>
      </c>
      <c r="AO463" s="10" t="n">
        <f aca="false">(AN463/Q463)*100</f>
        <v>4.88044030186124</v>
      </c>
      <c r="AP463" s="9" t="s">
        <v>2005</v>
      </c>
      <c r="AQ463" s="9" t="s">
        <v>197</v>
      </c>
      <c r="AR463" s="9" t="s">
        <v>2427</v>
      </c>
      <c r="AS463" s="9" t="n">
        <v>4891</v>
      </c>
      <c r="AT463" s="10" t="n">
        <f aca="false">(AS463/Q463)*100</f>
        <v>2.85460816986407</v>
      </c>
    </row>
    <row r="464" customFormat="false" ht="12.8" hidden="false" customHeight="true" outlineLevel="0" collapsed="false">
      <c r="A464" s="33" t="n">
        <v>2016</v>
      </c>
      <c r="B464" s="8" t="n">
        <v>229</v>
      </c>
      <c r="C464" s="9" t="s">
        <v>1390</v>
      </c>
      <c r="D464" s="9" t="s">
        <v>1390</v>
      </c>
      <c r="E464" s="9" t="s">
        <v>192</v>
      </c>
      <c r="F464" s="9" t="s">
        <v>1362</v>
      </c>
      <c r="G464" s="9" t="s">
        <v>50</v>
      </c>
      <c r="H464" s="9" t="s">
        <v>51</v>
      </c>
      <c r="I464" s="9" t="s">
        <v>526</v>
      </c>
      <c r="J464" s="9" t="s">
        <v>51</v>
      </c>
      <c r="K464" s="9" t="s">
        <v>51</v>
      </c>
      <c r="L464" s="9" t="s">
        <v>51</v>
      </c>
      <c r="M464" s="9" t="s">
        <v>51</v>
      </c>
      <c r="N464" s="9" t="s">
        <v>51</v>
      </c>
      <c r="O464" s="9" t="s">
        <v>51</v>
      </c>
      <c r="P464" s="9" t="n">
        <v>279651</v>
      </c>
      <c r="Q464" s="9" t="n">
        <v>209924</v>
      </c>
      <c r="R464" s="10" t="n">
        <f aca="false">(Q464/P464)*100</f>
        <v>75.0664220760877</v>
      </c>
      <c r="S464" s="9" t="n">
        <f aca="false">Y464-AD464</f>
        <v>5912</v>
      </c>
      <c r="T464" s="10" t="n">
        <f aca="false">(S464/Q464)*100</f>
        <v>2.81625731217012</v>
      </c>
      <c r="U464" s="10" t="n">
        <f aca="false">Z464+AE464</f>
        <v>81.998246984623</v>
      </c>
      <c r="V464" s="9" t="s">
        <v>52</v>
      </c>
      <c r="W464" s="9" t="s">
        <v>53</v>
      </c>
      <c r="X464" s="9" t="s">
        <v>2428</v>
      </c>
      <c r="Y464" s="9" t="n">
        <v>89023</v>
      </c>
      <c r="Z464" s="10" t="n">
        <f aca="false">(Y464/Q464)*100</f>
        <v>42.4072521483966</v>
      </c>
      <c r="AA464" s="9" t="s">
        <v>55</v>
      </c>
      <c r="AB464" s="9" t="s">
        <v>68</v>
      </c>
      <c r="AC464" s="9" t="s">
        <v>2429</v>
      </c>
      <c r="AD464" s="9" t="n">
        <v>83111</v>
      </c>
      <c r="AE464" s="10" t="n">
        <f aca="false">(AD464/Q464)*100</f>
        <v>39.5909948362264</v>
      </c>
      <c r="AF464" s="9" t="s">
        <v>1431</v>
      </c>
      <c r="AG464" s="9" t="s">
        <v>171</v>
      </c>
      <c r="AH464" s="9" t="s">
        <v>2430</v>
      </c>
      <c r="AI464" s="9" t="n">
        <v>24638</v>
      </c>
      <c r="AJ464" s="10" t="n">
        <f aca="false">(AI464/Q464)*100</f>
        <v>11.7366284941217</v>
      </c>
      <c r="AK464" s="9" t="s">
        <v>1429</v>
      </c>
      <c r="AL464" s="9" t="s">
        <v>61</v>
      </c>
      <c r="AM464" s="9" t="s">
        <v>2431</v>
      </c>
      <c r="AN464" s="9" t="n">
        <v>6914</v>
      </c>
      <c r="AO464" s="10" t="n">
        <f aca="false">(AN464/Q464)*100</f>
        <v>3.29357291210152</v>
      </c>
      <c r="AP464" s="9" t="s">
        <v>58</v>
      </c>
      <c r="AQ464" s="9" t="s">
        <v>58</v>
      </c>
      <c r="AR464" s="9" t="s">
        <v>2432</v>
      </c>
      <c r="AS464" s="9" t="n">
        <v>1732</v>
      </c>
      <c r="AT464" s="10" t="n">
        <f aca="false">(AS464/Q464)*100</f>
        <v>0.825060498085021</v>
      </c>
    </row>
    <row r="465" customFormat="false" ht="12.8" hidden="false" customHeight="true" outlineLevel="0" collapsed="false">
      <c r="A465" s="33" t="n">
        <v>2016</v>
      </c>
      <c r="B465" s="8" t="n">
        <v>230</v>
      </c>
      <c r="C465" s="9" t="s">
        <v>1396</v>
      </c>
      <c r="D465" s="9" t="s">
        <v>1390</v>
      </c>
      <c r="E465" s="9" t="s">
        <v>192</v>
      </c>
      <c r="F465" s="9" t="s">
        <v>1362</v>
      </c>
      <c r="G465" s="9" t="s">
        <v>88</v>
      </c>
      <c r="H465" s="9" t="s">
        <v>51</v>
      </c>
      <c r="I465" s="9" t="s">
        <v>51</v>
      </c>
      <c r="J465" s="9" t="s">
        <v>51</v>
      </c>
      <c r="K465" s="9" t="s">
        <v>51</v>
      </c>
      <c r="L465" s="9" t="s">
        <v>66</v>
      </c>
      <c r="M465" s="9" t="s">
        <v>51</v>
      </c>
      <c r="N465" s="9" t="s">
        <v>51</v>
      </c>
      <c r="O465" s="9" t="s">
        <v>51</v>
      </c>
      <c r="P465" s="9" t="n">
        <v>263633</v>
      </c>
      <c r="Q465" s="9" t="n">
        <v>173324</v>
      </c>
      <c r="R465" s="10" t="n">
        <f aca="false">(Q465/P465)*100</f>
        <v>65.7444250150778</v>
      </c>
      <c r="S465" s="9" t="n">
        <f aca="false">Y465-AD465</f>
        <v>20956</v>
      </c>
      <c r="T465" s="10" t="n">
        <f aca="false">(S465/Q465)*100</f>
        <v>12.0906510350557</v>
      </c>
      <c r="U465" s="10" t="n">
        <f aca="false">Z465+AJ465</f>
        <v>65.3071703860977</v>
      </c>
      <c r="V465" s="9" t="s">
        <v>52</v>
      </c>
      <c r="W465" s="9" t="s">
        <v>53</v>
      </c>
      <c r="X465" s="9" t="s">
        <v>2433</v>
      </c>
      <c r="Y465" s="9" t="n">
        <v>67369</v>
      </c>
      <c r="Z465" s="10" t="n">
        <f aca="false">(Y465/Q465)*100</f>
        <v>38.8688237058919</v>
      </c>
      <c r="AA465" s="9" t="s">
        <v>1431</v>
      </c>
      <c r="AB465" s="9" t="s">
        <v>171</v>
      </c>
      <c r="AC465" s="9" t="s">
        <v>2434</v>
      </c>
      <c r="AD465" s="9" t="n">
        <v>46413</v>
      </c>
      <c r="AE465" s="10" t="n">
        <f aca="false">(AD465/Q465)*100</f>
        <v>26.7781726708361</v>
      </c>
      <c r="AF465" s="9" t="s">
        <v>55</v>
      </c>
      <c r="AG465" s="9" t="s">
        <v>68</v>
      </c>
      <c r="AH465" s="9" t="s">
        <v>2435</v>
      </c>
      <c r="AI465" s="9" t="n">
        <v>45824</v>
      </c>
      <c r="AJ465" s="10" t="n">
        <f aca="false">(AI465/Q465)*100</f>
        <v>26.4383466802059</v>
      </c>
      <c r="AK465" s="9" t="s">
        <v>1429</v>
      </c>
      <c r="AL465" s="9" t="s">
        <v>271</v>
      </c>
      <c r="AM465" s="9" t="s">
        <v>2436</v>
      </c>
      <c r="AN465" s="9" t="n">
        <v>5803</v>
      </c>
      <c r="AO465" s="10" t="n">
        <f aca="false">(AN465/Q465)*100</f>
        <v>3.34806489580208</v>
      </c>
      <c r="AP465" s="9" t="s">
        <v>58</v>
      </c>
      <c r="AQ465" s="9" t="s">
        <v>58</v>
      </c>
      <c r="AR465" s="9" t="s">
        <v>2437</v>
      </c>
      <c r="AS465" s="9" t="n">
        <v>1855</v>
      </c>
      <c r="AT465" s="10" t="n">
        <f aca="false">(AS465/Q465)*100</f>
        <v>1.07024993653504</v>
      </c>
    </row>
    <row r="466" customFormat="false" ht="12.8" hidden="false" customHeight="true" outlineLevel="0" collapsed="false">
      <c r="A466" s="33" t="n">
        <v>2016</v>
      </c>
      <c r="B466" s="8" t="n">
        <v>231</v>
      </c>
      <c r="C466" s="9" t="s">
        <v>1402</v>
      </c>
      <c r="D466" s="9" t="s">
        <v>1390</v>
      </c>
      <c r="E466" s="9" t="s">
        <v>192</v>
      </c>
      <c r="F466" s="9" t="s">
        <v>1362</v>
      </c>
      <c r="G466" s="9" t="s">
        <v>77</v>
      </c>
      <c r="H466" s="9" t="s">
        <v>51</v>
      </c>
      <c r="I466" s="9" t="s">
        <v>51</v>
      </c>
      <c r="J466" s="9" t="s">
        <v>51</v>
      </c>
      <c r="K466" s="9" t="s">
        <v>66</v>
      </c>
      <c r="L466" s="9" t="s">
        <v>51</v>
      </c>
      <c r="M466" s="9" t="s">
        <v>66</v>
      </c>
      <c r="N466" s="9" t="s">
        <v>51</v>
      </c>
      <c r="O466" s="9" t="s">
        <v>51</v>
      </c>
      <c r="P466" s="9" t="n">
        <v>262175</v>
      </c>
      <c r="Q466" s="9" t="n">
        <v>167205</v>
      </c>
      <c r="R466" s="10" t="n">
        <f aca="false">(Q466/P466)*100</f>
        <v>63.7761037474969</v>
      </c>
      <c r="S466" s="9" t="n">
        <f aca="false">Y466-AD466</f>
        <v>26028</v>
      </c>
      <c r="T466" s="10" t="n">
        <f aca="false">(S466/Q466)*100</f>
        <v>15.566520139948</v>
      </c>
      <c r="U466" s="10" t="n">
        <f aca="false">Z466+AJ466</f>
        <v>63.6422355790796</v>
      </c>
      <c r="V466" s="9" t="s">
        <v>52</v>
      </c>
      <c r="W466" s="9" t="s">
        <v>66</v>
      </c>
      <c r="X466" s="9" t="s">
        <v>2438</v>
      </c>
      <c r="Y466" s="9" t="n">
        <v>67195</v>
      </c>
      <c r="Z466" s="10" t="n">
        <f aca="false">(Y466/Q466)*100</f>
        <v>40.1871953589905</v>
      </c>
      <c r="AA466" s="9" t="s">
        <v>1431</v>
      </c>
      <c r="AB466" s="9" t="s">
        <v>171</v>
      </c>
      <c r="AC466" s="9" t="s">
        <v>2439</v>
      </c>
      <c r="AD466" s="9" t="n">
        <v>41167</v>
      </c>
      <c r="AE466" s="10" t="n">
        <f aca="false">(AD466/Q466)*100</f>
        <v>24.6206752190425</v>
      </c>
      <c r="AF466" s="9" t="s">
        <v>55</v>
      </c>
      <c r="AG466" s="9" t="s">
        <v>68</v>
      </c>
      <c r="AH466" s="9" t="s">
        <v>2440</v>
      </c>
      <c r="AI466" s="9" t="n">
        <v>39218</v>
      </c>
      <c r="AJ466" s="10" t="n">
        <f aca="false">(AI466/Q466)*100</f>
        <v>23.4550402200891</v>
      </c>
      <c r="AK466" s="9" t="s">
        <v>1429</v>
      </c>
      <c r="AL466" s="9" t="s">
        <v>271</v>
      </c>
      <c r="AM466" s="9" t="s">
        <v>2441</v>
      </c>
      <c r="AN466" s="9" t="n">
        <v>12909</v>
      </c>
      <c r="AO466" s="10" t="n">
        <f aca="false">(AN466/Q466)*100</f>
        <v>7.72046290481744</v>
      </c>
      <c r="AP466" s="9" t="s">
        <v>58</v>
      </c>
      <c r="AQ466" s="9" t="s">
        <v>58</v>
      </c>
      <c r="AR466" s="9" t="s">
        <v>2442</v>
      </c>
      <c r="AS466" s="9" t="n">
        <v>2281</v>
      </c>
      <c r="AT466" s="10" t="n">
        <f aca="false">(AS466/Q466)*100</f>
        <v>1.36419365449598</v>
      </c>
    </row>
    <row r="467" customFormat="false" ht="12.8" hidden="false" customHeight="true" outlineLevel="0" collapsed="false">
      <c r="A467" s="33" t="n">
        <v>2016</v>
      </c>
      <c r="B467" s="8" t="n">
        <v>232</v>
      </c>
      <c r="C467" s="9" t="s">
        <v>1408</v>
      </c>
      <c r="D467" s="9" t="s">
        <v>1390</v>
      </c>
      <c r="E467" s="9" t="s">
        <v>192</v>
      </c>
      <c r="F467" s="9" t="s">
        <v>1362</v>
      </c>
      <c r="G467" s="9" t="s">
        <v>77</v>
      </c>
      <c r="H467" s="9" t="s">
        <v>51</v>
      </c>
      <c r="I467" s="9" t="s">
        <v>51</v>
      </c>
      <c r="J467" s="9" t="s">
        <v>51</v>
      </c>
      <c r="K467" s="9" t="s">
        <v>51</v>
      </c>
      <c r="L467" s="9" t="s">
        <v>51</v>
      </c>
      <c r="M467" s="9" t="s">
        <v>53</v>
      </c>
      <c r="N467" s="9" t="s">
        <v>51</v>
      </c>
      <c r="O467" s="9" t="s">
        <v>51</v>
      </c>
      <c r="P467" s="9" t="n">
        <v>236398</v>
      </c>
      <c r="Q467" s="9" t="n">
        <v>161560</v>
      </c>
      <c r="R467" s="10" t="n">
        <f aca="false">(Q467/P467)*100</f>
        <v>68.3423717628745</v>
      </c>
      <c r="S467" s="9" t="n">
        <f aca="false">Y467-AD467</f>
        <v>40905</v>
      </c>
      <c r="T467" s="10" t="n">
        <f aca="false">(S467/Q467)*100</f>
        <v>25.31876702154</v>
      </c>
      <c r="U467" s="10" t="n">
        <f aca="false">Z467+AE467</f>
        <v>69.072171329537</v>
      </c>
      <c r="V467" s="9" t="s">
        <v>52</v>
      </c>
      <c r="W467" s="9" t="s">
        <v>53</v>
      </c>
      <c r="X467" s="9" t="s">
        <v>2443</v>
      </c>
      <c r="Y467" s="9" t="n">
        <v>76249</v>
      </c>
      <c r="Z467" s="10" t="n">
        <f aca="false">(Y467/Q467)*100</f>
        <v>47.1954691755385</v>
      </c>
      <c r="AA467" s="9" t="s">
        <v>55</v>
      </c>
      <c r="AB467" s="9" t="s">
        <v>68</v>
      </c>
      <c r="AC467" s="9" t="s">
        <v>2444</v>
      </c>
      <c r="AD467" s="9" t="n">
        <v>35344</v>
      </c>
      <c r="AE467" s="10" t="n">
        <f aca="false">(AD467/Q467)*100</f>
        <v>21.8767021539985</v>
      </c>
      <c r="AF467" s="9" t="s">
        <v>1431</v>
      </c>
      <c r="AG467" s="9" t="s">
        <v>171</v>
      </c>
      <c r="AH467" s="9" t="s">
        <v>2445</v>
      </c>
      <c r="AI467" s="9" t="n">
        <v>31994</v>
      </c>
      <c r="AJ467" s="10" t="n">
        <f aca="false">(AI467/Q467)*100</f>
        <v>19.8031691012627</v>
      </c>
      <c r="AK467" s="9" t="s">
        <v>1429</v>
      </c>
      <c r="AL467" s="9" t="s">
        <v>61</v>
      </c>
      <c r="AM467" s="9" t="s">
        <v>2446</v>
      </c>
      <c r="AN467" s="9" t="n">
        <v>13185</v>
      </c>
      <c r="AO467" s="10" t="n">
        <f aca="false">(AN467/Q467)*100</f>
        <v>8.16105471651399</v>
      </c>
      <c r="AP467" s="9" t="s">
        <v>63</v>
      </c>
      <c r="AQ467" s="9" t="s">
        <v>63</v>
      </c>
      <c r="AR467" s="9" t="s">
        <v>63</v>
      </c>
      <c r="AS467" s="9" t="n">
        <v>1359</v>
      </c>
      <c r="AT467" s="10" t="n">
        <f aca="false">(AS467/Q467)*100</f>
        <v>0.841173557811339</v>
      </c>
    </row>
    <row r="468" customFormat="false" ht="12.8" hidden="false" customHeight="true" outlineLevel="0" collapsed="false">
      <c r="A468" s="33" t="n">
        <v>2016</v>
      </c>
      <c r="B468" s="8" t="n">
        <v>233</v>
      </c>
      <c r="C468" s="9" t="s">
        <v>1414</v>
      </c>
      <c r="D468" s="9" t="s">
        <v>1390</v>
      </c>
      <c r="E468" s="9" t="s">
        <v>192</v>
      </c>
      <c r="F468" s="9" t="s">
        <v>1362</v>
      </c>
      <c r="G468" s="9" t="s">
        <v>50</v>
      </c>
      <c r="H468" s="9" t="s">
        <v>51</v>
      </c>
      <c r="I468" s="9" t="s">
        <v>526</v>
      </c>
      <c r="J468" s="9" t="s">
        <v>51</v>
      </c>
      <c r="K468" s="9" t="s">
        <v>66</v>
      </c>
      <c r="L468" s="9" t="s">
        <v>66</v>
      </c>
      <c r="M468" s="9" t="s">
        <v>66</v>
      </c>
      <c r="N468" s="9" t="s">
        <v>51</v>
      </c>
      <c r="O468" s="9" t="s">
        <v>51</v>
      </c>
      <c r="P468" s="9" t="n">
        <v>244388</v>
      </c>
      <c r="Q468" s="9" t="n">
        <v>162139</v>
      </c>
      <c r="R468" s="10" t="n">
        <f aca="false">(Q468/P468)*100</f>
        <v>66.3449105520729</v>
      </c>
      <c r="S468" s="9" t="n">
        <f aca="false">Y468-AD468</f>
        <v>33143</v>
      </c>
      <c r="T468" s="10" t="n">
        <f aca="false">(S468/Q468)*100</f>
        <v>20.4411030042124</v>
      </c>
      <c r="U468" s="10" t="n">
        <f aca="false">Z468+AJ468</f>
        <v>58.3511678251377</v>
      </c>
      <c r="V468" s="9" t="s">
        <v>52</v>
      </c>
      <c r="W468" s="9" t="s">
        <v>66</v>
      </c>
      <c r="X468" s="9" t="s">
        <v>2447</v>
      </c>
      <c r="Y468" s="9" t="n">
        <v>68789</v>
      </c>
      <c r="Z468" s="10" t="n">
        <f aca="false">(Y468/Q468)*100</f>
        <v>42.4259431722164</v>
      </c>
      <c r="AA468" s="9" t="s">
        <v>1431</v>
      </c>
      <c r="AB468" s="9" t="s">
        <v>171</v>
      </c>
      <c r="AC468" s="9" t="s">
        <v>2448</v>
      </c>
      <c r="AD468" s="9" t="n">
        <v>35646</v>
      </c>
      <c r="AE468" s="10" t="n">
        <f aca="false">(AD468/Q468)*100</f>
        <v>21.984840168004</v>
      </c>
      <c r="AF468" s="9" t="s">
        <v>1429</v>
      </c>
      <c r="AG468" s="9" t="s">
        <v>422</v>
      </c>
      <c r="AH468" s="9" t="s">
        <v>2449</v>
      </c>
      <c r="AI468" s="9" t="n">
        <v>25821</v>
      </c>
      <c r="AJ468" s="10" t="n">
        <f aca="false">(AI468/Q468)*100</f>
        <v>15.9252246529213</v>
      </c>
      <c r="AK468" s="9" t="s">
        <v>55</v>
      </c>
      <c r="AL468" s="9" t="s">
        <v>68</v>
      </c>
      <c r="AM468" s="9" t="s">
        <v>2450</v>
      </c>
      <c r="AN468" s="9" t="n">
        <v>24801</v>
      </c>
      <c r="AO468" s="10" t="n">
        <f aca="false">(AN468/Q468)*100</f>
        <v>15.2961347979203</v>
      </c>
      <c r="AP468" s="9" t="s">
        <v>63</v>
      </c>
      <c r="AQ468" s="32" t="s">
        <v>63</v>
      </c>
      <c r="AR468" s="9" t="s">
        <v>63</v>
      </c>
      <c r="AS468" s="9" t="n">
        <v>1149</v>
      </c>
      <c r="AT468" s="10" t="n">
        <f aca="false">(AS468/Q468)*100</f>
        <v>0.708651219015783</v>
      </c>
    </row>
    <row r="469" customFormat="false" ht="12.8" hidden="false" customHeight="true" outlineLevel="0" collapsed="false">
      <c r="A469" s="33" t="n">
        <v>2016</v>
      </c>
      <c r="B469" s="8" t="n">
        <v>234</v>
      </c>
      <c r="C469" s="9" t="s">
        <v>1420</v>
      </c>
      <c r="D469" s="9" t="s">
        <v>1390</v>
      </c>
      <c r="E469" s="9" t="s">
        <v>192</v>
      </c>
      <c r="F469" s="9" t="s">
        <v>1362</v>
      </c>
      <c r="G469" s="9" t="s">
        <v>50</v>
      </c>
      <c r="H469" s="9" t="s">
        <v>51</v>
      </c>
      <c r="I469" s="9" t="s">
        <v>51</v>
      </c>
      <c r="J469" s="9" t="s">
        <v>51</v>
      </c>
      <c r="K469" s="9" t="s">
        <v>51</v>
      </c>
      <c r="L469" s="31" t="s">
        <v>1338</v>
      </c>
      <c r="M469" s="9" t="s">
        <v>66</v>
      </c>
      <c r="N469" s="9" t="s">
        <v>51</v>
      </c>
      <c r="O469" s="9" t="s">
        <v>51</v>
      </c>
      <c r="P469" s="9" t="n">
        <v>252676</v>
      </c>
      <c r="Q469" s="9" t="n">
        <v>153273</v>
      </c>
      <c r="R469" s="10" t="n">
        <f aca="false">(Q469/P469)*100</f>
        <v>60.6598964682043</v>
      </c>
      <c r="S469" s="9" t="n">
        <f aca="false">Y469-AD469</f>
        <v>46295</v>
      </c>
      <c r="T469" s="10" t="n">
        <f aca="false">(S469/Q469)*100</f>
        <v>30.2042760303511</v>
      </c>
      <c r="U469" s="10" t="n">
        <f aca="false">Z469+AJ469</f>
        <v>67.3425847996712</v>
      </c>
      <c r="V469" s="9" t="s">
        <v>52</v>
      </c>
      <c r="W469" s="9" t="s">
        <v>66</v>
      </c>
      <c r="X469" s="9" t="s">
        <v>2451</v>
      </c>
      <c r="Y469" s="9" t="n">
        <v>77356</v>
      </c>
      <c r="Z469" s="10" t="n">
        <f aca="false">(Y469/Q469)*100</f>
        <v>50.4694238385104</v>
      </c>
      <c r="AA469" s="9" t="s">
        <v>1431</v>
      </c>
      <c r="AB469" s="9" t="s">
        <v>171</v>
      </c>
      <c r="AC469" s="9" t="s">
        <v>2452</v>
      </c>
      <c r="AD469" s="9" t="n">
        <v>31061</v>
      </c>
      <c r="AE469" s="10" t="n">
        <f aca="false">(AD469/Q469)*100</f>
        <v>20.2651478081593</v>
      </c>
      <c r="AF469" s="9" t="s">
        <v>55</v>
      </c>
      <c r="AG469" s="9" t="s">
        <v>68</v>
      </c>
      <c r="AH469" s="9" t="s">
        <v>2453</v>
      </c>
      <c r="AI469" s="9" t="n">
        <v>25862</v>
      </c>
      <c r="AJ469" s="10" t="n">
        <f aca="false">(AI469/Q469)*100</f>
        <v>16.8731609611608</v>
      </c>
      <c r="AK469" s="9" t="s">
        <v>1429</v>
      </c>
      <c r="AL469" s="9" t="s">
        <v>1338</v>
      </c>
      <c r="AM469" s="9" t="s">
        <v>2454</v>
      </c>
      <c r="AN469" s="9" t="n">
        <v>13704</v>
      </c>
      <c r="AO469" s="10" t="n">
        <f aca="false">(AN469/Q469)*100</f>
        <v>8.94090935781253</v>
      </c>
      <c r="AP469" s="9" t="s">
        <v>58</v>
      </c>
      <c r="AQ469" s="9" t="s">
        <v>58</v>
      </c>
      <c r="AR469" s="9" t="s">
        <v>2455</v>
      </c>
      <c r="AS469" s="9" t="n">
        <v>1328</v>
      </c>
      <c r="AT469" s="10" t="n">
        <f aca="false">(AS469/Q469)*100</f>
        <v>0.866427877055972</v>
      </c>
    </row>
    <row r="470" customFormat="false" ht="12.8" hidden="false" customHeight="true" outlineLevel="0" collapsed="false">
      <c r="A470" s="35" t="n">
        <v>2011</v>
      </c>
      <c r="B470" s="36" t="n">
        <v>1</v>
      </c>
      <c r="C470" s="1" t="s">
        <v>46</v>
      </c>
      <c r="D470" s="1" t="s">
        <v>47</v>
      </c>
      <c r="E470" s="1" t="s">
        <v>48</v>
      </c>
      <c r="F470" s="1" t="s">
        <v>49</v>
      </c>
      <c r="G470" s="1" t="s">
        <v>50</v>
      </c>
      <c r="H470" s="1" t="s">
        <v>51</v>
      </c>
      <c r="I470" s="1" t="s">
        <v>51</v>
      </c>
      <c r="J470" s="1" t="s">
        <v>51</v>
      </c>
      <c r="K470" s="1" t="s">
        <v>51</v>
      </c>
      <c r="L470" s="1" t="s">
        <v>51</v>
      </c>
      <c r="M470" s="1" t="s">
        <v>51</v>
      </c>
      <c r="N470" s="1" t="s">
        <v>51</v>
      </c>
      <c r="O470" s="1" t="s">
        <v>51</v>
      </c>
      <c r="P470" s="1" t="n">
        <v>215443</v>
      </c>
      <c r="Q470" s="1" t="n">
        <v>179616</v>
      </c>
      <c r="R470" s="37" t="n">
        <f aca="false">(Q470/P470)*100</f>
        <v>83.3705434848197</v>
      </c>
      <c r="S470" s="1" t="n">
        <f aca="false">Y470-AD470</f>
        <v>29256</v>
      </c>
      <c r="T470" s="37" t="n">
        <f aca="false">(S470/Q470)*100</f>
        <v>16.2880812399786</v>
      </c>
      <c r="U470" s="37" t="n">
        <f aca="false">Z470+AE470</f>
        <v>92.508462497773</v>
      </c>
      <c r="V470" s="1" t="s">
        <v>55</v>
      </c>
      <c r="W470" s="1" t="s">
        <v>61</v>
      </c>
      <c r="X470" s="1" t="s">
        <v>1426</v>
      </c>
      <c r="Y470" s="1" t="n">
        <v>97708</v>
      </c>
      <c r="Z470" s="37" t="n">
        <f aca="false">(Y470/Q470)*100</f>
        <v>54.3982718688758</v>
      </c>
      <c r="AA470" s="37" t="s">
        <v>52</v>
      </c>
      <c r="AB470" s="1" t="s">
        <v>56</v>
      </c>
      <c r="AC470" s="1" t="s">
        <v>1463</v>
      </c>
      <c r="AD470" s="1" t="n">
        <v>68452</v>
      </c>
      <c r="AE470" s="37" t="n">
        <f aca="false">(AD470/Q470)*100</f>
        <v>38.1101906288972</v>
      </c>
      <c r="AF470" s="37" t="s">
        <v>197</v>
      </c>
      <c r="AG470" s="1" t="s">
        <v>197</v>
      </c>
      <c r="AH470" s="1" t="s">
        <v>2456</v>
      </c>
      <c r="AI470" s="1" t="n">
        <v>1892</v>
      </c>
      <c r="AJ470" s="37" t="n">
        <f aca="false">(AI470/Q470)*100</f>
        <v>1.05335827543203</v>
      </c>
      <c r="AK470" s="37" t="s">
        <v>1431</v>
      </c>
      <c r="AL470" s="1" t="s">
        <v>171</v>
      </c>
      <c r="AM470" s="1" t="s">
        <v>2457</v>
      </c>
      <c r="AN470" s="1" t="n">
        <v>1883</v>
      </c>
      <c r="AO470" s="37" t="n">
        <f aca="false">(AN470/Q470)*100</f>
        <v>1.04834758596116</v>
      </c>
      <c r="AP470" s="37" t="s">
        <v>197</v>
      </c>
      <c r="AQ470" s="1" t="s">
        <v>2458</v>
      </c>
      <c r="AR470" s="1" t="s">
        <v>2459</v>
      </c>
      <c r="AS470" s="1" t="n">
        <v>1836</v>
      </c>
      <c r="AT470" s="37" t="n">
        <f aca="false">(AS470/Q470)*100</f>
        <v>1.02218065205772</v>
      </c>
    </row>
    <row r="471" customFormat="false" ht="12.8" hidden="false" customHeight="true" outlineLevel="0" collapsed="false">
      <c r="A471" s="35" t="n">
        <v>2011</v>
      </c>
      <c r="B471" s="36" t="n">
        <v>2</v>
      </c>
      <c r="C471" s="1" t="s">
        <v>64</v>
      </c>
      <c r="D471" s="1" t="s">
        <v>47</v>
      </c>
      <c r="E471" s="1" t="s">
        <v>48</v>
      </c>
      <c r="F471" s="1" t="s">
        <v>49</v>
      </c>
      <c r="G471" s="1" t="s">
        <v>50</v>
      </c>
      <c r="H471" s="1" t="s">
        <v>65</v>
      </c>
      <c r="I471" s="1" t="s">
        <v>51</v>
      </c>
      <c r="J471" s="1" t="s">
        <v>51</v>
      </c>
      <c r="K471" s="1" t="s">
        <v>51</v>
      </c>
      <c r="L471" s="1" t="s">
        <v>51</v>
      </c>
      <c r="M471" s="1" t="s">
        <v>51</v>
      </c>
      <c r="N471" s="1" t="s">
        <v>51</v>
      </c>
      <c r="O471" s="1" t="s">
        <v>51</v>
      </c>
      <c r="P471" s="1" t="n">
        <v>202449</v>
      </c>
      <c r="Q471" s="1" t="n">
        <v>162835</v>
      </c>
      <c r="R471" s="37" t="n">
        <f aca="false">(Q471/P471)*100</f>
        <v>80.4326027789715</v>
      </c>
      <c r="S471" s="1" t="n">
        <f aca="false">Y471-AD471</f>
        <v>31270</v>
      </c>
      <c r="T471" s="37" t="n">
        <f aca="false">(S471/Q471)*100</f>
        <v>19.2034881935702</v>
      </c>
      <c r="U471" s="37" t="n">
        <f aca="false">Z471+AE471</f>
        <v>95.7889888537477</v>
      </c>
      <c r="V471" s="1" t="s">
        <v>55</v>
      </c>
      <c r="W471" s="1" t="s">
        <v>68</v>
      </c>
      <c r="X471" s="1" t="s">
        <v>75</v>
      </c>
      <c r="Y471" s="1" t="n">
        <v>93624</v>
      </c>
      <c r="Z471" s="37" t="n">
        <f aca="false">(Y471/Q471)*100</f>
        <v>57.4962385236589</v>
      </c>
      <c r="AA471" s="37" t="s">
        <v>52</v>
      </c>
      <c r="AB471" s="1" t="s">
        <v>53</v>
      </c>
      <c r="AC471" s="1" t="s">
        <v>2460</v>
      </c>
      <c r="AD471" s="1" t="n">
        <v>62354</v>
      </c>
      <c r="AE471" s="37" t="n">
        <f aca="false">(AD471/Q471)*100</f>
        <v>38.2927503300887</v>
      </c>
      <c r="AF471" s="37" t="s">
        <v>85</v>
      </c>
      <c r="AG471" s="1" t="s">
        <v>85</v>
      </c>
      <c r="AH471" s="1" t="s">
        <v>354</v>
      </c>
      <c r="AI471" s="1" t="n">
        <v>1347</v>
      </c>
      <c r="AJ471" s="37" t="n">
        <f aca="false">(AI471/Q471)*100</f>
        <v>0.827217735744772</v>
      </c>
      <c r="AK471" s="37" t="s">
        <v>1431</v>
      </c>
      <c r="AL471" s="1" t="s">
        <v>171</v>
      </c>
      <c r="AM471" s="1" t="s">
        <v>2461</v>
      </c>
      <c r="AN471" s="1" t="n">
        <v>1335</v>
      </c>
      <c r="AO471" s="37" t="n">
        <f aca="false">(AN471/Q471)*100</f>
        <v>0.819848312709184</v>
      </c>
      <c r="AP471" s="37" t="s">
        <v>197</v>
      </c>
      <c r="AQ471" s="1" t="s">
        <v>197</v>
      </c>
      <c r="AR471" s="1" t="s">
        <v>2462</v>
      </c>
      <c r="AS471" s="1" t="n">
        <v>1167</v>
      </c>
      <c r="AT471" s="37" t="n">
        <f aca="false">(AS471/Q471)*100</f>
        <v>0.71667639021095</v>
      </c>
    </row>
    <row r="472" customFormat="false" ht="12.8" hidden="false" customHeight="true" outlineLevel="0" collapsed="false">
      <c r="A472" s="35" t="n">
        <v>2011</v>
      </c>
      <c r="B472" s="36" t="n">
        <v>3</v>
      </c>
      <c r="C472" s="1" t="s">
        <v>76</v>
      </c>
      <c r="D472" s="1" t="s">
        <v>47</v>
      </c>
      <c r="E472" s="1" t="s">
        <v>48</v>
      </c>
      <c r="F472" s="1" t="s">
        <v>49</v>
      </c>
      <c r="G472" s="1" t="s">
        <v>77</v>
      </c>
      <c r="H472" s="1" t="s">
        <v>51</v>
      </c>
      <c r="I472" s="1" t="s">
        <v>51</v>
      </c>
      <c r="J472" s="1" t="s">
        <v>51</v>
      </c>
      <c r="K472" s="1" t="s">
        <v>51</v>
      </c>
      <c r="L472" s="1" t="s">
        <v>68</v>
      </c>
      <c r="M472" s="1" t="s">
        <v>51</v>
      </c>
      <c r="N472" s="1" t="s">
        <v>51</v>
      </c>
      <c r="O472" s="1" t="s">
        <v>51</v>
      </c>
      <c r="P472" s="1" t="n">
        <v>236733</v>
      </c>
      <c r="Q472" s="1" t="n">
        <v>191237</v>
      </c>
      <c r="R472" s="37" t="n">
        <f aca="false">(Q472/P472)*100</f>
        <v>80.7817245588912</v>
      </c>
      <c r="S472" s="1" t="n">
        <f aca="false">Y472-AD472</f>
        <v>23930</v>
      </c>
      <c r="T472" s="37" t="n">
        <f aca="false">(S472/Q472)*100</f>
        <v>12.5132688757929</v>
      </c>
      <c r="U472" s="37" t="n">
        <f aca="false">Z472+AE472</f>
        <v>87.7999550296229</v>
      </c>
      <c r="V472" s="1" t="s">
        <v>55</v>
      </c>
      <c r="W472" s="1" t="s">
        <v>61</v>
      </c>
      <c r="X472" s="1" t="s">
        <v>2463</v>
      </c>
      <c r="Y472" s="1" t="n">
        <v>95918</v>
      </c>
      <c r="Z472" s="37" t="n">
        <f aca="false">(Y472/Q472)*100</f>
        <v>50.1566119527079</v>
      </c>
      <c r="AA472" s="37" t="s">
        <v>52</v>
      </c>
      <c r="AB472" s="1" t="s">
        <v>66</v>
      </c>
      <c r="AC472" s="1" t="s">
        <v>2464</v>
      </c>
      <c r="AD472" s="1" t="n">
        <v>71988</v>
      </c>
      <c r="AE472" s="37" t="n">
        <f aca="false">(AD472/Q472)*100</f>
        <v>37.643343076915</v>
      </c>
      <c r="AF472" s="37" t="s">
        <v>197</v>
      </c>
      <c r="AG472" s="1" t="s">
        <v>2458</v>
      </c>
      <c r="AH472" s="1" t="s">
        <v>2465</v>
      </c>
      <c r="AI472" s="1" t="n">
        <v>9760</v>
      </c>
      <c r="AJ472" s="37" t="n">
        <f aca="false">(AI472/Q472)*100</f>
        <v>5.10361488624063</v>
      </c>
      <c r="AK472" s="37" t="s">
        <v>197</v>
      </c>
      <c r="AL472" s="1" t="s">
        <v>197</v>
      </c>
      <c r="AM472" s="1" t="s">
        <v>2466</v>
      </c>
      <c r="AN472" s="1" t="n">
        <v>3232</v>
      </c>
      <c r="AO472" s="37" t="n">
        <f aca="false">(AN472/Q472)*100</f>
        <v>1.69004951970591</v>
      </c>
      <c r="AP472" s="37" t="s">
        <v>85</v>
      </c>
      <c r="AQ472" s="1" t="s">
        <v>85</v>
      </c>
      <c r="AR472" s="1" t="s">
        <v>2467</v>
      </c>
      <c r="AS472" s="1" t="n">
        <v>1859</v>
      </c>
      <c r="AT472" s="37" t="n">
        <f aca="false">(AS472/Q472)*100</f>
        <v>0.972092220647678</v>
      </c>
    </row>
    <row r="473" customFormat="false" ht="12.8" hidden="false" customHeight="true" outlineLevel="0" collapsed="false">
      <c r="A473" s="35" t="n">
        <v>2011</v>
      </c>
      <c r="B473" s="36" t="n">
        <v>4</v>
      </c>
      <c r="C473" s="1" t="s">
        <v>47</v>
      </c>
      <c r="D473" s="1" t="s">
        <v>47</v>
      </c>
      <c r="E473" s="1" t="s">
        <v>48</v>
      </c>
      <c r="F473" s="1" t="s">
        <v>49</v>
      </c>
      <c r="G473" s="1" t="s">
        <v>77</v>
      </c>
      <c r="H473" s="1" t="s">
        <v>51</v>
      </c>
      <c r="I473" s="1" t="s">
        <v>51</v>
      </c>
      <c r="J473" s="1" t="s">
        <v>51</v>
      </c>
      <c r="K473" s="1" t="s">
        <v>51</v>
      </c>
      <c r="L473" s="1" t="s">
        <v>68</v>
      </c>
      <c r="M473" s="1" t="s">
        <v>51</v>
      </c>
      <c r="N473" s="1" t="s">
        <v>51</v>
      </c>
      <c r="O473" s="1" t="s">
        <v>51</v>
      </c>
      <c r="P473" s="1" t="n">
        <v>207935</v>
      </c>
      <c r="Q473" s="1" t="n">
        <v>170115</v>
      </c>
      <c r="R473" s="37" t="n">
        <f aca="false">(Q473/P473)*100</f>
        <v>81.8116238247529</v>
      </c>
      <c r="S473" s="1" t="n">
        <f aca="false">Y473-AD473</f>
        <v>23648</v>
      </c>
      <c r="T473" s="37" t="n">
        <f aca="false">(S473/Q473)*100</f>
        <v>13.9011844928431</v>
      </c>
      <c r="U473" s="37" t="n">
        <f aca="false">Z473+AE473</f>
        <v>93.4814684184228</v>
      </c>
      <c r="V473" s="1" t="s">
        <v>55</v>
      </c>
      <c r="W473" s="1" t="s">
        <v>68</v>
      </c>
      <c r="X473" s="1" t="s">
        <v>2468</v>
      </c>
      <c r="Y473" s="1" t="n">
        <v>91337</v>
      </c>
      <c r="Z473" s="37" t="n">
        <f aca="false">(Y473/Q473)*100</f>
        <v>53.691326455633</v>
      </c>
      <c r="AA473" s="37" t="s">
        <v>52</v>
      </c>
      <c r="AB473" s="1" t="s">
        <v>53</v>
      </c>
      <c r="AC473" s="1" t="s">
        <v>2469</v>
      </c>
      <c r="AD473" s="1" t="n">
        <v>67689</v>
      </c>
      <c r="AE473" s="37" t="n">
        <f aca="false">(AD473/Q473)*100</f>
        <v>39.7901419627899</v>
      </c>
      <c r="AF473" s="37" t="s">
        <v>197</v>
      </c>
      <c r="AG473" s="1" t="s">
        <v>2470</v>
      </c>
      <c r="AH473" s="1" t="s">
        <v>2471</v>
      </c>
      <c r="AI473" s="1" t="n">
        <v>2220</v>
      </c>
      <c r="AJ473" s="37" t="n">
        <f aca="false">(AI473/Q473)*100</f>
        <v>1.30499955912177</v>
      </c>
      <c r="AK473" s="37" t="s">
        <v>1431</v>
      </c>
      <c r="AL473" s="1" t="s">
        <v>171</v>
      </c>
      <c r="AM473" s="1" t="s">
        <v>1470</v>
      </c>
      <c r="AN473" s="1" t="n">
        <v>1869</v>
      </c>
      <c r="AO473" s="37" t="n">
        <f aca="false">(AN473/Q473)*100</f>
        <v>1.09866854774711</v>
      </c>
      <c r="AP473" s="37" t="s">
        <v>197</v>
      </c>
      <c r="AQ473" s="1" t="s">
        <v>2472</v>
      </c>
      <c r="AR473" s="1" t="s">
        <v>2473</v>
      </c>
      <c r="AS473" s="1" t="n">
        <v>1080</v>
      </c>
      <c r="AT473" s="37" t="n">
        <f aca="false">(AS473/Q473)*100</f>
        <v>0.634864650383564</v>
      </c>
    </row>
    <row r="474" customFormat="false" ht="12.8" hidden="false" customHeight="true" outlineLevel="0" collapsed="false">
      <c r="A474" s="35" t="n">
        <v>2011</v>
      </c>
      <c r="B474" s="36" t="n">
        <v>5</v>
      </c>
      <c r="C474" s="1" t="s">
        <v>87</v>
      </c>
      <c r="D474" s="1" t="s">
        <v>47</v>
      </c>
      <c r="E474" s="1" t="s">
        <v>48</v>
      </c>
      <c r="F474" s="1" t="s">
        <v>49</v>
      </c>
      <c r="G474" s="1" t="s">
        <v>88</v>
      </c>
      <c r="H474" s="1" t="s">
        <v>65</v>
      </c>
      <c r="I474" s="1" t="s">
        <v>51</v>
      </c>
      <c r="J474" s="1" t="s">
        <v>51</v>
      </c>
      <c r="K474" s="1" t="s">
        <v>51</v>
      </c>
      <c r="L474" s="1" t="s">
        <v>51</v>
      </c>
      <c r="M474" s="1" t="s">
        <v>51</v>
      </c>
      <c r="N474" s="1" t="s">
        <v>51</v>
      </c>
      <c r="O474" s="1" t="s">
        <v>51</v>
      </c>
      <c r="P474" s="1" t="n">
        <v>229460</v>
      </c>
      <c r="Q474" s="1" t="n">
        <v>181531</v>
      </c>
      <c r="R474" s="37" t="n">
        <f aca="false">(Q474/P474)*100</f>
        <v>79.1122635753508</v>
      </c>
      <c r="S474" s="1" t="n">
        <f aca="false">Y474-AD474</f>
        <v>41419</v>
      </c>
      <c r="T474" s="37" t="n">
        <f aca="false">(S474/Q474)*100</f>
        <v>22.8164886438129</v>
      </c>
      <c r="U474" s="37" t="n">
        <f aca="false">Z474+AE474</f>
        <v>86.3626598211876</v>
      </c>
      <c r="V474" s="1" t="s">
        <v>55</v>
      </c>
      <c r="W474" s="1" t="s">
        <v>68</v>
      </c>
      <c r="X474" s="1" t="s">
        <v>2474</v>
      </c>
      <c r="Y474" s="1" t="n">
        <v>99097</v>
      </c>
      <c r="Z474" s="37" t="n">
        <f aca="false">(Y474/Q474)*100</f>
        <v>54.5895742325002</v>
      </c>
      <c r="AA474" s="37" t="s">
        <v>52</v>
      </c>
      <c r="AB474" s="1" t="s">
        <v>66</v>
      </c>
      <c r="AC474" s="1" t="s">
        <v>2475</v>
      </c>
      <c r="AD474" s="1" t="n">
        <v>57678</v>
      </c>
      <c r="AE474" s="37" t="n">
        <f aca="false">(AD474/Q474)*100</f>
        <v>31.7730855886873</v>
      </c>
      <c r="AF474" s="37" t="s">
        <v>197</v>
      </c>
      <c r="AG474" s="1" t="s">
        <v>2470</v>
      </c>
      <c r="AH474" s="1" t="s">
        <v>2476</v>
      </c>
      <c r="AI474" s="1" t="n">
        <v>21118</v>
      </c>
      <c r="AJ474" s="37" t="n">
        <f aca="false">(AI474/Q474)*100</f>
        <v>11.6332747574794</v>
      </c>
      <c r="AK474" s="37" t="s">
        <v>197</v>
      </c>
      <c r="AL474" s="1" t="s">
        <v>197</v>
      </c>
      <c r="AM474" s="1" t="s">
        <v>2477</v>
      </c>
      <c r="AN474" s="1" t="n">
        <v>2022</v>
      </c>
      <c r="AO474" s="37" t="n">
        <f aca="false">(AN474/Q474)*100</f>
        <v>1.11385934082884</v>
      </c>
      <c r="AP474" s="37" t="s">
        <v>179</v>
      </c>
      <c r="AQ474" s="38" t="s">
        <v>179</v>
      </c>
      <c r="AR474" s="1" t="s">
        <v>2478</v>
      </c>
      <c r="AS474" s="1" t="n">
        <v>1616</v>
      </c>
      <c r="AT474" s="37" t="n">
        <f aca="false">(AS474/Q474)*100</f>
        <v>0.890206080504156</v>
      </c>
    </row>
    <row r="475" customFormat="false" ht="12.8" hidden="false" customHeight="true" outlineLevel="0" collapsed="false">
      <c r="A475" s="35" t="n">
        <v>2011</v>
      </c>
      <c r="B475" s="36" t="n">
        <v>6</v>
      </c>
      <c r="C475" s="1" t="s">
        <v>94</v>
      </c>
      <c r="D475" s="1" t="s">
        <v>47</v>
      </c>
      <c r="E475" s="1" t="s">
        <v>48</v>
      </c>
      <c r="F475" s="1" t="s">
        <v>49</v>
      </c>
      <c r="G475" s="1" t="s">
        <v>88</v>
      </c>
      <c r="H475" s="1" t="s">
        <v>51</v>
      </c>
      <c r="I475" s="1" t="s">
        <v>51</v>
      </c>
      <c r="J475" s="1" t="s">
        <v>51</v>
      </c>
      <c r="K475" s="1" t="s">
        <v>51</v>
      </c>
      <c r="L475" s="1" t="s">
        <v>51</v>
      </c>
      <c r="M475" s="1" t="s">
        <v>51</v>
      </c>
      <c r="N475" s="1" t="s">
        <v>51</v>
      </c>
      <c r="O475" s="1" t="s">
        <v>51</v>
      </c>
      <c r="P475" s="1" t="n">
        <v>277885</v>
      </c>
      <c r="Q475" s="1" t="n">
        <v>199538</v>
      </c>
      <c r="R475" s="37" t="n">
        <f aca="false">(Q475/P475)*100</f>
        <v>71.8059628983213</v>
      </c>
      <c r="S475" s="1" t="n">
        <f aca="false">Y475-AD475</f>
        <v>43238</v>
      </c>
      <c r="T475" s="37" t="n">
        <f aca="false">(S475/Q475)*100</f>
        <v>21.6690555182472</v>
      </c>
      <c r="U475" s="37" t="n">
        <f aca="false">Z475+AE475</f>
        <v>88.6878689773376</v>
      </c>
      <c r="V475" s="1" t="s">
        <v>55</v>
      </c>
      <c r="W475" s="1" t="s">
        <v>68</v>
      </c>
      <c r="X475" s="1" t="s">
        <v>2479</v>
      </c>
      <c r="Y475" s="1" t="n">
        <v>110102</v>
      </c>
      <c r="Z475" s="37" t="n">
        <f aca="false">(Y475/Q475)*100</f>
        <v>55.1784622477924</v>
      </c>
      <c r="AA475" s="37" t="s">
        <v>52</v>
      </c>
      <c r="AB475" s="1" t="s">
        <v>66</v>
      </c>
      <c r="AC475" s="1" t="s">
        <v>2480</v>
      </c>
      <c r="AD475" s="1" t="n">
        <v>66864</v>
      </c>
      <c r="AE475" s="37" t="n">
        <f aca="false">(AD475/Q475)*100</f>
        <v>33.5094067295453</v>
      </c>
      <c r="AF475" s="37" t="s">
        <v>197</v>
      </c>
      <c r="AG475" s="1" t="s">
        <v>197</v>
      </c>
      <c r="AH475" s="1" t="s">
        <v>2481</v>
      </c>
      <c r="AI475" s="1" t="n">
        <v>10460</v>
      </c>
      <c r="AJ475" s="37" t="n">
        <f aca="false">(AI475/Q475)*100</f>
        <v>5.24210927241929</v>
      </c>
      <c r="AK475" s="37" t="s">
        <v>1431</v>
      </c>
      <c r="AL475" s="1" t="s">
        <v>171</v>
      </c>
      <c r="AM475" s="1" t="s">
        <v>1456</v>
      </c>
      <c r="AN475" s="1" t="n">
        <v>3795</v>
      </c>
      <c r="AO475" s="37" t="n">
        <f aca="false">(AN475/Q475)*100</f>
        <v>1.90189337369323</v>
      </c>
      <c r="AP475" s="37" t="s">
        <v>85</v>
      </c>
      <c r="AQ475" s="1" t="s">
        <v>85</v>
      </c>
      <c r="AR475" s="1" t="s">
        <v>2482</v>
      </c>
      <c r="AS475" s="1" t="n">
        <v>1658</v>
      </c>
      <c r="AT475" s="37" t="n">
        <f aca="false">(AS475/Q475)*100</f>
        <v>0.830919423869138</v>
      </c>
    </row>
    <row r="476" customFormat="false" ht="12.8" hidden="false" customHeight="true" outlineLevel="0" collapsed="false">
      <c r="A476" s="35" t="n">
        <v>2011</v>
      </c>
      <c r="B476" s="36" t="n">
        <v>7</v>
      </c>
      <c r="C476" s="1" t="s">
        <v>99</v>
      </c>
      <c r="D476" s="1" t="s">
        <v>100</v>
      </c>
      <c r="E476" s="9" t="s">
        <v>100</v>
      </c>
      <c r="F476" s="1" t="s">
        <v>48</v>
      </c>
      <c r="G476" s="1" t="s">
        <v>88</v>
      </c>
      <c r="H476" s="1" t="s">
        <v>51</v>
      </c>
      <c r="I476" s="1" t="s">
        <v>51</v>
      </c>
      <c r="J476" s="1" t="s">
        <v>51</v>
      </c>
      <c r="K476" s="1" t="s">
        <v>51</v>
      </c>
      <c r="L476" s="1" t="s">
        <v>51</v>
      </c>
      <c r="M476" s="1" t="s">
        <v>51</v>
      </c>
      <c r="N476" s="1" t="s">
        <v>51</v>
      </c>
      <c r="O476" s="1" t="s">
        <v>51</v>
      </c>
      <c r="P476" s="1" t="n">
        <v>269513</v>
      </c>
      <c r="Q476" s="1" t="n">
        <v>185925</v>
      </c>
      <c r="R476" s="37" t="n">
        <f aca="false">(Q476/P476)*100</f>
        <v>68.9855405861684</v>
      </c>
      <c r="S476" s="1" t="n">
        <f aca="false">Y476-AD476</f>
        <v>24011</v>
      </c>
      <c r="T476" s="37" t="n">
        <f aca="false">(S476/Q476)*100</f>
        <v>12.9143471830039</v>
      </c>
      <c r="U476" s="37" t="n">
        <f aca="false">Z476+AE476</f>
        <v>91.2609923356192</v>
      </c>
      <c r="V476" s="1" t="s">
        <v>55</v>
      </c>
      <c r="W476" s="1" t="s">
        <v>422</v>
      </c>
      <c r="X476" s="1" t="s">
        <v>2483</v>
      </c>
      <c r="Y476" s="1" t="n">
        <v>96844</v>
      </c>
      <c r="Z476" s="37" t="n">
        <f aca="false">(Y476/Q476)*100</f>
        <v>52.0876697593116</v>
      </c>
      <c r="AA476" s="37" t="s">
        <v>52</v>
      </c>
      <c r="AB476" s="1" t="s">
        <v>56</v>
      </c>
      <c r="AC476" s="1" t="s">
        <v>2484</v>
      </c>
      <c r="AD476" s="1" t="n">
        <v>72833</v>
      </c>
      <c r="AE476" s="37" t="n">
        <f aca="false">(AD476/Q476)*100</f>
        <v>39.1733225763077</v>
      </c>
      <c r="AF476" s="37" t="s">
        <v>1431</v>
      </c>
      <c r="AG476" s="1" t="s">
        <v>171</v>
      </c>
      <c r="AH476" s="1" t="s">
        <v>2485</v>
      </c>
      <c r="AI476" s="1" t="n">
        <v>6381</v>
      </c>
      <c r="AJ476" s="37" t="n">
        <f aca="false">(AI476/Q476)*100</f>
        <v>3.43202904396934</v>
      </c>
      <c r="AK476" s="37" t="s">
        <v>179</v>
      </c>
      <c r="AL476" s="1" t="s">
        <v>179</v>
      </c>
      <c r="AM476" s="1" t="s">
        <v>2486</v>
      </c>
      <c r="AN476" s="1" t="n">
        <v>2256</v>
      </c>
      <c r="AO476" s="37" t="n">
        <f aca="false">(AN476/Q476)*100</f>
        <v>1.21339249697459</v>
      </c>
      <c r="AP476" s="37" t="s">
        <v>85</v>
      </c>
      <c r="AQ476" s="1" t="s">
        <v>85</v>
      </c>
      <c r="AR476" s="1" t="s">
        <v>2487</v>
      </c>
      <c r="AS476" s="1" t="n">
        <v>2040</v>
      </c>
      <c r="AT476" s="37" t="n">
        <f aca="false">(AS476/Q476)*100</f>
        <v>1.09721661960468</v>
      </c>
    </row>
    <row r="477" customFormat="false" ht="12.8" hidden="false" customHeight="true" outlineLevel="0" collapsed="false">
      <c r="A477" s="35" t="n">
        <v>2011</v>
      </c>
      <c r="B477" s="36" t="n">
        <v>8</v>
      </c>
      <c r="C477" s="1" t="s">
        <v>106</v>
      </c>
      <c r="D477" s="1" t="s">
        <v>100</v>
      </c>
      <c r="E477" s="9" t="s">
        <v>100</v>
      </c>
      <c r="F477" s="1" t="s">
        <v>48</v>
      </c>
      <c r="G477" s="1" t="s">
        <v>88</v>
      </c>
      <c r="H477" s="1" t="s">
        <v>51</v>
      </c>
      <c r="I477" s="1" t="s">
        <v>51</v>
      </c>
      <c r="J477" s="1" t="s">
        <v>51</v>
      </c>
      <c r="K477" s="1" t="s">
        <v>51</v>
      </c>
      <c r="L477" s="1" t="s">
        <v>51</v>
      </c>
      <c r="M477" s="1" t="s">
        <v>51</v>
      </c>
      <c r="N477" s="1" t="s">
        <v>51</v>
      </c>
      <c r="O477" s="1" t="s">
        <v>51</v>
      </c>
      <c r="P477" s="1" t="n">
        <v>264990</v>
      </c>
      <c r="Q477" s="1" t="n">
        <v>186347</v>
      </c>
      <c r="R477" s="37" t="n">
        <f aca="false">(Q477/P477)*100</f>
        <v>70.3222763123137</v>
      </c>
      <c r="S477" s="1" t="n">
        <f aca="false">Y477-AD477</f>
        <v>22717</v>
      </c>
      <c r="T477" s="37" t="n">
        <f aca="false">(S477/Q477)*100</f>
        <v>12.1906979988945</v>
      </c>
      <c r="U477" s="37" t="n">
        <f aca="false">Z477+AE477</f>
        <v>94.4168674569486</v>
      </c>
      <c r="V477" s="1" t="s">
        <v>55</v>
      </c>
      <c r="W477" s="1" t="s">
        <v>68</v>
      </c>
      <c r="X477" s="1" t="s">
        <v>2488</v>
      </c>
      <c r="Y477" s="1" t="n">
        <v>99330</v>
      </c>
      <c r="Z477" s="37" t="n">
        <f aca="false">(Y477/Q477)*100</f>
        <v>53.3037827279216</v>
      </c>
      <c r="AA477" s="37" t="s">
        <v>52</v>
      </c>
      <c r="AB477" s="1" t="s">
        <v>53</v>
      </c>
      <c r="AC477" s="1" t="s">
        <v>2489</v>
      </c>
      <c r="AD477" s="1" t="n">
        <v>76613</v>
      </c>
      <c r="AE477" s="37" t="n">
        <f aca="false">(AD477/Q477)*100</f>
        <v>41.113084729027</v>
      </c>
      <c r="AF477" s="37" t="s">
        <v>1431</v>
      </c>
      <c r="AG477" s="1" t="s">
        <v>171</v>
      </c>
      <c r="AH477" s="1" t="s">
        <v>2490</v>
      </c>
      <c r="AI477" s="1" t="n">
        <v>3912</v>
      </c>
      <c r="AJ477" s="37" t="n">
        <f aca="false">(AI477/Q477)*100</f>
        <v>2.09930935298127</v>
      </c>
      <c r="AK477" s="37" t="s">
        <v>197</v>
      </c>
      <c r="AL477" s="1" t="s">
        <v>2458</v>
      </c>
      <c r="AM477" s="1" t="s">
        <v>1465</v>
      </c>
      <c r="AN477" s="1" t="n">
        <v>1128</v>
      </c>
      <c r="AO477" s="37" t="n">
        <f aca="false">(AN477/Q477)*100</f>
        <v>0.605322328773739</v>
      </c>
      <c r="AP477" s="37" t="s">
        <v>85</v>
      </c>
      <c r="AQ477" s="1" t="s">
        <v>85</v>
      </c>
      <c r="AR477" s="1" t="s">
        <v>2491</v>
      </c>
      <c r="AS477" s="1" t="n">
        <v>962</v>
      </c>
      <c r="AT477" s="37" t="n">
        <f aca="false">(AS477/Q477)*100</f>
        <v>0.516241205922285</v>
      </c>
    </row>
    <row r="478" customFormat="false" ht="12.8" hidden="false" customHeight="true" outlineLevel="0" collapsed="false">
      <c r="A478" s="35" t="n">
        <v>2011</v>
      </c>
      <c r="B478" s="36" t="n">
        <v>9</v>
      </c>
      <c r="C478" s="1" t="s">
        <v>112</v>
      </c>
      <c r="D478" s="1" t="s">
        <v>100</v>
      </c>
      <c r="E478" s="9" t="s">
        <v>100</v>
      </c>
      <c r="F478" s="1" t="s">
        <v>48</v>
      </c>
      <c r="G478" s="1" t="s">
        <v>88</v>
      </c>
      <c r="H478" s="1" t="s">
        <v>51</v>
      </c>
      <c r="I478" s="1" t="s">
        <v>51</v>
      </c>
      <c r="J478" s="1" t="s">
        <v>51</v>
      </c>
      <c r="K478" s="1" t="s">
        <v>51</v>
      </c>
      <c r="L478" s="1" t="s">
        <v>51</v>
      </c>
      <c r="M478" s="1" t="s">
        <v>51</v>
      </c>
      <c r="N478" s="1" t="s">
        <v>51</v>
      </c>
      <c r="O478" s="1" t="s">
        <v>51</v>
      </c>
      <c r="P478" s="1" t="n">
        <v>275626</v>
      </c>
      <c r="Q478" s="1" t="n">
        <v>207325</v>
      </c>
      <c r="R478" s="37" t="n">
        <f aca="false">(Q478/P478)*100</f>
        <v>75.2196817426513</v>
      </c>
      <c r="S478" s="1" t="n">
        <f aca="false">Y478-AD478</f>
        <v>34765</v>
      </c>
      <c r="T478" s="37" t="n">
        <f aca="false">(S478/Q478)*100</f>
        <v>16.7683588568672</v>
      </c>
      <c r="U478" s="37" t="n">
        <f aca="false">Z478+AE478</f>
        <v>94.6200409984324</v>
      </c>
      <c r="V478" s="1" t="s">
        <v>55</v>
      </c>
      <c r="W478" s="1" t="s">
        <v>68</v>
      </c>
      <c r="X478" s="1" t="s">
        <v>2492</v>
      </c>
      <c r="Y478" s="1" t="n">
        <v>115468</v>
      </c>
      <c r="Z478" s="37" t="n">
        <f aca="false">(Y478/Q478)*100</f>
        <v>55.6941999276498</v>
      </c>
      <c r="AA478" s="37" t="s">
        <v>52</v>
      </c>
      <c r="AB478" s="1" t="s">
        <v>53</v>
      </c>
      <c r="AC478" s="1" t="s">
        <v>2493</v>
      </c>
      <c r="AD478" s="1" t="n">
        <v>80703</v>
      </c>
      <c r="AE478" s="37" t="n">
        <f aca="false">(AD478/Q478)*100</f>
        <v>38.9258410707826</v>
      </c>
      <c r="AF478" s="37" t="s">
        <v>1431</v>
      </c>
      <c r="AG478" s="1" t="s">
        <v>171</v>
      </c>
      <c r="AH478" s="1" t="s">
        <v>2494</v>
      </c>
      <c r="AI478" s="1" t="n">
        <v>2599</v>
      </c>
      <c r="AJ478" s="37" t="n">
        <f aca="false">(AI478/Q478)*100</f>
        <v>1.25358736283613</v>
      </c>
      <c r="AK478" s="37" t="s">
        <v>197</v>
      </c>
      <c r="AL478" s="1" t="s">
        <v>197</v>
      </c>
      <c r="AM478" s="1" t="s">
        <v>2495</v>
      </c>
      <c r="AN478" s="1" t="n">
        <v>2135</v>
      </c>
      <c r="AO478" s="37" t="n">
        <f aca="false">(AN478/Q478)*100</f>
        <v>1.02978415531171</v>
      </c>
      <c r="AP478" s="37" t="s">
        <v>197</v>
      </c>
      <c r="AQ478" s="1" t="s">
        <v>2470</v>
      </c>
      <c r="AR478" s="1" t="s">
        <v>2496</v>
      </c>
      <c r="AS478" s="1" t="n">
        <v>1964</v>
      </c>
      <c r="AT478" s="37" t="n">
        <f aca="false">(AS478/Q478)*100</f>
        <v>0.947304955986977</v>
      </c>
    </row>
    <row r="479" customFormat="false" ht="12.8" hidden="false" customHeight="true" outlineLevel="0" collapsed="false">
      <c r="A479" s="35" t="n">
        <v>2011</v>
      </c>
      <c r="B479" s="36" t="n">
        <v>10</v>
      </c>
      <c r="C479" s="1" t="s">
        <v>118</v>
      </c>
      <c r="D479" s="1" t="s">
        <v>100</v>
      </c>
      <c r="E479" s="9" t="s">
        <v>100</v>
      </c>
      <c r="F479" s="1" t="s">
        <v>48</v>
      </c>
      <c r="G479" s="1" t="s">
        <v>88</v>
      </c>
      <c r="H479" s="1" t="s">
        <v>51</v>
      </c>
      <c r="I479" s="1" t="s">
        <v>51</v>
      </c>
      <c r="J479" s="1" t="s">
        <v>51</v>
      </c>
      <c r="K479" s="1" t="s">
        <v>51</v>
      </c>
      <c r="L479" s="1" t="s">
        <v>51</v>
      </c>
      <c r="M479" s="1" t="s">
        <v>51</v>
      </c>
      <c r="N479" s="1" t="s">
        <v>51</v>
      </c>
      <c r="O479" s="1" t="s">
        <v>51</v>
      </c>
      <c r="P479" s="1" t="n">
        <v>221495</v>
      </c>
      <c r="Q479" s="1" t="n">
        <v>164716</v>
      </c>
      <c r="R479" s="37" t="n">
        <f aca="false">(Q479/P479)*100</f>
        <v>74.3655612993521</v>
      </c>
      <c r="S479" s="1" t="n">
        <f aca="false">Y479-AD479</f>
        <v>27291</v>
      </c>
      <c r="T479" s="37" t="n">
        <f aca="false">(S479/Q479)*100</f>
        <v>16.5685179338983</v>
      </c>
      <c r="U479" s="37" t="n">
        <f aca="false">Z479+AE479</f>
        <v>97.4993321838801</v>
      </c>
      <c r="V479" s="1" t="s">
        <v>55</v>
      </c>
      <c r="W479" s="1" t="s">
        <v>68</v>
      </c>
      <c r="X479" s="1" t="s">
        <v>2497</v>
      </c>
      <c r="Y479" s="1" t="n">
        <v>93944</v>
      </c>
      <c r="Z479" s="37" t="n">
        <f aca="false">(Y479/Q479)*100</f>
        <v>57.0339250588892</v>
      </c>
      <c r="AA479" s="37" t="s">
        <v>52</v>
      </c>
      <c r="AB479" s="1" t="s">
        <v>53</v>
      </c>
      <c r="AC479" s="1" t="s">
        <v>1471</v>
      </c>
      <c r="AD479" s="1" t="n">
        <v>66653</v>
      </c>
      <c r="AE479" s="37" t="n">
        <f aca="false">(AD479/Q479)*100</f>
        <v>40.4654071249909</v>
      </c>
      <c r="AF479" s="37" t="s">
        <v>1431</v>
      </c>
      <c r="AG479" s="1" t="s">
        <v>171</v>
      </c>
      <c r="AH479" s="1" t="s">
        <v>2498</v>
      </c>
      <c r="AI479" s="1" t="n">
        <v>1719</v>
      </c>
      <c r="AJ479" s="37" t="n">
        <f aca="false">(AI479/Q479)*100</f>
        <v>1.04361446368295</v>
      </c>
      <c r="AK479" s="37" t="s">
        <v>197</v>
      </c>
      <c r="AL479" s="1" t="s">
        <v>197</v>
      </c>
      <c r="AM479" s="1" t="s">
        <v>2499</v>
      </c>
      <c r="AN479" s="1" t="n">
        <v>649</v>
      </c>
      <c r="AO479" s="37" t="n">
        <f aca="false">(AN479/Q479)*100</f>
        <v>0.394011510721484</v>
      </c>
      <c r="AP479" s="37" t="s">
        <v>85</v>
      </c>
      <c r="AQ479" s="1" t="s">
        <v>85</v>
      </c>
      <c r="AR479" s="1" t="s">
        <v>2500</v>
      </c>
      <c r="AS479" s="1" t="n">
        <v>464</v>
      </c>
      <c r="AT479" s="37" t="n">
        <f aca="false">(AS479/Q479)*100</f>
        <v>0.281696981471138</v>
      </c>
    </row>
    <row r="480" customFormat="false" ht="12.8" hidden="false" customHeight="true" outlineLevel="0" collapsed="false">
      <c r="A480" s="35" t="n">
        <v>2011</v>
      </c>
      <c r="B480" s="36" t="n">
        <v>11</v>
      </c>
      <c r="C480" s="1" t="s">
        <v>124</v>
      </c>
      <c r="D480" s="1" t="s">
        <v>100</v>
      </c>
      <c r="E480" s="9" t="s">
        <v>100</v>
      </c>
      <c r="F480" s="1" t="s">
        <v>48</v>
      </c>
      <c r="G480" s="1" t="s">
        <v>125</v>
      </c>
      <c r="H480" s="1" t="s">
        <v>51</v>
      </c>
      <c r="I480" s="1" t="s">
        <v>51</v>
      </c>
      <c r="J480" s="1" t="s">
        <v>51</v>
      </c>
      <c r="K480" s="1" t="s">
        <v>51</v>
      </c>
      <c r="L480" s="1" t="s">
        <v>51</v>
      </c>
      <c r="M480" s="1" t="s">
        <v>51</v>
      </c>
      <c r="N480" s="1" t="s">
        <v>68</v>
      </c>
      <c r="O480" s="1" t="s">
        <v>126</v>
      </c>
      <c r="P480" s="1" t="n">
        <v>195179</v>
      </c>
      <c r="Q480" s="1" t="n">
        <v>141904</v>
      </c>
      <c r="R480" s="37" t="n">
        <f aca="false">(Q480/P480)*100</f>
        <v>72.7045430092377</v>
      </c>
      <c r="S480" s="1" t="n">
        <f aca="false">Y480-AD480</f>
        <v>31255</v>
      </c>
      <c r="T480" s="37" t="n">
        <f aca="false">(S480/Q480)*100</f>
        <v>22.02545382794</v>
      </c>
      <c r="U480" s="37" t="n">
        <f aca="false">Z480+AE480</f>
        <v>96.0501465779682</v>
      </c>
      <c r="V480" s="1" t="s">
        <v>55</v>
      </c>
      <c r="W480" s="1" t="s">
        <v>68</v>
      </c>
      <c r="X480" s="1" t="s">
        <v>2501</v>
      </c>
      <c r="Y480" s="1" t="n">
        <v>83777</v>
      </c>
      <c r="Z480" s="37" t="n">
        <f aca="false">(Y480/Q480)*100</f>
        <v>59.0378002029541</v>
      </c>
      <c r="AA480" s="37" t="s">
        <v>52</v>
      </c>
      <c r="AB480" s="1" t="s">
        <v>53</v>
      </c>
      <c r="AC480" s="1" t="s">
        <v>2502</v>
      </c>
      <c r="AD480" s="1" t="n">
        <v>52522</v>
      </c>
      <c r="AE480" s="37" t="n">
        <f aca="false">(AD480/Q480)*100</f>
        <v>37.0123463750141</v>
      </c>
      <c r="AF480" s="37" t="s">
        <v>1431</v>
      </c>
      <c r="AG480" s="1" t="s">
        <v>171</v>
      </c>
      <c r="AH480" s="1" t="s">
        <v>2503</v>
      </c>
      <c r="AI480" s="1" t="n">
        <v>1300</v>
      </c>
      <c r="AJ480" s="37" t="n">
        <f aca="false">(AI480/Q480)*100</f>
        <v>0.916112301274101</v>
      </c>
      <c r="AK480" s="37" t="s">
        <v>179</v>
      </c>
      <c r="AL480" s="1" t="s">
        <v>179</v>
      </c>
      <c r="AM480" s="1" t="s">
        <v>2504</v>
      </c>
      <c r="AN480" s="1" t="n">
        <v>678</v>
      </c>
      <c r="AO480" s="37" t="n">
        <f aca="false">(AN480/Q480)*100</f>
        <v>0.477787800202954</v>
      </c>
      <c r="AP480" s="37" t="s">
        <v>197</v>
      </c>
      <c r="AQ480" s="1" t="s">
        <v>197</v>
      </c>
      <c r="AR480" s="1" t="s">
        <v>1484</v>
      </c>
      <c r="AS480" s="1" t="n">
        <v>529</v>
      </c>
      <c r="AT480" s="37" t="n">
        <f aca="false">(AS480/Q480)*100</f>
        <v>0.372787236441538</v>
      </c>
    </row>
    <row r="481" customFormat="false" ht="12.8" hidden="false" customHeight="true" outlineLevel="0" collapsed="false">
      <c r="A481" s="35" t="n">
        <v>2011</v>
      </c>
      <c r="B481" s="36" t="n">
        <v>12</v>
      </c>
      <c r="C481" s="1" t="s">
        <v>132</v>
      </c>
      <c r="D481" s="1" t="s">
        <v>100</v>
      </c>
      <c r="E481" s="9" t="s">
        <v>100</v>
      </c>
      <c r="F481" s="1" t="s">
        <v>48</v>
      </c>
      <c r="G481" s="1" t="s">
        <v>125</v>
      </c>
      <c r="H481" s="1" t="s">
        <v>51</v>
      </c>
      <c r="I481" s="1" t="s">
        <v>51</v>
      </c>
      <c r="J481" s="1" t="s">
        <v>51</v>
      </c>
      <c r="K481" s="1" t="s">
        <v>51</v>
      </c>
      <c r="L481" s="1" t="s">
        <v>51</v>
      </c>
      <c r="M481" s="1" t="s">
        <v>51</v>
      </c>
      <c r="N481" s="1" t="s">
        <v>53</v>
      </c>
      <c r="O481" s="1" t="s">
        <v>51</v>
      </c>
      <c r="P481" s="1" t="n">
        <v>232344</v>
      </c>
      <c r="Q481" s="1" t="n">
        <v>162026</v>
      </c>
      <c r="R481" s="37" t="n">
        <f aca="false">(Q481/P481)*100</f>
        <v>69.7353923492752</v>
      </c>
      <c r="S481" s="1" t="n">
        <f aca="false">Y481-AD481</f>
        <v>17423</v>
      </c>
      <c r="T481" s="37" t="n">
        <f aca="false">(S481/Q481)*100</f>
        <v>10.753212447385</v>
      </c>
      <c r="U481" s="37" t="n">
        <f aca="false">Z481+AE481</f>
        <v>93.7584091442114</v>
      </c>
      <c r="V481" s="1" t="s">
        <v>55</v>
      </c>
      <c r="W481" s="1" t="s">
        <v>422</v>
      </c>
      <c r="X481" s="1" t="s">
        <v>2505</v>
      </c>
      <c r="Y481" s="1" t="n">
        <v>84668</v>
      </c>
      <c r="Z481" s="37" t="n">
        <f aca="false">(Y481/Q481)*100</f>
        <v>52.2558107957982</v>
      </c>
      <c r="AA481" s="37" t="s">
        <v>52</v>
      </c>
      <c r="AB481" s="1" t="s">
        <v>53</v>
      </c>
      <c r="AC481" s="1" t="s">
        <v>2506</v>
      </c>
      <c r="AD481" s="1" t="n">
        <v>67245</v>
      </c>
      <c r="AE481" s="37" t="n">
        <f aca="false">(AD481/Q481)*100</f>
        <v>41.5025983484132</v>
      </c>
      <c r="AF481" s="37" t="s">
        <v>1431</v>
      </c>
      <c r="AG481" s="1" t="s">
        <v>171</v>
      </c>
      <c r="AH481" s="1" t="s">
        <v>2507</v>
      </c>
      <c r="AI481" s="1" t="n">
        <v>2758</v>
      </c>
      <c r="AJ481" s="37" t="n">
        <f aca="false">(AI481/Q481)*100</f>
        <v>1.70219594386086</v>
      </c>
      <c r="AK481" s="37" t="s">
        <v>197</v>
      </c>
      <c r="AL481" s="1" t="s">
        <v>2458</v>
      </c>
      <c r="AM481" s="1" t="s">
        <v>1630</v>
      </c>
      <c r="AN481" s="1" t="n">
        <v>961</v>
      </c>
      <c r="AO481" s="37" t="n">
        <f aca="false">(AN481/Q481)*100</f>
        <v>0.593114685297421</v>
      </c>
      <c r="AP481" s="37" t="s">
        <v>85</v>
      </c>
      <c r="AQ481" s="1" t="s">
        <v>85</v>
      </c>
      <c r="AR481" s="1" t="s">
        <v>2508</v>
      </c>
      <c r="AS481" s="1" t="n">
        <v>912</v>
      </c>
      <c r="AT481" s="37" t="n">
        <f aca="false">(AS481/Q481)*100</f>
        <v>0.562872625381112</v>
      </c>
    </row>
    <row r="482" customFormat="false" ht="12.8" hidden="false" customHeight="true" outlineLevel="0" collapsed="false">
      <c r="A482" s="35" t="n">
        <v>2011</v>
      </c>
      <c r="B482" s="36" t="n">
        <v>13</v>
      </c>
      <c r="C482" s="1" t="s">
        <v>138</v>
      </c>
      <c r="D482" s="1" t="s">
        <v>100</v>
      </c>
      <c r="E482" s="9" t="s">
        <v>100</v>
      </c>
      <c r="F482" s="1" t="s">
        <v>48</v>
      </c>
      <c r="G482" s="1" t="s">
        <v>125</v>
      </c>
      <c r="H482" s="1" t="s">
        <v>51</v>
      </c>
      <c r="I482" s="1" t="s">
        <v>51</v>
      </c>
      <c r="J482" s="1" t="s">
        <v>51</v>
      </c>
      <c r="K482" s="1" t="s">
        <v>53</v>
      </c>
      <c r="L482" s="1" t="s">
        <v>51</v>
      </c>
      <c r="M482" s="1" t="s">
        <v>53</v>
      </c>
      <c r="N482" s="1" t="s">
        <v>51</v>
      </c>
      <c r="O482" s="1" t="s">
        <v>51</v>
      </c>
      <c r="P482" s="1" t="n">
        <v>208018</v>
      </c>
      <c r="Q482" s="1" t="n">
        <v>142028</v>
      </c>
      <c r="R482" s="37" t="n">
        <f aca="false">(Q482/P482)*100</f>
        <v>68.2767837398687</v>
      </c>
      <c r="S482" s="1" t="n">
        <f aca="false">Y482-AD482</f>
        <v>2734</v>
      </c>
      <c r="T482" s="37" t="n">
        <f aca="false">(S482/Q482)*100</f>
        <v>1.92497254062579</v>
      </c>
      <c r="U482" s="37" t="n">
        <f aca="false">Z482+AE482</f>
        <v>94.7841270735348</v>
      </c>
      <c r="V482" s="1" t="s">
        <v>52</v>
      </c>
      <c r="W482" s="1" t="s">
        <v>53</v>
      </c>
      <c r="X482" s="1" t="s">
        <v>1486</v>
      </c>
      <c r="Y482" s="1" t="n">
        <v>68677</v>
      </c>
      <c r="Z482" s="37" t="n">
        <f aca="false">(Y482/Q482)*100</f>
        <v>48.3545498070803</v>
      </c>
      <c r="AA482" s="1" t="s">
        <v>55</v>
      </c>
      <c r="AB482" s="1" t="s">
        <v>68</v>
      </c>
      <c r="AC482" s="1" t="s">
        <v>2509</v>
      </c>
      <c r="AD482" s="1" t="n">
        <v>65943</v>
      </c>
      <c r="AE482" s="37" t="n">
        <f aca="false">(AD482/Q482)*100</f>
        <v>46.4295772664545</v>
      </c>
      <c r="AF482" s="37" t="s">
        <v>85</v>
      </c>
      <c r="AG482" s="1" t="s">
        <v>85</v>
      </c>
      <c r="AH482" s="1" t="s">
        <v>2510</v>
      </c>
      <c r="AI482" s="1" t="n">
        <v>4004</v>
      </c>
      <c r="AJ482" s="37" t="n">
        <f aca="false">(AI482/Q482)*100</f>
        <v>2.81916241867801</v>
      </c>
      <c r="AK482" s="37" t="s">
        <v>197</v>
      </c>
      <c r="AL482" s="1" t="s">
        <v>197</v>
      </c>
      <c r="AM482" s="1" t="s">
        <v>2511</v>
      </c>
      <c r="AN482" s="1" t="n">
        <v>778</v>
      </c>
      <c r="AO482" s="37" t="n">
        <f aca="false">(AN482/Q482)*100</f>
        <v>0.547779311121751</v>
      </c>
      <c r="AP482" s="37" t="s">
        <v>197</v>
      </c>
      <c r="AQ482" s="1" t="s">
        <v>2512</v>
      </c>
      <c r="AR482" s="1" t="s">
        <v>2513</v>
      </c>
      <c r="AS482" s="1" t="n">
        <v>502</v>
      </c>
      <c r="AT482" s="37" t="n">
        <f aca="false">(AS482/Q482)*100</f>
        <v>0.353451432111978</v>
      </c>
    </row>
    <row r="483" customFormat="false" ht="12.8" hidden="false" customHeight="true" outlineLevel="0" collapsed="false">
      <c r="A483" s="35" t="n">
        <v>2011</v>
      </c>
      <c r="B483" s="36" t="n">
        <v>14</v>
      </c>
      <c r="C483" s="1" t="s">
        <v>143</v>
      </c>
      <c r="D483" s="1" t="s">
        <v>100</v>
      </c>
      <c r="E483" s="9" t="s">
        <v>100</v>
      </c>
      <c r="F483" s="1" t="s">
        <v>144</v>
      </c>
      <c r="G483" s="1" t="s">
        <v>125</v>
      </c>
      <c r="H483" s="1" t="s">
        <v>51</v>
      </c>
      <c r="I483" s="1" t="s">
        <v>51</v>
      </c>
      <c r="J483" s="1" t="s">
        <v>51</v>
      </c>
      <c r="K483" s="1" t="s">
        <v>51</v>
      </c>
      <c r="L483" s="1" t="s">
        <v>51</v>
      </c>
      <c r="M483" s="1" t="s">
        <v>51</v>
      </c>
      <c r="N483" s="1" t="s">
        <v>51</v>
      </c>
      <c r="O483" s="1" t="s">
        <v>51</v>
      </c>
      <c r="P483" s="1" t="n">
        <v>193221</v>
      </c>
      <c r="Q483" s="1" t="n">
        <v>130828</v>
      </c>
      <c r="R483" s="37" t="n">
        <f aca="false">(Q483/P483)*100</f>
        <v>67.708996434135</v>
      </c>
      <c r="S483" s="1" t="n">
        <f aca="false">Y483-AD483</f>
        <v>10782</v>
      </c>
      <c r="T483" s="37" t="n">
        <f aca="false">(S483/Q483)*100</f>
        <v>8.24135506160761</v>
      </c>
      <c r="U483" s="37" t="n">
        <f aca="false">Z483+AE483</f>
        <v>96.6475066499526</v>
      </c>
      <c r="V483" s="1" t="s">
        <v>55</v>
      </c>
      <c r="W483" s="1" t="s">
        <v>68</v>
      </c>
      <c r="X483" s="1" t="s">
        <v>1487</v>
      </c>
      <c r="Y483" s="1" t="n">
        <v>68612</v>
      </c>
      <c r="Z483" s="37" t="n">
        <f aca="false">(Y483/Q483)*100</f>
        <v>52.4444308557801</v>
      </c>
      <c r="AA483" s="37" t="s">
        <v>52</v>
      </c>
      <c r="AB483" s="1" t="s">
        <v>53</v>
      </c>
      <c r="AC483" s="1" t="s">
        <v>2122</v>
      </c>
      <c r="AD483" s="1" t="n">
        <v>57830</v>
      </c>
      <c r="AE483" s="37" t="n">
        <f aca="false">(AD483/Q483)*100</f>
        <v>44.2030757941725</v>
      </c>
      <c r="AF483" s="37" t="s">
        <v>1431</v>
      </c>
      <c r="AG483" s="1" t="s">
        <v>171</v>
      </c>
      <c r="AH483" s="1" t="s">
        <v>2514</v>
      </c>
      <c r="AI483" s="1" t="n">
        <v>1850</v>
      </c>
      <c r="AJ483" s="37" t="n">
        <f aca="false">(AI483/Q483)*100</f>
        <v>1.41407038248693</v>
      </c>
      <c r="AK483" s="37" t="s">
        <v>197</v>
      </c>
      <c r="AL483" s="1" t="s">
        <v>2515</v>
      </c>
      <c r="AM483" s="1" t="s">
        <v>2516</v>
      </c>
      <c r="AN483" s="1" t="n">
        <v>589</v>
      </c>
      <c r="AO483" s="37" t="n">
        <f aca="false">(AN483/Q483)*100</f>
        <v>0.450209435289082</v>
      </c>
      <c r="AP483" s="37" t="s">
        <v>85</v>
      </c>
      <c r="AQ483" s="1" t="s">
        <v>85</v>
      </c>
      <c r="AR483" s="1" t="s">
        <v>2517</v>
      </c>
      <c r="AS483" s="1" t="n">
        <v>528</v>
      </c>
      <c r="AT483" s="37" t="n">
        <f aca="false">(AS483/Q483)*100</f>
        <v>0.403583330785459</v>
      </c>
    </row>
    <row r="484" customFormat="false" ht="12.8" hidden="false" customHeight="true" outlineLevel="0" collapsed="false">
      <c r="A484" s="35" t="n">
        <v>2011</v>
      </c>
      <c r="B484" s="36" t="n">
        <v>15</v>
      </c>
      <c r="C484" s="1" t="s">
        <v>149</v>
      </c>
      <c r="D484" s="1" t="s">
        <v>100</v>
      </c>
      <c r="E484" s="9" t="s">
        <v>100</v>
      </c>
      <c r="F484" s="1" t="s">
        <v>48</v>
      </c>
      <c r="G484" s="1" t="s">
        <v>125</v>
      </c>
      <c r="H484" s="1" t="s">
        <v>65</v>
      </c>
      <c r="I484" s="1" t="s">
        <v>51</v>
      </c>
      <c r="J484" s="1" t="s">
        <v>51</v>
      </c>
      <c r="K484" s="1" t="s">
        <v>51</v>
      </c>
      <c r="L484" s="1" t="s">
        <v>51</v>
      </c>
      <c r="M484" s="1" t="s">
        <v>51</v>
      </c>
      <c r="N484" s="1" t="s">
        <v>51</v>
      </c>
      <c r="O484" s="1" t="s">
        <v>51</v>
      </c>
      <c r="P484" s="1" t="n">
        <v>181243</v>
      </c>
      <c r="Q484" s="1" t="n">
        <v>123807</v>
      </c>
      <c r="R484" s="37" t="n">
        <f aca="false">(Q484/P484)*100</f>
        <v>68.3099485221498</v>
      </c>
      <c r="S484" s="1" t="n">
        <f aca="false">Y484-AD484</f>
        <v>29341</v>
      </c>
      <c r="T484" s="37" t="n">
        <f aca="false">(S484/Q484)*100</f>
        <v>23.6989830946554</v>
      </c>
      <c r="U484" s="37" t="n">
        <f aca="false">Z484+AE484</f>
        <v>94.0439555114008</v>
      </c>
      <c r="V484" s="1" t="s">
        <v>55</v>
      </c>
      <c r="W484" s="1" t="s">
        <v>68</v>
      </c>
      <c r="X484" s="1" t="s">
        <v>1495</v>
      </c>
      <c r="Y484" s="1" t="n">
        <v>72887</v>
      </c>
      <c r="Z484" s="37" t="n">
        <f aca="false">(Y484/Q484)*100</f>
        <v>58.8714693030281</v>
      </c>
      <c r="AA484" s="37" t="s">
        <v>52</v>
      </c>
      <c r="AB484" s="1" t="s">
        <v>66</v>
      </c>
      <c r="AC484" s="1" t="s">
        <v>2518</v>
      </c>
      <c r="AD484" s="1" t="n">
        <v>43546</v>
      </c>
      <c r="AE484" s="37" t="n">
        <f aca="false">(AD484/Q484)*100</f>
        <v>35.1724862083727</v>
      </c>
      <c r="AF484" s="37" t="s">
        <v>1431</v>
      </c>
      <c r="AG484" s="1" t="s">
        <v>171</v>
      </c>
      <c r="AH484" s="1" t="s">
        <v>2519</v>
      </c>
      <c r="AI484" s="1" t="n">
        <v>3561</v>
      </c>
      <c r="AJ484" s="37" t="n">
        <f aca="false">(AI484/Q484)*100</f>
        <v>2.87625093896145</v>
      </c>
      <c r="AK484" s="37" t="s">
        <v>179</v>
      </c>
      <c r="AL484" s="1" t="s">
        <v>179</v>
      </c>
      <c r="AM484" s="1" t="s">
        <v>2520</v>
      </c>
      <c r="AN484" s="1" t="n">
        <v>756</v>
      </c>
      <c r="AO484" s="37" t="n">
        <f aca="false">(AN484/Q484)*100</f>
        <v>0.610627832028884</v>
      </c>
      <c r="AP484" s="37" t="s">
        <v>85</v>
      </c>
      <c r="AQ484" s="1" t="s">
        <v>85</v>
      </c>
      <c r="AR484" s="1" t="s">
        <v>2521</v>
      </c>
      <c r="AS484" s="1" t="n">
        <v>630</v>
      </c>
      <c r="AT484" s="37" t="n">
        <f aca="false">(AS484/Q484)*100</f>
        <v>0.508856526690736</v>
      </c>
    </row>
    <row r="485" customFormat="false" ht="12.8" hidden="false" customHeight="true" outlineLevel="0" collapsed="false">
      <c r="A485" s="35" t="n">
        <v>2011</v>
      </c>
      <c r="B485" s="36" t="n">
        <v>16</v>
      </c>
      <c r="C485" s="1" t="s">
        <v>155</v>
      </c>
      <c r="D485" s="1" t="s">
        <v>100</v>
      </c>
      <c r="E485" s="9" t="s">
        <v>100</v>
      </c>
      <c r="F485" s="1" t="s">
        <v>144</v>
      </c>
      <c r="G485" s="1" t="s">
        <v>125</v>
      </c>
      <c r="H485" s="1" t="s">
        <v>65</v>
      </c>
      <c r="I485" s="1" t="s">
        <v>51</v>
      </c>
      <c r="J485" s="1" t="s">
        <v>51</v>
      </c>
      <c r="K485" s="1" t="s">
        <v>51</v>
      </c>
      <c r="L485" s="1" t="s">
        <v>53</v>
      </c>
      <c r="M485" s="1" t="s">
        <v>51</v>
      </c>
      <c r="N485" s="1" t="s">
        <v>53</v>
      </c>
      <c r="O485" s="1" t="s">
        <v>51</v>
      </c>
      <c r="P485" s="1" t="n">
        <v>164768</v>
      </c>
      <c r="Q485" s="1" t="n">
        <v>111996</v>
      </c>
      <c r="R485" s="37" t="n">
        <f aca="false">(Q485/P485)*100</f>
        <v>67.9719362983104</v>
      </c>
      <c r="S485" s="1" t="n">
        <f aca="false">Y485-AD485</f>
        <v>202</v>
      </c>
      <c r="T485" s="37" t="n">
        <f aca="false">(S485/Q485)*100</f>
        <v>0.180363584413729</v>
      </c>
      <c r="U485" s="37" t="n">
        <f aca="false">Z485+AE485</f>
        <v>92.2729383192257</v>
      </c>
      <c r="V485" s="1" t="s">
        <v>55</v>
      </c>
      <c r="W485" s="1" t="s">
        <v>61</v>
      </c>
      <c r="X485" s="1" t="s">
        <v>2522</v>
      </c>
      <c r="Y485" s="1" t="n">
        <v>51772</v>
      </c>
      <c r="Z485" s="37" t="n">
        <f aca="false">(Y485/Q485)*100</f>
        <v>46.2266509518197</v>
      </c>
      <c r="AA485" s="37" t="s">
        <v>52</v>
      </c>
      <c r="AB485" s="1" t="s">
        <v>53</v>
      </c>
      <c r="AC485" s="1" t="s">
        <v>2523</v>
      </c>
      <c r="AD485" s="1" t="n">
        <v>51570</v>
      </c>
      <c r="AE485" s="37" t="n">
        <f aca="false">(AD485/Q485)*100</f>
        <v>46.046287367406</v>
      </c>
      <c r="AF485" s="37" t="s">
        <v>1431</v>
      </c>
      <c r="AG485" s="1" t="s">
        <v>171</v>
      </c>
      <c r="AH485" s="1" t="s">
        <v>2524</v>
      </c>
      <c r="AI485" s="1" t="n">
        <v>4911</v>
      </c>
      <c r="AJ485" s="37" t="n">
        <f aca="false">(AI485/Q485)*100</f>
        <v>4.38497803492982</v>
      </c>
      <c r="AK485" s="37" t="s">
        <v>179</v>
      </c>
      <c r="AL485" s="1" t="s">
        <v>179</v>
      </c>
      <c r="AM485" s="1" t="s">
        <v>2525</v>
      </c>
      <c r="AN485" s="1" t="n">
        <v>1132</v>
      </c>
      <c r="AO485" s="37" t="n">
        <f aca="false">(AN485/Q485)*100</f>
        <v>1.01075038394228</v>
      </c>
      <c r="AP485" s="37" t="s">
        <v>85</v>
      </c>
      <c r="AQ485" s="1" t="s">
        <v>85</v>
      </c>
      <c r="AR485" s="1" t="s">
        <v>2526</v>
      </c>
      <c r="AS485" s="1" t="n">
        <v>669</v>
      </c>
      <c r="AT485" s="37" t="n">
        <f aca="false">(AS485/Q485)*100</f>
        <v>0.597342762241509</v>
      </c>
    </row>
    <row r="486" customFormat="false" ht="12.8" hidden="false" customHeight="true" outlineLevel="0" collapsed="false">
      <c r="A486" s="35" t="n">
        <v>2011</v>
      </c>
      <c r="B486" s="36" t="n">
        <v>17</v>
      </c>
      <c r="C486" s="1" t="s">
        <v>161</v>
      </c>
      <c r="D486" s="1" t="s">
        <v>100</v>
      </c>
      <c r="E486" s="9" t="s">
        <v>100</v>
      </c>
      <c r="F486" s="1" t="s">
        <v>48</v>
      </c>
      <c r="G486" s="1" t="s">
        <v>125</v>
      </c>
      <c r="H486" s="1" t="s">
        <v>51</v>
      </c>
      <c r="I486" s="1" t="s">
        <v>51</v>
      </c>
      <c r="J486" s="1" t="s">
        <v>51</v>
      </c>
      <c r="K486" s="1" t="s">
        <v>51</v>
      </c>
      <c r="L486" s="1" t="s">
        <v>162</v>
      </c>
      <c r="M486" s="1" t="s">
        <v>51</v>
      </c>
      <c r="N486" s="1" t="s">
        <v>162</v>
      </c>
      <c r="O486" s="1" t="s">
        <v>51</v>
      </c>
      <c r="P486" s="1" t="n">
        <v>159349</v>
      </c>
      <c r="Q486" s="1" t="n">
        <v>112461</v>
      </c>
      <c r="R486" s="37" t="n">
        <f aca="false">(Q486/P486)*100</f>
        <v>70.5752781630258</v>
      </c>
      <c r="S486" s="1" t="n">
        <f aca="false">Y486-AD486</f>
        <v>21372</v>
      </c>
      <c r="T486" s="37" t="n">
        <f aca="false">(S486/Q486)*100</f>
        <v>19.0039213594046</v>
      </c>
      <c r="U486" s="37" t="n">
        <f aca="false">Z486+AE486</f>
        <v>96.767768381928</v>
      </c>
      <c r="V486" s="1" t="s">
        <v>55</v>
      </c>
      <c r="W486" s="1" t="s">
        <v>68</v>
      </c>
      <c r="X486" s="1" t="s">
        <v>1502</v>
      </c>
      <c r="Y486" s="1" t="n">
        <v>65099</v>
      </c>
      <c r="Z486" s="37" t="n">
        <f aca="false">(Y486/Q486)*100</f>
        <v>57.8858448706663</v>
      </c>
      <c r="AA486" s="37" t="s">
        <v>52</v>
      </c>
      <c r="AB486" s="1" t="s">
        <v>66</v>
      </c>
      <c r="AC486" s="1" t="s">
        <v>1503</v>
      </c>
      <c r="AD486" s="1" t="n">
        <v>43727</v>
      </c>
      <c r="AE486" s="37" t="n">
        <f aca="false">(AD486/Q486)*100</f>
        <v>38.8819235112617</v>
      </c>
      <c r="AF486" s="37" t="s">
        <v>1431</v>
      </c>
      <c r="AG486" s="1" t="s">
        <v>171</v>
      </c>
      <c r="AH486" s="1" t="s">
        <v>2527</v>
      </c>
      <c r="AI486" s="1" t="n">
        <v>1683</v>
      </c>
      <c r="AJ486" s="37" t="n">
        <f aca="false">(AI486/Q486)*100</f>
        <v>1.49651879318164</v>
      </c>
      <c r="AK486" s="37" t="s">
        <v>197</v>
      </c>
      <c r="AL486" s="1" t="s">
        <v>197</v>
      </c>
      <c r="AM486" s="1" t="s">
        <v>2528</v>
      </c>
      <c r="AN486" s="1" t="n">
        <v>520</v>
      </c>
      <c r="AO486" s="37" t="n">
        <f aca="false">(AN486/Q486)*100</f>
        <v>0.462382514827362</v>
      </c>
      <c r="AP486" s="37" t="s">
        <v>197</v>
      </c>
      <c r="AQ486" s="1" t="s">
        <v>197</v>
      </c>
      <c r="AR486" s="1" t="s">
        <v>2529</v>
      </c>
      <c r="AS486" s="1" t="n">
        <v>340</v>
      </c>
      <c r="AT486" s="37" t="n">
        <f aca="false">(AS486/Q486)*100</f>
        <v>0.302327028925583</v>
      </c>
    </row>
    <row r="487" customFormat="false" ht="12.8" hidden="false" customHeight="true" outlineLevel="0" collapsed="false">
      <c r="A487" s="35" t="n">
        <v>2011</v>
      </c>
      <c r="B487" s="36" t="n">
        <v>18</v>
      </c>
      <c r="C487" s="1" t="s">
        <v>168</v>
      </c>
      <c r="D487" s="1" t="s">
        <v>100</v>
      </c>
      <c r="E487" s="9" t="s">
        <v>100</v>
      </c>
      <c r="F487" s="1" t="s">
        <v>144</v>
      </c>
      <c r="G487" s="1" t="s">
        <v>125</v>
      </c>
      <c r="H487" s="1" t="s">
        <v>51</v>
      </c>
      <c r="I487" s="1" t="s">
        <v>51</v>
      </c>
      <c r="J487" s="1" t="s">
        <v>51</v>
      </c>
      <c r="K487" s="1" t="s">
        <v>51</v>
      </c>
      <c r="L487" s="39" t="s">
        <v>53</v>
      </c>
      <c r="M487" s="1" t="s">
        <v>51</v>
      </c>
      <c r="N487" s="39" t="s">
        <v>53</v>
      </c>
      <c r="O487" s="1" t="s">
        <v>169</v>
      </c>
      <c r="P487" s="1" t="n">
        <v>152817</v>
      </c>
      <c r="Q487" s="1" t="n">
        <v>96475</v>
      </c>
      <c r="R487" s="37" t="n">
        <f aca="false">(Q487/P487)*100</f>
        <v>63.1310652610639</v>
      </c>
      <c r="S487" s="1" t="n">
        <f aca="false">Y487-AD487</f>
        <v>20317</v>
      </c>
      <c r="T487" s="37" t="n">
        <f aca="false">(S487/Q487)*100</f>
        <v>21.0593417983934</v>
      </c>
      <c r="U487" s="37" t="n">
        <f aca="false">Z487+AE487</f>
        <v>90.7209121534076</v>
      </c>
      <c r="V487" s="1" t="s">
        <v>55</v>
      </c>
      <c r="W487" s="1" t="s">
        <v>68</v>
      </c>
      <c r="X487" s="1" t="s">
        <v>2530</v>
      </c>
      <c r="Y487" s="1" t="n">
        <v>53920</v>
      </c>
      <c r="Z487" s="37" t="n">
        <f aca="false">(Y487/Q487)*100</f>
        <v>55.8901269759005</v>
      </c>
      <c r="AA487" s="37" t="s">
        <v>52</v>
      </c>
      <c r="AB487" s="1" t="s">
        <v>53</v>
      </c>
      <c r="AC487" s="1" t="s">
        <v>2531</v>
      </c>
      <c r="AD487" s="1" t="n">
        <v>33603</v>
      </c>
      <c r="AE487" s="37" t="n">
        <f aca="false">(AD487/Q487)*100</f>
        <v>34.8307851775071</v>
      </c>
      <c r="AF487" s="37" t="s">
        <v>1431</v>
      </c>
      <c r="AG487" s="1" t="s">
        <v>171</v>
      </c>
      <c r="AH487" s="1" t="s">
        <v>2532</v>
      </c>
      <c r="AI487" s="1" t="n">
        <v>4663</v>
      </c>
      <c r="AJ487" s="37" t="n">
        <f aca="false">(AI487/Q487)*100</f>
        <v>4.83337652241513</v>
      </c>
      <c r="AK487" s="37" t="s">
        <v>352</v>
      </c>
      <c r="AL487" s="1" t="s">
        <v>352</v>
      </c>
      <c r="AM487" s="1" t="s">
        <v>2533</v>
      </c>
      <c r="AN487" s="1" t="n">
        <v>2237</v>
      </c>
      <c r="AO487" s="37" t="n">
        <f aca="false">(AN487/Q487)*100</f>
        <v>2.31873542368489</v>
      </c>
      <c r="AP487" s="37" t="s">
        <v>197</v>
      </c>
      <c r="AQ487" s="1" t="s">
        <v>197</v>
      </c>
      <c r="AR487" s="1" t="s">
        <v>2534</v>
      </c>
      <c r="AS487" s="1" t="n">
        <v>761</v>
      </c>
      <c r="AT487" s="37" t="n">
        <f aca="false">(AS487/Q487)*100</f>
        <v>0.788805389997409</v>
      </c>
    </row>
    <row r="488" customFormat="false" ht="12.8" hidden="false" customHeight="true" outlineLevel="0" collapsed="false">
      <c r="A488" s="35" t="n">
        <v>2011</v>
      </c>
      <c r="B488" s="36" t="n">
        <v>19</v>
      </c>
      <c r="C488" s="1" t="s">
        <v>175</v>
      </c>
      <c r="D488" s="1" t="s">
        <v>100</v>
      </c>
      <c r="E488" s="9" t="s">
        <v>100</v>
      </c>
      <c r="F488" s="1" t="s">
        <v>144</v>
      </c>
      <c r="G488" s="1" t="s">
        <v>125</v>
      </c>
      <c r="H488" s="1" t="s">
        <v>51</v>
      </c>
      <c r="I488" s="1" t="s">
        <v>51</v>
      </c>
      <c r="J488" s="1" t="s">
        <v>51</v>
      </c>
      <c r="K488" s="1" t="s">
        <v>51</v>
      </c>
      <c r="L488" s="1" t="s">
        <v>51</v>
      </c>
      <c r="M488" s="1" t="s">
        <v>53</v>
      </c>
      <c r="N488" s="1" t="s">
        <v>51</v>
      </c>
      <c r="O488" s="1" t="s">
        <v>51</v>
      </c>
      <c r="P488" s="1" t="n">
        <v>187305</v>
      </c>
      <c r="Q488" s="1" t="n">
        <v>129836</v>
      </c>
      <c r="R488" s="37" t="n">
        <f aca="false">(Q488/P488)*100</f>
        <v>69.3179573423027</v>
      </c>
      <c r="S488" s="1" t="n">
        <f aca="false">Y488-AD488</f>
        <v>9203</v>
      </c>
      <c r="T488" s="37" t="n">
        <f aca="false">(S488/Q488)*100</f>
        <v>7.08817277180443</v>
      </c>
      <c r="U488" s="37" t="n">
        <f aca="false">Z488+AE488</f>
        <v>91.7919529252287</v>
      </c>
      <c r="V488" s="1" t="s">
        <v>52</v>
      </c>
      <c r="W488" s="1" t="s">
        <v>53</v>
      </c>
      <c r="X488" s="1" t="s">
        <v>1511</v>
      </c>
      <c r="Y488" s="1" t="n">
        <v>64191</v>
      </c>
      <c r="Z488" s="37" t="n">
        <f aca="false">(Y488/Q488)*100</f>
        <v>49.4400628485166</v>
      </c>
      <c r="AA488" s="1" t="s">
        <v>55</v>
      </c>
      <c r="AB488" s="1" t="s">
        <v>1646</v>
      </c>
      <c r="AC488" s="1" t="s">
        <v>2535</v>
      </c>
      <c r="AD488" s="1" t="n">
        <v>54988</v>
      </c>
      <c r="AE488" s="37" t="n">
        <f aca="false">(AD488/Q488)*100</f>
        <v>42.3518900767122</v>
      </c>
      <c r="AF488" s="37" t="s">
        <v>1431</v>
      </c>
      <c r="AG488" s="1" t="s">
        <v>171</v>
      </c>
      <c r="AH488" s="1" t="s">
        <v>2536</v>
      </c>
      <c r="AI488" s="1" t="n">
        <v>5374</v>
      </c>
      <c r="AJ488" s="37" t="n">
        <f aca="false">(AI488/Q488)*100</f>
        <v>4.13906774700391</v>
      </c>
      <c r="AK488" s="37" t="s">
        <v>197</v>
      </c>
      <c r="AL488" s="1" t="s">
        <v>2537</v>
      </c>
      <c r="AM488" s="1" t="s">
        <v>2538</v>
      </c>
      <c r="AN488" s="1" t="n">
        <v>1271</v>
      </c>
      <c r="AO488" s="37" t="n">
        <f aca="false">(AN488/Q488)*100</f>
        <v>0.978927262084476</v>
      </c>
      <c r="AP488" s="37" t="s">
        <v>85</v>
      </c>
      <c r="AQ488" s="1" t="s">
        <v>85</v>
      </c>
      <c r="AR488" s="1" t="s">
        <v>2539</v>
      </c>
      <c r="AS488" s="1" t="n">
        <v>894</v>
      </c>
      <c r="AT488" s="37" t="n">
        <f aca="false">(AS488/Q488)*100</f>
        <v>0.688560953818663</v>
      </c>
    </row>
    <row r="489" customFormat="false" ht="12.8" hidden="false" customHeight="true" outlineLevel="0" collapsed="false">
      <c r="A489" s="35" t="n">
        <v>2011</v>
      </c>
      <c r="B489" s="36" t="n">
        <v>20</v>
      </c>
      <c r="C489" s="1" t="s">
        <v>181</v>
      </c>
      <c r="D489" s="1" t="s">
        <v>100</v>
      </c>
      <c r="E489" s="9" t="s">
        <v>100</v>
      </c>
      <c r="F489" s="1" t="s">
        <v>144</v>
      </c>
      <c r="G489" s="1" t="s">
        <v>125</v>
      </c>
      <c r="H489" s="1" t="s">
        <v>51</v>
      </c>
      <c r="I489" s="1" t="s">
        <v>51</v>
      </c>
      <c r="J489" s="1" t="s">
        <v>51</v>
      </c>
      <c r="K489" s="1" t="s">
        <v>51</v>
      </c>
      <c r="L489" s="39" t="s">
        <v>53</v>
      </c>
      <c r="M489" s="1" t="s">
        <v>51</v>
      </c>
      <c r="N489" s="1" t="s">
        <v>51</v>
      </c>
      <c r="O489" s="1" t="s">
        <v>51</v>
      </c>
      <c r="P489" s="1" t="n">
        <v>200020</v>
      </c>
      <c r="Q489" s="1" t="n">
        <v>133567</v>
      </c>
      <c r="R489" s="37" t="n">
        <f aca="false">(Q489/P489)*100</f>
        <v>66.7768223177682</v>
      </c>
      <c r="S489" s="1" t="n">
        <f aca="false">Y489-AD489</f>
        <v>7592</v>
      </c>
      <c r="T489" s="37" t="n">
        <f aca="false">(S489/Q489)*100</f>
        <v>5.68403872213945</v>
      </c>
      <c r="U489" s="37" t="n">
        <f aca="false">Z489+AE489</f>
        <v>95.4217733422178</v>
      </c>
      <c r="V489" s="1" t="s">
        <v>55</v>
      </c>
      <c r="W489" s="1" t="s">
        <v>68</v>
      </c>
      <c r="X489" s="1" t="s">
        <v>1516</v>
      </c>
      <c r="Y489" s="1" t="n">
        <v>67522</v>
      </c>
      <c r="Z489" s="37" t="n">
        <f aca="false">(Y489/Q489)*100</f>
        <v>50.5529060321786</v>
      </c>
      <c r="AA489" s="37" t="s">
        <v>52</v>
      </c>
      <c r="AB489" s="1" t="s">
        <v>53</v>
      </c>
      <c r="AC489" s="1" t="s">
        <v>2540</v>
      </c>
      <c r="AD489" s="1" t="n">
        <v>59930</v>
      </c>
      <c r="AE489" s="37" t="n">
        <f aca="false">(AD489/Q489)*100</f>
        <v>44.8688673100392</v>
      </c>
      <c r="AF489" s="37" t="s">
        <v>1431</v>
      </c>
      <c r="AG489" s="1" t="s">
        <v>171</v>
      </c>
      <c r="AH489" s="1" t="s">
        <v>2541</v>
      </c>
      <c r="AI489" s="1" t="n">
        <v>3098</v>
      </c>
      <c r="AJ489" s="37" t="n">
        <f aca="false">(AI489/Q489)*100</f>
        <v>2.31943518982982</v>
      </c>
      <c r="AK489" s="37" t="s">
        <v>179</v>
      </c>
      <c r="AL489" s="1" t="s">
        <v>179</v>
      </c>
      <c r="AM489" s="1" t="s">
        <v>2542</v>
      </c>
      <c r="AN489" s="1" t="n">
        <v>849</v>
      </c>
      <c r="AO489" s="37" t="n">
        <f aca="false">(AN489/Q489)*100</f>
        <v>0.635636047826185</v>
      </c>
      <c r="AP489" s="37" t="s">
        <v>197</v>
      </c>
      <c r="AQ489" s="1" t="s">
        <v>2470</v>
      </c>
      <c r="AR489" s="1" t="s">
        <v>2543</v>
      </c>
      <c r="AS489" s="1" t="n">
        <v>409</v>
      </c>
      <c r="AT489" s="37" t="n">
        <f aca="false">(AS489/Q489)*100</f>
        <v>0.306213361084699</v>
      </c>
    </row>
    <row r="490" customFormat="false" ht="12.8" hidden="false" customHeight="true" outlineLevel="0" collapsed="false">
      <c r="A490" s="35" t="n">
        <v>2011</v>
      </c>
      <c r="B490" s="36" t="n">
        <v>21</v>
      </c>
      <c r="C490" s="1" t="s">
        <v>186</v>
      </c>
      <c r="D490" s="1" t="s">
        <v>100</v>
      </c>
      <c r="E490" s="9" t="s">
        <v>100</v>
      </c>
      <c r="F490" s="1" t="s">
        <v>144</v>
      </c>
      <c r="G490" s="1" t="s">
        <v>125</v>
      </c>
      <c r="H490" s="1" t="s">
        <v>51</v>
      </c>
      <c r="I490" s="1" t="s">
        <v>51</v>
      </c>
      <c r="J490" s="1" t="s">
        <v>51</v>
      </c>
      <c r="K490" s="1" t="s">
        <v>51</v>
      </c>
      <c r="L490" s="39" t="s">
        <v>53</v>
      </c>
      <c r="M490" s="1" t="s">
        <v>51</v>
      </c>
      <c r="N490" s="1" t="s">
        <v>53</v>
      </c>
      <c r="O490" s="1" t="s">
        <v>169</v>
      </c>
      <c r="P490" s="1" t="n">
        <v>226836</v>
      </c>
      <c r="Q490" s="1" t="n">
        <v>151608</v>
      </c>
      <c r="R490" s="37" t="n">
        <f aca="false">(Q490/P490)*100</f>
        <v>66.8359519652965</v>
      </c>
      <c r="S490" s="1" t="n">
        <f aca="false">Y490-AD490</f>
        <v>36590</v>
      </c>
      <c r="T490" s="37" t="n">
        <f aca="false">(S490/Q490)*100</f>
        <v>24.1346103108015</v>
      </c>
      <c r="U490" s="37" t="n">
        <f aca="false">Z490+AE490</f>
        <v>93.2127592211493</v>
      </c>
      <c r="V490" s="1" t="s">
        <v>55</v>
      </c>
      <c r="W490" s="1" t="s">
        <v>68</v>
      </c>
      <c r="X490" s="1" t="s">
        <v>2544</v>
      </c>
      <c r="Y490" s="1" t="n">
        <v>88954</v>
      </c>
      <c r="Z490" s="37" t="n">
        <f aca="false">(Y490/Q490)*100</f>
        <v>58.6736847659754</v>
      </c>
      <c r="AA490" s="37" t="s">
        <v>52</v>
      </c>
      <c r="AB490" s="1" t="s">
        <v>66</v>
      </c>
      <c r="AC490" s="1" t="s">
        <v>2545</v>
      </c>
      <c r="AD490" s="1" t="n">
        <v>52364</v>
      </c>
      <c r="AE490" s="37" t="n">
        <f aca="false">(AD490/Q490)*100</f>
        <v>34.5390744551739</v>
      </c>
      <c r="AF490" s="37" t="s">
        <v>1431</v>
      </c>
      <c r="AG490" s="1" t="s">
        <v>171</v>
      </c>
      <c r="AH490" s="1" t="s">
        <v>2546</v>
      </c>
      <c r="AI490" s="1" t="n">
        <v>3769</v>
      </c>
      <c r="AJ490" s="37" t="n">
        <f aca="false">(AI490/Q490)*100</f>
        <v>2.48601656904649</v>
      </c>
      <c r="AK490" s="37" t="s">
        <v>197</v>
      </c>
      <c r="AL490" s="1" t="s">
        <v>2547</v>
      </c>
      <c r="AM490" s="1" t="s">
        <v>2548</v>
      </c>
      <c r="AN490" s="1" t="n">
        <v>763</v>
      </c>
      <c r="AO490" s="37" t="n">
        <f aca="false">(AN490/Q490)*100</f>
        <v>0.503271595166482</v>
      </c>
      <c r="AP490" s="37" t="s">
        <v>197</v>
      </c>
      <c r="AQ490" s="1" t="s">
        <v>197</v>
      </c>
      <c r="AR490" s="1" t="s">
        <v>2549</v>
      </c>
      <c r="AS490" s="1" t="n">
        <v>742</v>
      </c>
      <c r="AT490" s="37" t="n">
        <f aca="false">(AS490/Q490)*100</f>
        <v>0.489420083372909</v>
      </c>
    </row>
    <row r="491" customFormat="false" ht="12.8" hidden="false" customHeight="true" outlineLevel="0" collapsed="false">
      <c r="A491" s="35" t="n">
        <v>2011</v>
      </c>
      <c r="B491" s="36" t="n">
        <v>22</v>
      </c>
      <c r="C491" s="1" t="s">
        <v>191</v>
      </c>
      <c r="D491" s="1" t="s">
        <v>100</v>
      </c>
      <c r="E491" s="9" t="s">
        <v>100</v>
      </c>
      <c r="F491" s="1" t="s">
        <v>192</v>
      </c>
      <c r="G491" s="1" t="s">
        <v>125</v>
      </c>
      <c r="H491" s="1" t="s">
        <v>51</v>
      </c>
      <c r="I491" s="1" t="s">
        <v>51</v>
      </c>
      <c r="J491" s="1" t="s">
        <v>51</v>
      </c>
      <c r="K491" s="1" t="s">
        <v>51</v>
      </c>
      <c r="L491" s="1" t="s">
        <v>51</v>
      </c>
      <c r="M491" s="1" t="s">
        <v>51</v>
      </c>
      <c r="N491" s="1" t="s">
        <v>51</v>
      </c>
      <c r="O491" s="1" t="s">
        <v>51</v>
      </c>
      <c r="P491" s="1" t="n">
        <v>214898</v>
      </c>
      <c r="Q491" s="1" t="n">
        <v>144069</v>
      </c>
      <c r="R491" s="37" t="n">
        <f aca="false">(Q491/P491)*100</f>
        <v>67.0406425373898</v>
      </c>
      <c r="S491" s="1" t="n">
        <f aca="false">Y491-AD491</f>
        <v>14094</v>
      </c>
      <c r="T491" s="37" t="n">
        <f aca="false">(S491/Q491)*100</f>
        <v>9.78281240239052</v>
      </c>
      <c r="U491" s="37" t="n">
        <f aca="false">Z491+AE491</f>
        <v>89.5084993995933</v>
      </c>
      <c r="V491" s="1" t="s">
        <v>55</v>
      </c>
      <c r="W491" s="1" t="s">
        <v>61</v>
      </c>
      <c r="X491" s="1" t="s">
        <v>2550</v>
      </c>
      <c r="Y491" s="1" t="n">
        <v>71524</v>
      </c>
      <c r="Z491" s="37" t="n">
        <f aca="false">(Y491/Q491)*100</f>
        <v>49.6456559009919</v>
      </c>
      <c r="AA491" s="37" t="s">
        <v>52</v>
      </c>
      <c r="AB491" s="1" t="s">
        <v>53</v>
      </c>
      <c r="AC491" s="1" t="s">
        <v>1526</v>
      </c>
      <c r="AD491" s="1" t="n">
        <v>57430</v>
      </c>
      <c r="AE491" s="37" t="n">
        <f aca="false">(AD491/Q491)*100</f>
        <v>39.8628434986014</v>
      </c>
      <c r="AF491" s="37" t="s">
        <v>1431</v>
      </c>
      <c r="AG491" s="1" t="s">
        <v>171</v>
      </c>
      <c r="AH491" s="1" t="s">
        <v>1546</v>
      </c>
      <c r="AI491" s="1" t="n">
        <v>7525</v>
      </c>
      <c r="AJ491" s="37" t="n">
        <f aca="false">(AI491/Q491)*100</f>
        <v>5.22319166510492</v>
      </c>
      <c r="AK491" s="37" t="s">
        <v>197</v>
      </c>
      <c r="AL491" s="1" t="s">
        <v>197</v>
      </c>
      <c r="AM491" s="1" t="s">
        <v>2551</v>
      </c>
      <c r="AN491" s="1" t="n">
        <v>3431</v>
      </c>
      <c r="AO491" s="37" t="n">
        <f aca="false">(AN491/Q491)*100</f>
        <v>2.38149775454817</v>
      </c>
      <c r="AP491" s="37" t="s">
        <v>197</v>
      </c>
      <c r="AQ491" s="1" t="s">
        <v>2470</v>
      </c>
      <c r="AR491" s="1" t="s">
        <v>1702</v>
      </c>
      <c r="AS491" s="1" t="n">
        <v>1447</v>
      </c>
      <c r="AT491" s="37" t="n">
        <f aca="false">(AS491/Q491)*100</f>
        <v>1.00437984576835</v>
      </c>
    </row>
    <row r="492" customFormat="false" ht="12.8" hidden="false" customHeight="true" outlineLevel="0" collapsed="false">
      <c r="A492" s="35" t="n">
        <v>2011</v>
      </c>
      <c r="B492" s="36" t="n">
        <v>23</v>
      </c>
      <c r="C492" s="1" t="s">
        <v>199</v>
      </c>
      <c r="D492" s="1" t="s">
        <v>100</v>
      </c>
      <c r="E492" s="9" t="s">
        <v>100</v>
      </c>
      <c r="F492" s="1" t="s">
        <v>192</v>
      </c>
      <c r="G492" s="1" t="s">
        <v>125</v>
      </c>
      <c r="H492" s="1" t="s">
        <v>51</v>
      </c>
      <c r="I492" s="1" t="s">
        <v>51</v>
      </c>
      <c r="J492" s="1" t="s">
        <v>51</v>
      </c>
      <c r="K492" s="1" t="s">
        <v>51</v>
      </c>
      <c r="L492" s="1" t="s">
        <v>51</v>
      </c>
      <c r="M492" s="1" t="s">
        <v>51</v>
      </c>
      <c r="N492" s="1" t="s">
        <v>53</v>
      </c>
      <c r="O492" s="1" t="s">
        <v>169</v>
      </c>
      <c r="P492" s="1" t="n">
        <v>219038</v>
      </c>
      <c r="Q492" s="1" t="n">
        <v>154225</v>
      </c>
      <c r="R492" s="37" t="n">
        <f aca="false">(Q492/P492)*100</f>
        <v>70.4101571416832</v>
      </c>
      <c r="S492" s="1" t="n">
        <f aca="false">Y492-AD492</f>
        <v>12071</v>
      </c>
      <c r="T492" s="37" t="n">
        <f aca="false">(S492/Q492)*100</f>
        <v>7.82687631706922</v>
      </c>
      <c r="U492" s="37" t="n">
        <f aca="false">Z492+AE492</f>
        <v>95.7309126276544</v>
      </c>
      <c r="V492" s="1" t="s">
        <v>55</v>
      </c>
      <c r="W492" s="1" t="s">
        <v>68</v>
      </c>
      <c r="X492" s="1" t="s">
        <v>2552</v>
      </c>
      <c r="Y492" s="1" t="n">
        <v>79856</v>
      </c>
      <c r="Z492" s="37" t="n">
        <f aca="false">(Y492/Q492)*100</f>
        <v>51.7788944723618</v>
      </c>
      <c r="AA492" s="37" t="s">
        <v>52</v>
      </c>
      <c r="AB492" s="1" t="s">
        <v>53</v>
      </c>
      <c r="AC492" s="1" t="s">
        <v>2553</v>
      </c>
      <c r="AD492" s="1" t="n">
        <v>67785</v>
      </c>
      <c r="AE492" s="37" t="n">
        <f aca="false">(AD492/Q492)*100</f>
        <v>43.9520181552926</v>
      </c>
      <c r="AF492" s="37" t="s">
        <v>1431</v>
      </c>
      <c r="AG492" s="1" t="s">
        <v>171</v>
      </c>
      <c r="AH492" s="1" t="s">
        <v>1532</v>
      </c>
      <c r="AI492" s="1" t="n">
        <v>3018</v>
      </c>
      <c r="AJ492" s="37" t="n">
        <f aca="false">(AI492/Q492)*100</f>
        <v>1.95688118009402</v>
      </c>
      <c r="AK492" s="37" t="s">
        <v>197</v>
      </c>
      <c r="AL492" s="1" t="s">
        <v>2515</v>
      </c>
      <c r="AM492" s="1" t="s">
        <v>1924</v>
      </c>
      <c r="AN492" s="1" t="n">
        <v>878</v>
      </c>
      <c r="AO492" s="37" t="n">
        <f aca="false">(AN492/Q492)*100</f>
        <v>0.569298103420328</v>
      </c>
      <c r="AP492" s="37" t="s">
        <v>85</v>
      </c>
      <c r="AQ492" s="1" t="s">
        <v>85</v>
      </c>
      <c r="AR492" s="1" t="s">
        <v>2554</v>
      </c>
      <c r="AS492" s="1" t="n">
        <v>481</v>
      </c>
      <c r="AT492" s="37" t="n">
        <f aca="false">(AS492/Q492)*100</f>
        <v>0.311881990598152</v>
      </c>
    </row>
    <row r="493" customFormat="false" ht="12.8" hidden="false" customHeight="true" outlineLevel="0" collapsed="false">
      <c r="A493" s="35" t="n">
        <v>2011</v>
      </c>
      <c r="B493" s="36" t="n">
        <v>24</v>
      </c>
      <c r="C493" s="1" t="s">
        <v>205</v>
      </c>
      <c r="D493" s="1" t="s">
        <v>100</v>
      </c>
      <c r="E493" s="9" t="s">
        <v>100</v>
      </c>
      <c r="F493" s="1" t="s">
        <v>192</v>
      </c>
      <c r="G493" s="1" t="s">
        <v>125</v>
      </c>
      <c r="H493" s="1" t="s">
        <v>51</v>
      </c>
      <c r="I493" s="1" t="s">
        <v>51</v>
      </c>
      <c r="J493" s="1" t="s">
        <v>51</v>
      </c>
      <c r="K493" s="1" t="s">
        <v>51</v>
      </c>
      <c r="L493" s="1" t="s">
        <v>51</v>
      </c>
      <c r="M493" s="1" t="s">
        <v>51</v>
      </c>
      <c r="N493" s="1" t="s">
        <v>51</v>
      </c>
      <c r="O493" s="1" t="s">
        <v>51</v>
      </c>
      <c r="P493" s="1" t="n">
        <v>194922</v>
      </c>
      <c r="Q493" s="1" t="n">
        <v>129751</v>
      </c>
      <c r="R493" s="37" t="n">
        <f aca="false">(Q493/P493)*100</f>
        <v>66.5656005992141</v>
      </c>
      <c r="S493" s="1" t="n">
        <f aca="false">Y493-AD493</f>
        <v>32462</v>
      </c>
      <c r="T493" s="37" t="n">
        <f aca="false">(S493/Q493)*100</f>
        <v>25.0186896440105</v>
      </c>
      <c r="U493" s="37" t="n">
        <f aca="false">Z493+AE493</f>
        <v>91.9484242896009</v>
      </c>
      <c r="V493" s="1" t="s">
        <v>55</v>
      </c>
      <c r="W493" s="1" t="s">
        <v>68</v>
      </c>
      <c r="X493" s="1" t="s">
        <v>2555</v>
      </c>
      <c r="Y493" s="1" t="n">
        <v>75883</v>
      </c>
      <c r="Z493" s="37" t="n">
        <f aca="false">(Y493/Q493)*100</f>
        <v>58.4835569668057</v>
      </c>
      <c r="AA493" s="37" t="s">
        <v>52</v>
      </c>
      <c r="AB493" s="1" t="s">
        <v>66</v>
      </c>
      <c r="AC493" s="1" t="s">
        <v>2556</v>
      </c>
      <c r="AD493" s="1" t="n">
        <v>43421</v>
      </c>
      <c r="AE493" s="37" t="n">
        <f aca="false">(AD493/Q493)*100</f>
        <v>33.4648673227952</v>
      </c>
      <c r="AF493" s="37" t="s">
        <v>1431</v>
      </c>
      <c r="AG493" s="1" t="s">
        <v>171</v>
      </c>
      <c r="AH493" s="1" t="s">
        <v>2557</v>
      </c>
      <c r="AI493" s="1" t="n">
        <v>4575</v>
      </c>
      <c r="AJ493" s="37" t="n">
        <f aca="false">(AI493/Q493)*100</f>
        <v>3.5259843854768</v>
      </c>
      <c r="AK493" s="37" t="s">
        <v>197</v>
      </c>
      <c r="AL493" s="1" t="s">
        <v>197</v>
      </c>
      <c r="AM493" s="1" t="s">
        <v>2558</v>
      </c>
      <c r="AN493" s="1" t="n">
        <v>1305</v>
      </c>
      <c r="AO493" s="37" t="n">
        <f aca="false">(AN493/Q493)*100</f>
        <v>1.00577259520158</v>
      </c>
      <c r="AP493" s="37" t="s">
        <v>179</v>
      </c>
      <c r="AQ493" s="1" t="s">
        <v>179</v>
      </c>
      <c r="AR493" s="1" t="s">
        <v>2559</v>
      </c>
      <c r="AS493" s="1" t="n">
        <v>958</v>
      </c>
      <c r="AT493" s="37" t="n">
        <f aca="false">(AS493/Q493)*100</f>
        <v>0.738337276783994</v>
      </c>
    </row>
    <row r="494" customFormat="false" ht="12.8" hidden="false" customHeight="true" outlineLevel="0" collapsed="false">
      <c r="A494" s="35" t="n">
        <v>2011</v>
      </c>
      <c r="B494" s="36" t="n">
        <v>25</v>
      </c>
      <c r="C494" s="1" t="s">
        <v>210</v>
      </c>
      <c r="D494" s="1" t="s">
        <v>100</v>
      </c>
      <c r="E494" s="9" t="s">
        <v>100</v>
      </c>
      <c r="F494" s="1" t="s">
        <v>192</v>
      </c>
      <c r="G494" s="1" t="s">
        <v>125</v>
      </c>
      <c r="H494" s="1" t="s">
        <v>51</v>
      </c>
      <c r="I494" s="1" t="s">
        <v>51</v>
      </c>
      <c r="J494" s="1" t="s">
        <v>51</v>
      </c>
      <c r="K494" s="1" t="s">
        <v>51</v>
      </c>
      <c r="L494" s="1" t="s">
        <v>51</v>
      </c>
      <c r="M494" s="1" t="s">
        <v>51</v>
      </c>
      <c r="N494" s="1" t="s">
        <v>51</v>
      </c>
      <c r="O494" s="1" t="s">
        <v>51</v>
      </c>
      <c r="P494" s="1" t="n">
        <v>215350</v>
      </c>
      <c r="Q494" s="1" t="n">
        <v>142882</v>
      </c>
      <c r="R494" s="37" t="n">
        <f aca="false">(Q494/P494)*100</f>
        <v>66.3487346180636</v>
      </c>
      <c r="S494" s="1" t="n">
        <f aca="false">Y494-AD494</f>
        <v>29204</v>
      </c>
      <c r="T494" s="37" t="n">
        <f aca="false">(S494/Q494)*100</f>
        <v>20.4392435716185</v>
      </c>
      <c r="U494" s="37" t="n">
        <f aca="false">Z494+AE494</f>
        <v>91.6294564745734</v>
      </c>
      <c r="V494" s="1" t="s">
        <v>55</v>
      </c>
      <c r="W494" s="1" t="s">
        <v>68</v>
      </c>
      <c r="X494" s="1" t="s">
        <v>2560</v>
      </c>
      <c r="Y494" s="1" t="n">
        <v>80063</v>
      </c>
      <c r="Z494" s="37" t="n">
        <f aca="false">(Y494/Q494)*100</f>
        <v>56.034350023096</v>
      </c>
      <c r="AA494" s="37" t="s">
        <v>52</v>
      </c>
      <c r="AB494" s="1" t="s">
        <v>66</v>
      </c>
      <c r="AC494" s="1" t="s">
        <v>2561</v>
      </c>
      <c r="AD494" s="1" t="n">
        <v>50859</v>
      </c>
      <c r="AE494" s="37" t="n">
        <f aca="false">(AD494/Q494)*100</f>
        <v>35.5951064514774</v>
      </c>
      <c r="AF494" s="37" t="s">
        <v>1431</v>
      </c>
      <c r="AG494" s="1" t="s">
        <v>171</v>
      </c>
      <c r="AH494" s="1" t="s">
        <v>805</v>
      </c>
      <c r="AI494" s="1" t="n">
        <v>6911</v>
      </c>
      <c r="AJ494" s="37" t="n">
        <f aca="false">(AI494/Q494)*100</f>
        <v>4.83685838664072</v>
      </c>
      <c r="AK494" s="37" t="s">
        <v>197</v>
      </c>
      <c r="AL494" s="1" t="s">
        <v>2512</v>
      </c>
      <c r="AM494" s="1" t="s">
        <v>2562</v>
      </c>
      <c r="AN494" s="1" t="n">
        <v>1340</v>
      </c>
      <c r="AO494" s="37" t="n">
        <f aca="false">(AN494/Q494)*100</f>
        <v>0.937836816393947</v>
      </c>
      <c r="AP494" s="37" t="s">
        <v>197</v>
      </c>
      <c r="AQ494" s="1" t="s">
        <v>197</v>
      </c>
      <c r="AR494" s="1" t="s">
        <v>2563</v>
      </c>
      <c r="AS494" s="1" t="n">
        <v>527</v>
      </c>
      <c r="AT494" s="37" t="n">
        <f aca="false">(AS494/Q494)*100</f>
        <v>0.368835822566873</v>
      </c>
    </row>
    <row r="495" customFormat="false" ht="12.8" hidden="false" customHeight="true" outlineLevel="0" collapsed="false">
      <c r="A495" s="35" t="n">
        <v>2011</v>
      </c>
      <c r="B495" s="36" t="n">
        <v>26</v>
      </c>
      <c r="C495" s="1" t="s">
        <v>215</v>
      </c>
      <c r="D495" s="1" t="s">
        <v>100</v>
      </c>
      <c r="E495" s="9" t="s">
        <v>100</v>
      </c>
      <c r="F495" s="1" t="s">
        <v>192</v>
      </c>
      <c r="G495" s="1" t="s">
        <v>125</v>
      </c>
      <c r="H495" s="1" t="s">
        <v>51</v>
      </c>
      <c r="I495" s="1" t="s">
        <v>51</v>
      </c>
      <c r="J495" s="1" t="s">
        <v>51</v>
      </c>
      <c r="K495" s="1" t="s">
        <v>51</v>
      </c>
      <c r="L495" s="1" t="s">
        <v>51</v>
      </c>
      <c r="M495" s="1" t="s">
        <v>51</v>
      </c>
      <c r="N495" s="1" t="s">
        <v>51</v>
      </c>
      <c r="O495" s="1" t="s">
        <v>51</v>
      </c>
      <c r="P495" s="1" t="n">
        <v>227249</v>
      </c>
      <c r="Q495" s="1" t="n">
        <v>152364</v>
      </c>
      <c r="R495" s="37" t="n">
        <f aca="false">(Q495/P495)*100</f>
        <v>67.0471597234751</v>
      </c>
      <c r="S495" s="1" t="n">
        <f aca="false">Y495-AD495</f>
        <v>31720</v>
      </c>
      <c r="T495" s="37" t="n">
        <f aca="false">(S495/Q495)*100</f>
        <v>20.8185660654748</v>
      </c>
      <c r="U495" s="37" t="n">
        <f aca="false">Z495+AE495</f>
        <v>87.0087422225723</v>
      </c>
      <c r="V495" s="1" t="s">
        <v>55</v>
      </c>
      <c r="W495" s="1" t="s">
        <v>68</v>
      </c>
      <c r="X495" s="1" t="s">
        <v>2564</v>
      </c>
      <c r="Y495" s="1" t="n">
        <v>82145</v>
      </c>
      <c r="Z495" s="37" t="n">
        <f aca="false">(Y495/Q495)*100</f>
        <v>53.9136541440235</v>
      </c>
      <c r="AA495" s="37" t="s">
        <v>52</v>
      </c>
      <c r="AB495" s="1" t="s">
        <v>56</v>
      </c>
      <c r="AC495" s="1" t="s">
        <v>2565</v>
      </c>
      <c r="AD495" s="1" t="n">
        <v>50425</v>
      </c>
      <c r="AE495" s="37" t="n">
        <f aca="false">(AD495/Q495)*100</f>
        <v>33.0950880785487</v>
      </c>
      <c r="AF495" s="37" t="s">
        <v>197</v>
      </c>
      <c r="AG495" s="1" t="s">
        <v>197</v>
      </c>
      <c r="AH495" s="1" t="s">
        <v>2566</v>
      </c>
      <c r="AI495" s="1" t="n">
        <v>7472</v>
      </c>
      <c r="AJ495" s="37" t="n">
        <f aca="false">(AI495/Q495)*100</f>
        <v>4.90404557507023</v>
      </c>
      <c r="AK495" s="37" t="s">
        <v>1431</v>
      </c>
      <c r="AL495" s="1" t="s">
        <v>171</v>
      </c>
      <c r="AM495" s="1" t="s">
        <v>2567</v>
      </c>
      <c r="AN495" s="1" t="n">
        <v>7048</v>
      </c>
      <c r="AO495" s="37" t="n">
        <f aca="false">(AN495/Q495)*100</f>
        <v>4.62576461631357</v>
      </c>
      <c r="AP495" s="37" t="s">
        <v>197</v>
      </c>
      <c r="AQ495" s="1" t="s">
        <v>2512</v>
      </c>
      <c r="AR495" s="1" t="s">
        <v>2568</v>
      </c>
      <c r="AS495" s="1" t="n">
        <v>1225</v>
      </c>
      <c r="AT495" s="37" t="n">
        <f aca="false">(AS495/Q495)*100</f>
        <v>0.803995694521015</v>
      </c>
    </row>
    <row r="496" customFormat="false" ht="12.8" hidden="false" customHeight="true" outlineLevel="0" collapsed="false">
      <c r="A496" s="35" t="n">
        <v>2011</v>
      </c>
      <c r="B496" s="36" t="n">
        <v>27</v>
      </c>
      <c r="C496" s="1" t="s">
        <v>221</v>
      </c>
      <c r="D496" s="1" t="s">
        <v>100</v>
      </c>
      <c r="E496" s="9" t="s">
        <v>100</v>
      </c>
      <c r="F496" s="1" t="s">
        <v>192</v>
      </c>
      <c r="G496" s="1" t="s">
        <v>88</v>
      </c>
      <c r="H496" s="1" t="s">
        <v>51</v>
      </c>
      <c r="I496" s="1" t="s">
        <v>51</v>
      </c>
      <c r="J496" s="1" t="s">
        <v>51</v>
      </c>
      <c r="K496" s="1" t="s">
        <v>51</v>
      </c>
      <c r="L496" s="1" t="s">
        <v>51</v>
      </c>
      <c r="M496" s="1" t="s">
        <v>51</v>
      </c>
      <c r="N496" s="1" t="s">
        <v>51</v>
      </c>
      <c r="O496" s="1" t="s">
        <v>51</v>
      </c>
      <c r="P496" s="1" t="n">
        <v>357660</v>
      </c>
      <c r="Q496" s="1" t="n">
        <v>240583</v>
      </c>
      <c r="R496" s="37" t="n">
        <f aca="false">(Q496/P496)*100</f>
        <v>67.2658390650338</v>
      </c>
      <c r="S496" s="1" t="n">
        <f aca="false">Y496-AD496</f>
        <v>66972</v>
      </c>
      <c r="T496" s="37" t="n">
        <f aca="false">(S496/Q496)*100</f>
        <v>27.8373783683801</v>
      </c>
      <c r="U496" s="37" t="n">
        <f aca="false">Z496+AE496</f>
        <v>93.023197815307</v>
      </c>
      <c r="V496" s="1" t="s">
        <v>55</v>
      </c>
      <c r="W496" s="1" t="s">
        <v>68</v>
      </c>
      <c r="X496" s="1" t="s">
        <v>2569</v>
      </c>
      <c r="Y496" s="1" t="n">
        <v>145385</v>
      </c>
      <c r="Z496" s="37" t="n">
        <f aca="false">(Y496/Q496)*100</f>
        <v>60.4302880918436</v>
      </c>
      <c r="AA496" s="37" t="s">
        <v>52</v>
      </c>
      <c r="AB496" s="1" t="s">
        <v>257</v>
      </c>
      <c r="AC496" s="1" t="s">
        <v>2570</v>
      </c>
      <c r="AD496" s="1" t="n">
        <v>78413</v>
      </c>
      <c r="AE496" s="37" t="n">
        <f aca="false">(AD496/Q496)*100</f>
        <v>32.5929097234634</v>
      </c>
      <c r="AF496" s="37" t="s">
        <v>1431</v>
      </c>
      <c r="AG496" s="1" t="s">
        <v>171</v>
      </c>
      <c r="AH496" s="1" t="s">
        <v>2571</v>
      </c>
      <c r="AI496" s="1" t="n">
        <v>7275</v>
      </c>
      <c r="AJ496" s="37" t="n">
        <f aca="false">(AI496/Q496)*100</f>
        <v>3.02390443215024</v>
      </c>
      <c r="AK496" s="37" t="s">
        <v>85</v>
      </c>
      <c r="AL496" s="1" t="s">
        <v>85</v>
      </c>
      <c r="AM496" s="1" t="s">
        <v>2572</v>
      </c>
      <c r="AN496" s="1" t="n">
        <v>1983</v>
      </c>
      <c r="AO496" s="37" t="n">
        <f aca="false">(AN496/Q496)*100</f>
        <v>0.824247764804662</v>
      </c>
      <c r="AP496" s="37" t="s">
        <v>179</v>
      </c>
      <c r="AQ496" s="1" t="s">
        <v>179</v>
      </c>
      <c r="AR496" s="1" t="s">
        <v>2573</v>
      </c>
      <c r="AS496" s="1" t="n">
        <v>1666</v>
      </c>
      <c r="AT496" s="37" t="n">
        <f aca="false">(AS496/Q496)*100</f>
        <v>0.692484506386569</v>
      </c>
    </row>
    <row r="497" customFormat="false" ht="12.8" hidden="false" customHeight="true" outlineLevel="0" collapsed="false">
      <c r="A497" s="35" t="n">
        <v>2011</v>
      </c>
      <c r="B497" s="36" t="n">
        <v>28</v>
      </c>
      <c r="C497" s="1" t="s">
        <v>227</v>
      </c>
      <c r="D497" s="1" t="s">
        <v>100</v>
      </c>
      <c r="E497" s="9" t="s">
        <v>100</v>
      </c>
      <c r="F497" s="1" t="s">
        <v>192</v>
      </c>
      <c r="G497" s="1" t="s">
        <v>88</v>
      </c>
      <c r="H497" s="1" t="s">
        <v>51</v>
      </c>
      <c r="I497" s="1" t="s">
        <v>51</v>
      </c>
      <c r="J497" s="1" t="s">
        <v>51</v>
      </c>
      <c r="K497" s="1" t="s">
        <v>51</v>
      </c>
      <c r="L497" s="1" t="s">
        <v>51</v>
      </c>
      <c r="M497" s="1" t="s">
        <v>51</v>
      </c>
      <c r="N497" s="1" t="s">
        <v>51</v>
      </c>
      <c r="O497" s="1" t="s">
        <v>228</v>
      </c>
      <c r="P497" s="1" t="n">
        <v>239939</v>
      </c>
      <c r="Q497" s="1" t="n">
        <v>168135</v>
      </c>
      <c r="R497" s="37" t="n">
        <f aca="false">(Q497/P497)*100</f>
        <v>70.0740604903746</v>
      </c>
      <c r="S497" s="1" t="n">
        <f aca="false">Y497-AD497</f>
        <v>5754</v>
      </c>
      <c r="T497" s="37" t="n">
        <f aca="false">(S497/Q497)*100</f>
        <v>3.42224997769649</v>
      </c>
      <c r="U497" s="37" t="n">
        <f aca="false">Z497+AE497</f>
        <v>87.6200672078984</v>
      </c>
      <c r="V497" s="1" t="s">
        <v>55</v>
      </c>
      <c r="W497" s="1" t="s">
        <v>61</v>
      </c>
      <c r="X497" s="1" t="s">
        <v>2574</v>
      </c>
      <c r="Y497" s="1" t="n">
        <v>76537</v>
      </c>
      <c r="Z497" s="37" t="n">
        <f aca="false">(Y497/Q497)*100</f>
        <v>45.5211585927975</v>
      </c>
      <c r="AA497" s="37" t="s">
        <v>52</v>
      </c>
      <c r="AB497" s="1" t="s">
        <v>66</v>
      </c>
      <c r="AC497" s="1" t="s">
        <v>2575</v>
      </c>
      <c r="AD497" s="1" t="n">
        <v>70783</v>
      </c>
      <c r="AE497" s="37" t="n">
        <f aca="false">(AD497/Q497)*100</f>
        <v>42.098908615101</v>
      </c>
      <c r="AF497" s="37" t="s">
        <v>1431</v>
      </c>
      <c r="AG497" s="1" t="s">
        <v>171</v>
      </c>
      <c r="AH497" s="1" t="s">
        <v>2576</v>
      </c>
      <c r="AI497" s="1" t="n">
        <v>9628</v>
      </c>
      <c r="AJ497" s="37" t="n">
        <f aca="false">(AI497/Q497)*100</f>
        <v>5.72635084902013</v>
      </c>
      <c r="AK497" s="37" t="s">
        <v>197</v>
      </c>
      <c r="AL497" s="1" t="s">
        <v>197</v>
      </c>
      <c r="AM497" s="1" t="s">
        <v>2577</v>
      </c>
      <c r="AN497" s="1" t="n">
        <v>2731</v>
      </c>
      <c r="AO497" s="37" t="n">
        <f aca="false">(AN497/Q497)*100</f>
        <v>1.62429000505546</v>
      </c>
      <c r="AP497" s="37" t="s">
        <v>197</v>
      </c>
      <c r="AQ497" s="1" t="s">
        <v>2470</v>
      </c>
      <c r="AR497" s="1" t="s">
        <v>2578</v>
      </c>
      <c r="AS497" s="1" t="n">
        <v>1817</v>
      </c>
      <c r="AT497" s="37" t="n">
        <f aca="false">(AS497/Q497)*100</f>
        <v>1.08067921610611</v>
      </c>
    </row>
    <row r="498" customFormat="false" ht="12.8" hidden="false" customHeight="true" outlineLevel="0" collapsed="false">
      <c r="A498" s="35" t="n">
        <v>2011</v>
      </c>
      <c r="B498" s="36" t="n">
        <v>29</v>
      </c>
      <c r="C498" s="1" t="s">
        <v>233</v>
      </c>
      <c r="D498" s="1" t="s">
        <v>234</v>
      </c>
      <c r="E498" s="1" t="s">
        <v>48</v>
      </c>
      <c r="F498" s="1" t="s">
        <v>49</v>
      </c>
      <c r="G498" s="1" t="s">
        <v>77</v>
      </c>
      <c r="H498" s="1" t="s">
        <v>65</v>
      </c>
      <c r="I498" s="1" t="s">
        <v>51</v>
      </c>
      <c r="J498" s="1" t="s">
        <v>51</v>
      </c>
      <c r="K498" s="1" t="s">
        <v>51</v>
      </c>
      <c r="L498" s="1" t="s">
        <v>51</v>
      </c>
      <c r="M498" s="1" t="s">
        <v>51</v>
      </c>
      <c r="N498" s="1" t="s">
        <v>51</v>
      </c>
      <c r="O498" s="1" t="s">
        <v>51</v>
      </c>
      <c r="P498" s="1" t="n">
        <v>210457</v>
      </c>
      <c r="Q498" s="1" t="n">
        <v>172263</v>
      </c>
      <c r="R498" s="37" t="n">
        <f aca="false">(Q498/P498)*100</f>
        <v>81.8518747297548</v>
      </c>
      <c r="S498" s="1" t="n">
        <f aca="false">Y498-AD498</f>
        <v>40932</v>
      </c>
      <c r="T498" s="37" t="n">
        <f aca="false">(S498/Q498)*100</f>
        <v>23.7613416694241</v>
      </c>
      <c r="U498" s="37" t="n">
        <f aca="false">Z498+AE498</f>
        <v>94.3731387471483</v>
      </c>
      <c r="V498" s="1" t="s">
        <v>55</v>
      </c>
      <c r="W498" s="1" t="s">
        <v>68</v>
      </c>
      <c r="X498" s="1" t="s">
        <v>2579</v>
      </c>
      <c r="Y498" s="1" t="n">
        <v>101751</v>
      </c>
      <c r="Z498" s="37" t="n">
        <f aca="false">(Y498/Q498)*100</f>
        <v>59.0672402082862</v>
      </c>
      <c r="AA498" s="37" t="s">
        <v>52</v>
      </c>
      <c r="AB498" s="1" t="s">
        <v>66</v>
      </c>
      <c r="AC498" s="1" t="s">
        <v>2580</v>
      </c>
      <c r="AD498" s="1" t="n">
        <v>60819</v>
      </c>
      <c r="AE498" s="37" t="n">
        <f aca="false">(AD498/Q498)*100</f>
        <v>35.3058985388621</v>
      </c>
      <c r="AF498" s="37" t="s">
        <v>197</v>
      </c>
      <c r="AG498" s="1" t="s">
        <v>2470</v>
      </c>
      <c r="AH498" s="1" t="s">
        <v>2581</v>
      </c>
      <c r="AI498" s="1" t="n">
        <v>2968</v>
      </c>
      <c r="AJ498" s="37" t="n">
        <f aca="false">(AI498/Q498)*100</f>
        <v>1.72294688934942</v>
      </c>
      <c r="AK498" s="37" t="s">
        <v>1431</v>
      </c>
      <c r="AL498" s="1" t="s">
        <v>171</v>
      </c>
      <c r="AM498" s="1" t="s">
        <v>2582</v>
      </c>
      <c r="AN498" s="1" t="n">
        <v>2072</v>
      </c>
      <c r="AO498" s="37" t="n">
        <f aca="false">(AN498/Q498)*100</f>
        <v>1.20281197935715</v>
      </c>
      <c r="AP498" s="37" t="s">
        <v>197</v>
      </c>
      <c r="AQ498" s="1" t="s">
        <v>197</v>
      </c>
      <c r="AR498" s="1" t="s">
        <v>2583</v>
      </c>
      <c r="AS498" s="1" t="n">
        <v>960</v>
      </c>
      <c r="AT498" s="37" t="n">
        <f aca="false">(AS498/Q498)*100</f>
        <v>0.557287403563156</v>
      </c>
    </row>
    <row r="499" customFormat="false" ht="12.8" hidden="false" customHeight="true" outlineLevel="0" collapsed="false">
      <c r="A499" s="35" t="n">
        <v>2011</v>
      </c>
      <c r="B499" s="36" t="n">
        <v>30</v>
      </c>
      <c r="C499" s="1" t="s">
        <v>240</v>
      </c>
      <c r="D499" s="1" t="s">
        <v>241</v>
      </c>
      <c r="E499" s="1" t="s">
        <v>48</v>
      </c>
      <c r="F499" s="1" t="s">
        <v>49</v>
      </c>
      <c r="G499" s="1" t="s">
        <v>88</v>
      </c>
      <c r="H499" s="1" t="s">
        <v>51</v>
      </c>
      <c r="I499" s="1" t="s">
        <v>51</v>
      </c>
      <c r="J499" s="1" t="s">
        <v>51</v>
      </c>
      <c r="K499" s="1" t="s">
        <v>51</v>
      </c>
      <c r="L499" s="1" t="s">
        <v>51</v>
      </c>
      <c r="M499" s="1" t="s">
        <v>51</v>
      </c>
      <c r="N499" s="1" t="s">
        <v>51</v>
      </c>
      <c r="O499" s="1" t="s">
        <v>51</v>
      </c>
      <c r="P499" s="1" t="n">
        <v>277671</v>
      </c>
      <c r="Q499" s="1" t="n">
        <v>200455</v>
      </c>
      <c r="R499" s="37" t="n">
        <f aca="false">(Q499/P499)*100</f>
        <v>72.191550431986</v>
      </c>
      <c r="S499" s="1" t="n">
        <f aca="false">Y499-AD499</f>
        <v>17374</v>
      </c>
      <c r="T499" s="37" t="n">
        <f aca="false">(S499/Q499)*100</f>
        <v>8.66728193360106</v>
      </c>
      <c r="U499" s="37" t="n">
        <f aca="false">Z499+AE499</f>
        <v>96.7239530069093</v>
      </c>
      <c r="V499" s="1" t="s">
        <v>55</v>
      </c>
      <c r="W499" s="1" t="s">
        <v>68</v>
      </c>
      <c r="X499" s="1" t="s">
        <v>2584</v>
      </c>
      <c r="Y499" s="1" t="n">
        <v>105631</v>
      </c>
      <c r="Z499" s="37" t="n">
        <f aca="false">(Y499/Q499)*100</f>
        <v>52.6956174702552</v>
      </c>
      <c r="AA499" s="37" t="s">
        <v>52</v>
      </c>
      <c r="AB499" s="1" t="s">
        <v>53</v>
      </c>
      <c r="AC499" s="1" t="s">
        <v>2585</v>
      </c>
      <c r="AD499" s="1" t="n">
        <v>88257</v>
      </c>
      <c r="AE499" s="37" t="n">
        <f aca="false">(AD499/Q499)*100</f>
        <v>44.0283355366541</v>
      </c>
      <c r="AF499" s="37" t="s">
        <v>197</v>
      </c>
      <c r="AG499" s="1" t="s">
        <v>2512</v>
      </c>
      <c r="AH499" s="1" t="s">
        <v>2586</v>
      </c>
      <c r="AI499" s="1" t="n">
        <v>1082</v>
      </c>
      <c r="AJ499" s="37" t="n">
        <f aca="false">(AI499/Q499)*100</f>
        <v>0.539772018657554</v>
      </c>
      <c r="AK499" s="37" t="s">
        <v>85</v>
      </c>
      <c r="AL499" s="1" t="s">
        <v>85</v>
      </c>
      <c r="AM499" s="1" t="s">
        <v>2587</v>
      </c>
      <c r="AN499" s="1" t="n">
        <v>1074</v>
      </c>
      <c r="AO499" s="37" t="n">
        <f aca="false">(AN499/Q499)*100</f>
        <v>0.535781098002045</v>
      </c>
      <c r="AP499" s="37" t="s">
        <v>179</v>
      </c>
      <c r="AQ499" s="1" t="s">
        <v>179</v>
      </c>
      <c r="AR499" s="1" t="s">
        <v>2588</v>
      </c>
      <c r="AS499" s="1" t="n">
        <v>1052</v>
      </c>
      <c r="AT499" s="37" t="n">
        <f aca="false">(AS499/Q499)*100</f>
        <v>0.524806066199396</v>
      </c>
    </row>
    <row r="500" customFormat="false" ht="12.8" hidden="false" customHeight="true" outlineLevel="0" collapsed="false">
      <c r="A500" s="35" t="n">
        <v>2011</v>
      </c>
      <c r="B500" s="36" t="n">
        <v>31</v>
      </c>
      <c r="C500" s="1" t="s">
        <v>246</v>
      </c>
      <c r="D500" s="1" t="s">
        <v>241</v>
      </c>
      <c r="E500" s="1" t="s">
        <v>48</v>
      </c>
      <c r="F500" s="1" t="s">
        <v>49</v>
      </c>
      <c r="G500" s="1" t="s">
        <v>88</v>
      </c>
      <c r="H500" s="1" t="s">
        <v>51</v>
      </c>
      <c r="I500" s="1" t="s">
        <v>51</v>
      </c>
      <c r="J500" s="1" t="s">
        <v>51</v>
      </c>
      <c r="K500" s="1" t="s">
        <v>51</v>
      </c>
      <c r="L500" s="1" t="s">
        <v>51</v>
      </c>
      <c r="M500" s="1" t="s">
        <v>51</v>
      </c>
      <c r="N500" s="1" t="s">
        <v>51</v>
      </c>
      <c r="O500" s="1" t="s">
        <v>51</v>
      </c>
      <c r="P500" s="1" t="n">
        <v>255030</v>
      </c>
      <c r="Q500" s="1" t="n">
        <v>178230</v>
      </c>
      <c r="R500" s="37" t="n">
        <f aca="false">(Q500/P500)*100</f>
        <v>69.8858957769674</v>
      </c>
      <c r="S500" s="1" t="n">
        <f aca="false">Y500-AD500</f>
        <v>13984</v>
      </c>
      <c r="T500" s="37" t="n">
        <f aca="false">(S500/Q500)*100</f>
        <v>7.84604163159962</v>
      </c>
      <c r="U500" s="37" t="n">
        <f aca="false">Z500+AE500</f>
        <v>95.0569488862706</v>
      </c>
      <c r="V500" s="1" t="s">
        <v>55</v>
      </c>
      <c r="W500" s="1" t="s">
        <v>68</v>
      </c>
      <c r="X500" s="1" t="s">
        <v>248</v>
      </c>
      <c r="Y500" s="1" t="n">
        <v>91702</v>
      </c>
      <c r="Z500" s="37" t="n">
        <f aca="false">(Y500/Q500)*100</f>
        <v>51.4514952589351</v>
      </c>
      <c r="AA500" s="37" t="s">
        <v>52</v>
      </c>
      <c r="AB500" s="1" t="s">
        <v>53</v>
      </c>
      <c r="AC500" s="1" t="s">
        <v>2589</v>
      </c>
      <c r="AD500" s="1" t="n">
        <v>77718</v>
      </c>
      <c r="AE500" s="37" t="n">
        <f aca="false">(AD500/Q500)*100</f>
        <v>43.6054536273355</v>
      </c>
      <c r="AF500" s="37" t="s">
        <v>1431</v>
      </c>
      <c r="AG500" s="1" t="s">
        <v>171</v>
      </c>
      <c r="AH500" s="1" t="s">
        <v>2590</v>
      </c>
      <c r="AI500" s="1" t="n">
        <v>3061</v>
      </c>
      <c r="AJ500" s="37" t="n">
        <f aca="false">(AI500/Q500)*100</f>
        <v>1.71744375245469</v>
      </c>
      <c r="AK500" s="37" t="s">
        <v>197</v>
      </c>
      <c r="AL500" s="1" t="s">
        <v>2591</v>
      </c>
      <c r="AM500" s="1" t="s">
        <v>2592</v>
      </c>
      <c r="AN500" s="1" t="n">
        <v>1449</v>
      </c>
      <c r="AO500" s="37" t="n">
        <f aca="false">(AN500/Q500)*100</f>
        <v>0.812994445379566</v>
      </c>
      <c r="AP500" s="37" t="s">
        <v>179</v>
      </c>
      <c r="AQ500" s="1" t="s">
        <v>179</v>
      </c>
      <c r="AR500" s="1" t="s">
        <v>2593</v>
      </c>
      <c r="AS500" s="1" t="n">
        <v>955</v>
      </c>
      <c r="AT500" s="37" t="n">
        <f aca="false">(AS500/Q500)*100</f>
        <v>0.535824496437188</v>
      </c>
    </row>
    <row r="501" customFormat="false" ht="12.8" hidden="false" customHeight="true" outlineLevel="0" collapsed="false">
      <c r="A501" s="35" t="n">
        <v>2011</v>
      </c>
      <c r="B501" s="36" t="n">
        <v>32</v>
      </c>
      <c r="C501" s="1" t="s">
        <v>241</v>
      </c>
      <c r="D501" s="1" t="s">
        <v>241</v>
      </c>
      <c r="E501" s="1" t="s">
        <v>48</v>
      </c>
      <c r="F501" s="1" t="s">
        <v>49</v>
      </c>
      <c r="G501" s="1" t="s">
        <v>77</v>
      </c>
      <c r="H501" s="1" t="s">
        <v>51</v>
      </c>
      <c r="I501" s="1" t="s">
        <v>51</v>
      </c>
      <c r="J501" s="1" t="s">
        <v>51</v>
      </c>
      <c r="K501" s="1" t="s">
        <v>51</v>
      </c>
      <c r="L501" s="1" t="s">
        <v>68</v>
      </c>
      <c r="M501" s="1" t="s">
        <v>51</v>
      </c>
      <c r="N501" s="1" t="s">
        <v>51</v>
      </c>
      <c r="O501" s="1" t="s">
        <v>51</v>
      </c>
      <c r="P501" s="1" t="n">
        <v>252409</v>
      </c>
      <c r="Q501" s="1" t="n">
        <v>186867</v>
      </c>
      <c r="R501" s="37" t="n">
        <f aca="false">(Q501/P501)*100</f>
        <v>74.0334140224794</v>
      </c>
      <c r="S501" s="1" t="n">
        <f aca="false">Y501-AD501</f>
        <v>291</v>
      </c>
      <c r="T501" s="37" t="n">
        <f aca="false">(S501/Q501)*100</f>
        <v>0.155725730064698</v>
      </c>
      <c r="U501" s="37" t="n">
        <f aca="false">Z501+AE501</f>
        <v>88.9953817420947</v>
      </c>
      <c r="V501" s="1" t="s">
        <v>55</v>
      </c>
      <c r="W501" s="1" t="s">
        <v>61</v>
      </c>
      <c r="X501" s="1" t="s">
        <v>2594</v>
      </c>
      <c r="Y501" s="1" t="n">
        <v>83297</v>
      </c>
      <c r="Z501" s="37" t="n">
        <f aca="false">(Y501/Q501)*100</f>
        <v>44.5755537360797</v>
      </c>
      <c r="AA501" s="37" t="s">
        <v>52</v>
      </c>
      <c r="AB501" s="1" t="s">
        <v>56</v>
      </c>
      <c r="AC501" s="1" t="s">
        <v>2595</v>
      </c>
      <c r="AD501" s="1" t="n">
        <v>83006</v>
      </c>
      <c r="AE501" s="37" t="n">
        <f aca="false">(AD501/Q501)*100</f>
        <v>44.419828006015</v>
      </c>
      <c r="AF501" s="37" t="s">
        <v>197</v>
      </c>
      <c r="AG501" s="1" t="s">
        <v>2596</v>
      </c>
      <c r="AH501" s="1" t="s">
        <v>2597</v>
      </c>
      <c r="AI501" s="1" t="n">
        <v>4124</v>
      </c>
      <c r="AJ501" s="37" t="n">
        <f aca="false">(AI501/Q501)*100</f>
        <v>2.20691721919868</v>
      </c>
      <c r="AK501" s="37" t="s">
        <v>1431</v>
      </c>
      <c r="AL501" s="1" t="s">
        <v>171</v>
      </c>
      <c r="AM501" s="1" t="s">
        <v>2598</v>
      </c>
      <c r="AN501" s="1" t="n">
        <v>4073</v>
      </c>
      <c r="AO501" s="37" t="n">
        <f aca="false">(AN501/Q501)*100</f>
        <v>2.17962508093992</v>
      </c>
      <c r="AP501" s="37" t="s">
        <v>197</v>
      </c>
      <c r="AQ501" s="1" t="s">
        <v>197</v>
      </c>
      <c r="AR501" s="1" t="s">
        <v>226</v>
      </c>
      <c r="AS501" s="1" t="n">
        <v>3597</v>
      </c>
      <c r="AT501" s="37" t="n">
        <f aca="false">(AS501/Q501)*100</f>
        <v>1.92489845719148</v>
      </c>
    </row>
    <row r="502" customFormat="false" ht="12.8" hidden="false" customHeight="true" outlineLevel="0" collapsed="false">
      <c r="A502" s="35" t="n">
        <v>2011</v>
      </c>
      <c r="B502" s="36" t="n">
        <v>33</v>
      </c>
      <c r="C502" s="1" t="s">
        <v>256</v>
      </c>
      <c r="D502" s="1" t="s">
        <v>241</v>
      </c>
      <c r="E502" s="1" t="s">
        <v>48</v>
      </c>
      <c r="F502" s="1" t="s">
        <v>49</v>
      </c>
      <c r="G502" s="1" t="s">
        <v>50</v>
      </c>
      <c r="H502" s="1" t="s">
        <v>51</v>
      </c>
      <c r="I502" s="1" t="s">
        <v>51</v>
      </c>
      <c r="J502" s="1" t="s">
        <v>51</v>
      </c>
      <c r="K502" s="1" t="s">
        <v>51</v>
      </c>
      <c r="L502" s="1" t="s">
        <v>51</v>
      </c>
      <c r="M502" s="1" t="s">
        <v>51</v>
      </c>
      <c r="N502" s="1" t="s">
        <v>51</v>
      </c>
      <c r="O502" s="1" t="s">
        <v>51</v>
      </c>
      <c r="P502" s="1" t="n">
        <v>192007</v>
      </c>
      <c r="Q502" s="1" t="n">
        <v>158639</v>
      </c>
      <c r="R502" s="37" t="n">
        <f aca="false">(Q502/P502)*100</f>
        <v>82.621466925685</v>
      </c>
      <c r="S502" s="1" t="n">
        <f aca="false">Y502-AD502</f>
        <v>18288</v>
      </c>
      <c r="T502" s="37" t="n">
        <f aca="false">(S502/Q502)*100</f>
        <v>11.5280605651826</v>
      </c>
      <c r="U502" s="37" t="n">
        <f aca="false">Z502+AE502</f>
        <v>94.5858206367917</v>
      </c>
      <c r="V502" s="1" t="s">
        <v>55</v>
      </c>
      <c r="W502" s="1" t="s">
        <v>68</v>
      </c>
      <c r="X502" s="1" t="s">
        <v>2599</v>
      </c>
      <c r="Y502" s="1" t="n">
        <v>84169</v>
      </c>
      <c r="Z502" s="37" t="n">
        <f aca="false">(Y502/Q502)*100</f>
        <v>53.0569406009872</v>
      </c>
      <c r="AA502" s="37" t="s">
        <v>52</v>
      </c>
      <c r="AB502" s="1" t="s">
        <v>56</v>
      </c>
      <c r="AC502" s="1" t="s">
        <v>259</v>
      </c>
      <c r="AD502" s="1" t="n">
        <v>65881</v>
      </c>
      <c r="AE502" s="37" t="n">
        <f aca="false">(AD502/Q502)*100</f>
        <v>41.5288800358046</v>
      </c>
      <c r="AF502" s="37" t="s">
        <v>197</v>
      </c>
      <c r="AG502" s="1" t="s">
        <v>2470</v>
      </c>
      <c r="AH502" s="1" t="s">
        <v>2600</v>
      </c>
      <c r="AI502" s="1" t="n">
        <v>1598</v>
      </c>
      <c r="AJ502" s="37" t="n">
        <f aca="false">(AI502/Q502)*100</f>
        <v>1.00731850301628</v>
      </c>
      <c r="AK502" s="37" t="s">
        <v>1431</v>
      </c>
      <c r="AL502" s="1" t="s">
        <v>171</v>
      </c>
      <c r="AM502" s="1" t="s">
        <v>2601</v>
      </c>
      <c r="AN502" s="1" t="n">
        <v>1579</v>
      </c>
      <c r="AO502" s="37" t="n">
        <f aca="false">(AN502/Q502)*100</f>
        <v>0.995341624695063</v>
      </c>
      <c r="AP502" s="37" t="s">
        <v>197</v>
      </c>
      <c r="AQ502" s="1" t="s">
        <v>197</v>
      </c>
      <c r="AR502" s="1" t="s">
        <v>2602</v>
      </c>
      <c r="AS502" s="1" t="n">
        <v>1367</v>
      </c>
      <c r="AT502" s="37" t="n">
        <f aca="false">(AS502/Q502)*100</f>
        <v>0.861704877110925</v>
      </c>
    </row>
    <row r="503" customFormat="false" ht="12.8" hidden="false" customHeight="true" outlineLevel="0" collapsed="false">
      <c r="A503" s="35" t="n">
        <v>2011</v>
      </c>
      <c r="B503" s="36" t="n">
        <v>34</v>
      </c>
      <c r="C503" s="1" t="s">
        <v>263</v>
      </c>
      <c r="D503" s="1" t="s">
        <v>241</v>
      </c>
      <c r="E503" s="1" t="s">
        <v>48</v>
      </c>
      <c r="F503" s="1" t="s">
        <v>49</v>
      </c>
      <c r="G503" s="1" t="s">
        <v>50</v>
      </c>
      <c r="H503" s="1" t="s">
        <v>65</v>
      </c>
      <c r="I503" s="1" t="s">
        <v>51</v>
      </c>
      <c r="J503" s="1" t="s">
        <v>51</v>
      </c>
      <c r="K503" s="1" t="s">
        <v>51</v>
      </c>
      <c r="L503" s="1" t="s">
        <v>51</v>
      </c>
      <c r="M503" s="1" t="s">
        <v>51</v>
      </c>
      <c r="N503" s="1" t="s">
        <v>51</v>
      </c>
      <c r="O503" s="1" t="s">
        <v>51</v>
      </c>
      <c r="P503" s="1" t="n">
        <v>173908</v>
      </c>
      <c r="Q503" s="1" t="n">
        <v>140871</v>
      </c>
      <c r="R503" s="37" t="n">
        <f aca="false">(Q503/P503)*100</f>
        <v>81.0031740920487</v>
      </c>
      <c r="S503" s="1" t="n">
        <f aca="false">Y503-AD503</f>
        <v>26584</v>
      </c>
      <c r="T503" s="37" t="n">
        <f aca="false">(S503/Q503)*100</f>
        <v>18.8711658183728</v>
      </c>
      <c r="U503" s="37" t="n">
        <f aca="false">Z503+AE503</f>
        <v>92.3043067771223</v>
      </c>
      <c r="V503" s="1" t="s">
        <v>55</v>
      </c>
      <c r="W503" s="1" t="s">
        <v>68</v>
      </c>
      <c r="X503" s="1" t="s">
        <v>2603</v>
      </c>
      <c r="Y503" s="1" t="n">
        <v>78307</v>
      </c>
      <c r="Z503" s="37" t="n">
        <f aca="false">(Y503/Q503)*100</f>
        <v>55.5877362977476</v>
      </c>
      <c r="AA503" s="37" t="s">
        <v>52</v>
      </c>
      <c r="AB503" s="1" t="s">
        <v>257</v>
      </c>
      <c r="AC503" s="1" t="s">
        <v>2604</v>
      </c>
      <c r="AD503" s="1" t="n">
        <v>51723</v>
      </c>
      <c r="AE503" s="37" t="n">
        <f aca="false">(AD503/Q503)*100</f>
        <v>36.7165704793748</v>
      </c>
      <c r="AF503" s="37" t="s">
        <v>197</v>
      </c>
      <c r="AG503" s="1" t="s">
        <v>2470</v>
      </c>
      <c r="AH503" s="1" t="s">
        <v>2605</v>
      </c>
      <c r="AI503" s="1" t="n">
        <v>2322</v>
      </c>
      <c r="AJ503" s="37" t="n">
        <f aca="false">(AI503/Q503)*100</f>
        <v>1.64831654492408</v>
      </c>
      <c r="AK503" s="37" t="s">
        <v>197</v>
      </c>
      <c r="AL503" s="1" t="s">
        <v>197</v>
      </c>
      <c r="AM503" s="1" t="s">
        <v>2606</v>
      </c>
      <c r="AN503" s="1" t="n">
        <v>2162</v>
      </c>
      <c r="AO503" s="37" t="n">
        <f aca="false">(AN503/Q503)*100</f>
        <v>1.53473745483457</v>
      </c>
      <c r="AP503" s="37" t="s">
        <v>1431</v>
      </c>
      <c r="AQ503" s="1" t="s">
        <v>171</v>
      </c>
      <c r="AR503" s="1" t="s">
        <v>2607</v>
      </c>
      <c r="AS503" s="1" t="n">
        <v>1387</v>
      </c>
      <c r="AT503" s="37" t="n">
        <f aca="false">(AS503/Q503)*100</f>
        <v>0.984588737213479</v>
      </c>
    </row>
    <row r="504" customFormat="false" ht="12.8" hidden="false" customHeight="true" outlineLevel="0" collapsed="false">
      <c r="A504" s="35" t="n">
        <v>2011</v>
      </c>
      <c r="B504" s="36" t="n">
        <v>35</v>
      </c>
      <c r="C504" s="1" t="s">
        <v>269</v>
      </c>
      <c r="D504" s="1" t="s">
        <v>241</v>
      </c>
      <c r="E504" s="1" t="s">
        <v>48</v>
      </c>
      <c r="F504" s="1" t="s">
        <v>49</v>
      </c>
      <c r="G504" s="1" t="s">
        <v>77</v>
      </c>
      <c r="H504" s="1" t="s">
        <v>65</v>
      </c>
      <c r="I504" s="1" t="s">
        <v>51</v>
      </c>
      <c r="J504" s="1" t="s">
        <v>51</v>
      </c>
      <c r="K504" s="1" t="s">
        <v>51</v>
      </c>
      <c r="L504" s="1" t="s">
        <v>51</v>
      </c>
      <c r="M504" s="1" t="s">
        <v>51</v>
      </c>
      <c r="N504" s="1" t="s">
        <v>51</v>
      </c>
      <c r="O504" s="1" t="s">
        <v>51</v>
      </c>
      <c r="P504" s="1" t="n">
        <v>180495</v>
      </c>
      <c r="Q504" s="1" t="n">
        <v>147744</v>
      </c>
      <c r="R504" s="37" t="n">
        <f aca="false">(Q504/P504)*100</f>
        <v>81.8548990276739</v>
      </c>
      <c r="S504" s="1" t="n">
        <f aca="false">Y504-AD504</f>
        <v>18494</v>
      </c>
      <c r="T504" s="37" t="n">
        <f aca="false">(S504/Q504)*100</f>
        <v>12.5175980073641</v>
      </c>
      <c r="U504" s="37" t="n">
        <f aca="false">Z504+AE504</f>
        <v>94.7706844271172</v>
      </c>
      <c r="V504" s="1" t="s">
        <v>55</v>
      </c>
      <c r="W504" s="1" t="s">
        <v>68</v>
      </c>
      <c r="X504" s="1" t="s">
        <v>265</v>
      </c>
      <c r="Y504" s="1" t="n">
        <v>79256</v>
      </c>
      <c r="Z504" s="37" t="n">
        <f aca="false">(Y504/Q504)*100</f>
        <v>53.6441412172406</v>
      </c>
      <c r="AA504" s="37" t="s">
        <v>52</v>
      </c>
      <c r="AB504" s="1" t="s">
        <v>66</v>
      </c>
      <c r="AC504" s="1" t="s">
        <v>2608</v>
      </c>
      <c r="AD504" s="1" t="n">
        <v>60762</v>
      </c>
      <c r="AE504" s="37" t="n">
        <f aca="false">(AD504/Q504)*100</f>
        <v>41.1265432098765</v>
      </c>
      <c r="AF504" s="37" t="s">
        <v>197</v>
      </c>
      <c r="AG504" s="1" t="s">
        <v>197</v>
      </c>
      <c r="AH504" s="1" t="s">
        <v>2609</v>
      </c>
      <c r="AI504" s="1" t="n">
        <v>1885</v>
      </c>
      <c r="AJ504" s="37" t="n">
        <f aca="false">(AI504/Q504)*100</f>
        <v>1.27585553389647</v>
      </c>
      <c r="AK504" s="37" t="s">
        <v>1431</v>
      </c>
      <c r="AL504" s="1" t="s">
        <v>171</v>
      </c>
      <c r="AM504" s="1" t="s">
        <v>2610</v>
      </c>
      <c r="AN504" s="1" t="n">
        <v>1630</v>
      </c>
      <c r="AO504" s="37" t="n">
        <f aca="false">(AN504/Q504)*100</f>
        <v>1.10325969244098</v>
      </c>
      <c r="AP504" s="37" t="s">
        <v>197</v>
      </c>
      <c r="AQ504" s="1" t="s">
        <v>197</v>
      </c>
      <c r="AR504" s="1" t="s">
        <v>2611</v>
      </c>
      <c r="AS504" s="1" t="n">
        <v>1223</v>
      </c>
      <c r="AT504" s="37" t="n">
        <f aca="false">(AS504/Q504)*100</f>
        <v>0.827783192549275</v>
      </c>
    </row>
    <row r="505" customFormat="false" ht="12.8" hidden="false" customHeight="true" outlineLevel="0" collapsed="false">
      <c r="A505" s="35" t="n">
        <v>2011</v>
      </c>
      <c r="B505" s="36" t="n">
        <v>36</v>
      </c>
      <c r="C505" s="1" t="s">
        <v>276</v>
      </c>
      <c r="D505" s="1" t="s">
        <v>234</v>
      </c>
      <c r="E505" s="1" t="s">
        <v>48</v>
      </c>
      <c r="F505" s="1" t="s">
        <v>49</v>
      </c>
      <c r="G505" s="1" t="s">
        <v>50</v>
      </c>
      <c r="H505" s="1" t="s">
        <v>51</v>
      </c>
      <c r="I505" s="1" t="s">
        <v>51</v>
      </c>
      <c r="J505" s="1" t="s">
        <v>51</v>
      </c>
      <c r="K505" s="1" t="s">
        <v>53</v>
      </c>
      <c r="L505" s="1" t="s">
        <v>51</v>
      </c>
      <c r="M505" s="1" t="s">
        <v>51</v>
      </c>
      <c r="N505" s="1" t="s">
        <v>51</v>
      </c>
      <c r="O505" s="1" t="s">
        <v>51</v>
      </c>
      <c r="P505" s="1" t="n">
        <v>194258</v>
      </c>
      <c r="Q505" s="1" t="n">
        <v>167946</v>
      </c>
      <c r="R505" s="37" t="n">
        <f aca="false">(Q505/P505)*100</f>
        <v>86.4551266871892</v>
      </c>
      <c r="S505" s="1" t="n">
        <f aca="false">Y505-AD505</f>
        <v>13766</v>
      </c>
      <c r="T505" s="37" t="n">
        <f aca="false">(S505/Q505)*100</f>
        <v>8.19668226691913</v>
      </c>
      <c r="U505" s="37" t="n">
        <f aca="false">Z505+AE505</f>
        <v>95.3032522358377</v>
      </c>
      <c r="V505" s="1" t="s">
        <v>55</v>
      </c>
      <c r="W505" s="1" t="s">
        <v>68</v>
      </c>
      <c r="X505" s="1" t="s">
        <v>2612</v>
      </c>
      <c r="Y505" s="1" t="n">
        <v>86912</v>
      </c>
      <c r="Z505" s="37" t="n">
        <f aca="false">(Y505/Q505)*100</f>
        <v>51.7499672513784</v>
      </c>
      <c r="AA505" s="37" t="s">
        <v>52</v>
      </c>
      <c r="AB505" s="1" t="s">
        <v>53</v>
      </c>
      <c r="AC505" s="1" t="s">
        <v>1805</v>
      </c>
      <c r="AD505" s="1" t="n">
        <v>73146</v>
      </c>
      <c r="AE505" s="37" t="n">
        <f aca="false">(AD505/Q505)*100</f>
        <v>43.5532849844593</v>
      </c>
      <c r="AF505" s="37" t="s">
        <v>197</v>
      </c>
      <c r="AG505" s="1" t="s">
        <v>197</v>
      </c>
      <c r="AH505" s="1" t="s">
        <v>2613</v>
      </c>
      <c r="AI505" s="1" t="n">
        <v>1917</v>
      </c>
      <c r="AJ505" s="37" t="n">
        <f aca="false">(AI505/Q505)*100</f>
        <v>1.14143831945983</v>
      </c>
      <c r="AK505" s="37" t="s">
        <v>1431</v>
      </c>
      <c r="AL505" s="1" t="s">
        <v>171</v>
      </c>
      <c r="AM505" s="1" t="s">
        <v>2614</v>
      </c>
      <c r="AN505" s="1" t="n">
        <v>1407</v>
      </c>
      <c r="AO505" s="37" t="n">
        <f aca="false">(AN505/Q505)*100</f>
        <v>0.837769282983816</v>
      </c>
      <c r="AP505" s="37" t="s">
        <v>197</v>
      </c>
      <c r="AQ505" s="1" t="s">
        <v>197</v>
      </c>
      <c r="AR505" s="1" t="s">
        <v>2615</v>
      </c>
      <c r="AS505" s="1" t="n">
        <v>1133</v>
      </c>
      <c r="AT505" s="37" t="n">
        <f aca="false">(AS505/Q505)*100</f>
        <v>0.674621604563372</v>
      </c>
    </row>
    <row r="506" customFormat="false" ht="12.8" hidden="false" customHeight="true" outlineLevel="0" collapsed="false">
      <c r="A506" s="35" t="n">
        <v>2011</v>
      </c>
      <c r="B506" s="36" t="n">
        <v>37</v>
      </c>
      <c r="C506" s="1" t="s">
        <v>234</v>
      </c>
      <c r="D506" s="1" t="s">
        <v>234</v>
      </c>
      <c r="E506" s="1" t="s">
        <v>48</v>
      </c>
      <c r="F506" s="1" t="s">
        <v>49</v>
      </c>
      <c r="G506" s="1" t="s">
        <v>88</v>
      </c>
      <c r="H506" s="1" t="s">
        <v>51</v>
      </c>
      <c r="I506" s="1" t="s">
        <v>51</v>
      </c>
      <c r="J506" s="1" t="s">
        <v>51</v>
      </c>
      <c r="K506" s="1" t="s">
        <v>51</v>
      </c>
      <c r="L506" s="1" t="s">
        <v>51</v>
      </c>
      <c r="M506" s="1" t="s">
        <v>51</v>
      </c>
      <c r="N506" s="1" t="s">
        <v>51</v>
      </c>
      <c r="O506" s="1" t="s">
        <v>282</v>
      </c>
      <c r="P506" s="1" t="n">
        <v>237837</v>
      </c>
      <c r="Q506" s="1" t="n">
        <v>192235</v>
      </c>
      <c r="R506" s="37" t="n">
        <f aca="false">(Q506/P506)*100</f>
        <v>80.8263642746923</v>
      </c>
      <c r="S506" s="1" t="n">
        <f aca="false">Y506-AD506</f>
        <v>25717</v>
      </c>
      <c r="T506" s="37" t="n">
        <f aca="false">(S506/Q506)*100</f>
        <v>13.3778968450074</v>
      </c>
      <c r="U506" s="37" t="n">
        <f aca="false">Z506+AE506</f>
        <v>93.4808957786043</v>
      </c>
      <c r="V506" s="1" t="s">
        <v>55</v>
      </c>
      <c r="W506" s="1" t="s">
        <v>68</v>
      </c>
      <c r="X506" s="1" t="s">
        <v>2616</v>
      </c>
      <c r="Y506" s="1" t="n">
        <v>102710</v>
      </c>
      <c r="Z506" s="37" t="n">
        <f aca="false">(Y506/Q506)*100</f>
        <v>53.4293963118059</v>
      </c>
      <c r="AA506" s="37" t="s">
        <v>52</v>
      </c>
      <c r="AB506" s="1" t="s">
        <v>56</v>
      </c>
      <c r="AC506" s="1" t="s">
        <v>2617</v>
      </c>
      <c r="AD506" s="1" t="n">
        <v>76993</v>
      </c>
      <c r="AE506" s="37" t="n">
        <f aca="false">(AD506/Q506)*100</f>
        <v>40.0514994667985</v>
      </c>
      <c r="AF506" s="37" t="s">
        <v>197</v>
      </c>
      <c r="AG506" s="1" t="s">
        <v>2618</v>
      </c>
      <c r="AH506" s="1" t="s">
        <v>2619</v>
      </c>
      <c r="AI506" s="1" t="n">
        <v>2806</v>
      </c>
      <c r="AJ506" s="37" t="n">
        <f aca="false">(AI506/Q506)*100</f>
        <v>1.45967175592374</v>
      </c>
      <c r="AK506" s="37" t="s">
        <v>1431</v>
      </c>
      <c r="AL506" s="1" t="s">
        <v>171</v>
      </c>
      <c r="AM506" s="1" t="s">
        <v>2620</v>
      </c>
      <c r="AN506" s="1" t="n">
        <v>2441</v>
      </c>
      <c r="AO506" s="37" t="n">
        <f aca="false">(AN506/Q506)*100</f>
        <v>1.2697999843941</v>
      </c>
      <c r="AP506" s="37" t="s">
        <v>197</v>
      </c>
      <c r="AQ506" s="1" t="s">
        <v>2621</v>
      </c>
      <c r="AR506" s="1" t="s">
        <v>2622</v>
      </c>
      <c r="AS506" s="1" t="n">
        <v>1623</v>
      </c>
      <c r="AT506" s="37" t="n">
        <f aca="false">(AS506/Q506)*100</f>
        <v>0.84427913751398</v>
      </c>
    </row>
    <row r="507" customFormat="false" ht="12.8" hidden="false" customHeight="true" outlineLevel="0" collapsed="false">
      <c r="A507" s="35" t="n">
        <v>2011</v>
      </c>
      <c r="B507" s="36" t="n">
        <v>38</v>
      </c>
      <c r="C507" s="1" t="s">
        <v>287</v>
      </c>
      <c r="D507" s="1" t="s">
        <v>288</v>
      </c>
      <c r="E507" s="1" t="s">
        <v>48</v>
      </c>
      <c r="F507" s="1" t="s">
        <v>289</v>
      </c>
      <c r="G507" s="1" t="s">
        <v>77</v>
      </c>
      <c r="H507" s="1" t="s">
        <v>65</v>
      </c>
      <c r="I507" s="1" t="s">
        <v>51</v>
      </c>
      <c r="J507" s="1" t="s">
        <v>51</v>
      </c>
      <c r="K507" s="1" t="s">
        <v>68</v>
      </c>
      <c r="L507" s="1" t="s">
        <v>51</v>
      </c>
      <c r="M507" s="1" t="s">
        <v>68</v>
      </c>
      <c r="N507" s="1" t="s">
        <v>51</v>
      </c>
      <c r="O507" s="1" t="s">
        <v>51</v>
      </c>
      <c r="P507" s="1" t="n">
        <v>180053</v>
      </c>
      <c r="Q507" s="1" t="n">
        <v>141959</v>
      </c>
      <c r="R507" s="37" t="n">
        <f aca="false">(Q507/P507)*100</f>
        <v>78.8428962583239</v>
      </c>
      <c r="S507" s="1" t="n">
        <f aca="false">Y507-AD507</f>
        <v>26237</v>
      </c>
      <c r="T507" s="37" t="n">
        <f aca="false">(S507/Q507)*100</f>
        <v>18.4820969434837</v>
      </c>
      <c r="U507" s="37" t="n">
        <f aca="false">Z507+AE507</f>
        <v>93.393867243359</v>
      </c>
      <c r="V507" s="1" t="s">
        <v>55</v>
      </c>
      <c r="W507" s="1" t="s">
        <v>68</v>
      </c>
      <c r="X507" s="1" t="s">
        <v>290</v>
      </c>
      <c r="Y507" s="1" t="n">
        <v>79409</v>
      </c>
      <c r="Z507" s="37" t="n">
        <f aca="false">(Y507/Q507)*100</f>
        <v>55.9379820934213</v>
      </c>
      <c r="AA507" s="37" t="s">
        <v>52</v>
      </c>
      <c r="AB507" s="1" t="s">
        <v>257</v>
      </c>
      <c r="AC507" s="1" t="s">
        <v>2623</v>
      </c>
      <c r="AD507" s="1" t="n">
        <v>53172</v>
      </c>
      <c r="AE507" s="37" t="n">
        <f aca="false">(AD507/Q507)*100</f>
        <v>37.4558851499377</v>
      </c>
      <c r="AF507" s="37" t="s">
        <v>197</v>
      </c>
      <c r="AG507" s="1" t="s">
        <v>2470</v>
      </c>
      <c r="AH507" s="1" t="s">
        <v>2624</v>
      </c>
      <c r="AI507" s="1" t="n">
        <v>3007</v>
      </c>
      <c r="AJ507" s="37" t="n">
        <f aca="false">(AI507/Q507)*100</f>
        <v>2.11821723173592</v>
      </c>
      <c r="AK507" s="37" t="s">
        <v>85</v>
      </c>
      <c r="AL507" s="1" t="s">
        <v>85</v>
      </c>
      <c r="AM507" s="1" t="s">
        <v>2625</v>
      </c>
      <c r="AN507" s="1" t="n">
        <v>2030</v>
      </c>
      <c r="AO507" s="37" t="n">
        <f aca="false">(AN507/Q507)*100</f>
        <v>1.42999034932621</v>
      </c>
      <c r="AP507" s="37" t="s">
        <v>179</v>
      </c>
      <c r="AQ507" s="1" t="s">
        <v>179</v>
      </c>
      <c r="AR507" s="1" t="s">
        <v>2626</v>
      </c>
      <c r="AS507" s="1" t="n">
        <v>1755</v>
      </c>
      <c r="AT507" s="37" t="n">
        <f aca="false">(AS507/Q507)*100</f>
        <v>1.23627244486084</v>
      </c>
    </row>
    <row r="508" customFormat="false" ht="12.8" hidden="false" customHeight="true" outlineLevel="0" collapsed="false">
      <c r="A508" s="35" t="n">
        <v>2011</v>
      </c>
      <c r="B508" s="36" t="n">
        <v>39</v>
      </c>
      <c r="C508" s="1" t="s">
        <v>295</v>
      </c>
      <c r="D508" s="1" t="s">
        <v>288</v>
      </c>
      <c r="E508" s="1" t="s">
        <v>48</v>
      </c>
      <c r="F508" s="1" t="s">
        <v>289</v>
      </c>
      <c r="G508" s="1" t="s">
        <v>50</v>
      </c>
      <c r="H508" s="1" t="s">
        <v>51</v>
      </c>
      <c r="I508" s="1" t="s">
        <v>51</v>
      </c>
      <c r="J508" s="1" t="s">
        <v>51</v>
      </c>
      <c r="K508" s="1" t="s">
        <v>51</v>
      </c>
      <c r="L508" s="1" t="s">
        <v>51</v>
      </c>
      <c r="M508" s="1" t="s">
        <v>51</v>
      </c>
      <c r="N508" s="1" t="s">
        <v>51</v>
      </c>
      <c r="O508" s="1" t="s">
        <v>51</v>
      </c>
      <c r="P508" s="1" t="n">
        <v>211864</v>
      </c>
      <c r="Q508" s="1" t="n">
        <v>179221</v>
      </c>
      <c r="R508" s="37" t="n">
        <f aca="false">(Q508/P508)*100</f>
        <v>84.5924744175509</v>
      </c>
      <c r="S508" s="1" t="n">
        <f aca="false">Y508-AD508</f>
        <v>9038</v>
      </c>
      <c r="T508" s="37" t="n">
        <f aca="false">(S508/Q508)*100</f>
        <v>5.04293581667327</v>
      </c>
      <c r="U508" s="37" t="n">
        <f aca="false">Z508+AJ508</f>
        <v>59.6581873775953</v>
      </c>
      <c r="V508" s="1" t="s">
        <v>55</v>
      </c>
      <c r="W508" s="1" t="s">
        <v>61</v>
      </c>
      <c r="X508" s="1" t="s">
        <v>2627</v>
      </c>
      <c r="Y508" s="1" t="n">
        <v>69963</v>
      </c>
      <c r="Z508" s="37" t="n">
        <f aca="false">(Y508/Q508)*100</f>
        <v>39.0372779975561</v>
      </c>
      <c r="AA508" s="37" t="s">
        <v>197</v>
      </c>
      <c r="AB508" s="1" t="s">
        <v>197</v>
      </c>
      <c r="AC508" s="1" t="s">
        <v>2628</v>
      </c>
      <c r="AD508" s="1" t="n">
        <v>60925</v>
      </c>
      <c r="AE508" s="37" t="n">
        <f aca="false">(AD508/Q508)*100</f>
        <v>33.9943421808828</v>
      </c>
      <c r="AF508" s="37" t="s">
        <v>52</v>
      </c>
      <c r="AG508" s="1" t="s">
        <v>66</v>
      </c>
      <c r="AH508" s="1" t="s">
        <v>2629</v>
      </c>
      <c r="AI508" s="1" t="n">
        <v>36957</v>
      </c>
      <c r="AJ508" s="37" t="n">
        <f aca="false">(AI508/Q508)*100</f>
        <v>20.6209093800392</v>
      </c>
      <c r="AK508" s="37" t="s">
        <v>197</v>
      </c>
      <c r="AL508" s="1" t="s">
        <v>2470</v>
      </c>
      <c r="AM508" s="1" t="s">
        <v>2630</v>
      </c>
      <c r="AN508" s="1" t="n">
        <v>3858</v>
      </c>
      <c r="AO508" s="37" t="n">
        <f aca="false">(AN508/Q508)*100</f>
        <v>2.15264952209841</v>
      </c>
      <c r="AP508" s="37" t="s">
        <v>197</v>
      </c>
      <c r="AQ508" s="1" t="s">
        <v>197</v>
      </c>
      <c r="AR508" s="1" t="s">
        <v>2631</v>
      </c>
      <c r="AS508" s="1" t="n">
        <v>2288</v>
      </c>
      <c r="AT508" s="37" t="n">
        <f aca="false">(AS508/Q508)*100</f>
        <v>1.27663610849175</v>
      </c>
    </row>
    <row r="509" customFormat="false" ht="12.8" hidden="false" customHeight="true" outlineLevel="0" collapsed="false">
      <c r="A509" s="35" t="n">
        <v>2011</v>
      </c>
      <c r="B509" s="36" t="n">
        <v>40</v>
      </c>
      <c r="C509" s="1" t="s">
        <v>288</v>
      </c>
      <c r="D509" s="1" t="s">
        <v>288</v>
      </c>
      <c r="E509" s="1" t="s">
        <v>48</v>
      </c>
      <c r="F509" s="1" t="s">
        <v>289</v>
      </c>
      <c r="G509" s="1" t="s">
        <v>77</v>
      </c>
      <c r="H509" s="1" t="s">
        <v>51</v>
      </c>
      <c r="I509" s="1" t="s">
        <v>51</v>
      </c>
      <c r="J509" s="1" t="s">
        <v>51</v>
      </c>
      <c r="K509" s="1" t="s">
        <v>51</v>
      </c>
      <c r="L509" s="1" t="s">
        <v>51</v>
      </c>
      <c r="M509" s="1" t="s">
        <v>51</v>
      </c>
      <c r="N509" s="1" t="s">
        <v>51</v>
      </c>
      <c r="O509" s="1" t="s">
        <v>51</v>
      </c>
      <c r="P509" s="1" t="n">
        <v>198641</v>
      </c>
      <c r="Q509" s="1" t="n">
        <v>157749</v>
      </c>
      <c r="R509" s="37" t="n">
        <f aca="false">(Q509/P509)*100</f>
        <v>79.414118938185</v>
      </c>
      <c r="S509" s="1" t="n">
        <f aca="false">Y509-AD509</f>
        <v>14201</v>
      </c>
      <c r="T509" s="37" t="n">
        <f aca="false">(S509/Q509)*100</f>
        <v>9.00227576719979</v>
      </c>
      <c r="U509" s="37" t="n">
        <f aca="false">Z509+AE509</f>
        <v>97.2855612396909</v>
      </c>
      <c r="V509" s="1" t="s">
        <v>55</v>
      </c>
      <c r="W509" s="1" t="s">
        <v>68</v>
      </c>
      <c r="X509" s="1" t="s">
        <v>2632</v>
      </c>
      <c r="Y509" s="1" t="n">
        <v>83834</v>
      </c>
      <c r="Z509" s="37" t="n">
        <f aca="false">(Y509/Q509)*100</f>
        <v>53.1439185034453</v>
      </c>
      <c r="AA509" s="37" t="s">
        <v>52</v>
      </c>
      <c r="AB509" s="1" t="s">
        <v>53</v>
      </c>
      <c r="AC509" s="1" t="s">
        <v>1608</v>
      </c>
      <c r="AD509" s="1" t="n">
        <v>69633</v>
      </c>
      <c r="AE509" s="37" t="n">
        <f aca="false">(AD509/Q509)*100</f>
        <v>44.1416427362456</v>
      </c>
      <c r="AF509" s="37" t="s">
        <v>197</v>
      </c>
      <c r="AG509" s="1" t="s">
        <v>197</v>
      </c>
      <c r="AH509" s="1" t="s">
        <v>226</v>
      </c>
      <c r="AI509" s="1" t="n">
        <v>1213</v>
      </c>
      <c r="AJ509" s="37" t="n">
        <f aca="false">(AI509/Q509)*100</f>
        <v>0.768943067784899</v>
      </c>
      <c r="AK509" s="37" t="s">
        <v>85</v>
      </c>
      <c r="AL509" s="1" t="s">
        <v>85</v>
      </c>
      <c r="AM509" s="1" t="s">
        <v>2633</v>
      </c>
      <c r="AN509" s="1" t="n">
        <v>842</v>
      </c>
      <c r="AO509" s="37" t="n">
        <f aca="false">(AN509/Q509)*100</f>
        <v>0.533759326525049</v>
      </c>
      <c r="AP509" s="37" t="s">
        <v>197</v>
      </c>
      <c r="AQ509" s="1" t="s">
        <v>2596</v>
      </c>
      <c r="AR509" s="1" t="s">
        <v>2634</v>
      </c>
      <c r="AS509" s="1" t="n">
        <v>662</v>
      </c>
      <c r="AT509" s="37" t="n">
        <f aca="false">(AS509/Q509)*100</f>
        <v>0.419654007315419</v>
      </c>
    </row>
    <row r="510" customFormat="false" ht="12.8" hidden="false" customHeight="true" outlineLevel="0" collapsed="false">
      <c r="A510" s="35" t="n">
        <v>2011</v>
      </c>
      <c r="B510" s="36" t="n">
        <v>41</v>
      </c>
      <c r="C510" s="1" t="s">
        <v>305</v>
      </c>
      <c r="D510" s="1" t="s">
        <v>288</v>
      </c>
      <c r="E510" s="1" t="s">
        <v>48</v>
      </c>
      <c r="F510" s="1" t="s">
        <v>289</v>
      </c>
      <c r="G510" s="1" t="s">
        <v>77</v>
      </c>
      <c r="H510" s="1" t="s">
        <v>51</v>
      </c>
      <c r="I510" s="1" t="s">
        <v>51</v>
      </c>
      <c r="J510" s="1" t="s">
        <v>51</v>
      </c>
      <c r="K510" s="1" t="s">
        <v>51</v>
      </c>
      <c r="L510" s="1" t="s">
        <v>51</v>
      </c>
      <c r="M510" s="1" t="s">
        <v>51</v>
      </c>
      <c r="N510" s="1" t="s">
        <v>51</v>
      </c>
      <c r="O510" s="1" t="s">
        <v>51</v>
      </c>
      <c r="P510" s="1" t="n">
        <v>211067</v>
      </c>
      <c r="Q510" s="1" t="n">
        <v>175610</v>
      </c>
      <c r="R510" s="37" t="n">
        <f aca="false">(Q510/P510)*100</f>
        <v>83.2010688549134</v>
      </c>
      <c r="S510" s="1" t="n">
        <f aca="false">Y510-AD510</f>
        <v>19253</v>
      </c>
      <c r="T510" s="37" t="n">
        <f aca="false">(S510/Q510)*100</f>
        <v>10.9634986618074</v>
      </c>
      <c r="U510" s="37" t="n">
        <f aca="false">Z510+AE510</f>
        <v>95.2468538238141</v>
      </c>
      <c r="V510" s="1" t="s">
        <v>55</v>
      </c>
      <c r="W510" s="1" t="s">
        <v>68</v>
      </c>
      <c r="X510" s="1" t="s">
        <v>2635</v>
      </c>
      <c r="Y510" s="1" t="n">
        <v>93258</v>
      </c>
      <c r="Z510" s="37" t="n">
        <f aca="false">(Y510/Q510)*100</f>
        <v>53.1051762428108</v>
      </c>
      <c r="AA510" s="37" t="s">
        <v>52</v>
      </c>
      <c r="AB510" s="1" t="s">
        <v>56</v>
      </c>
      <c r="AC510" s="1" t="s">
        <v>2636</v>
      </c>
      <c r="AD510" s="1" t="n">
        <v>74005</v>
      </c>
      <c r="AE510" s="37" t="n">
        <f aca="false">(AD510/Q510)*100</f>
        <v>42.1416775810034</v>
      </c>
      <c r="AF510" s="37" t="s">
        <v>197</v>
      </c>
      <c r="AG510" s="1" t="s">
        <v>197</v>
      </c>
      <c r="AH510" s="1" t="s">
        <v>2637</v>
      </c>
      <c r="AI510" s="1" t="n">
        <v>3211</v>
      </c>
      <c r="AJ510" s="37" t="n">
        <f aca="false">(AI510/Q510)*100</f>
        <v>1.8284835715506</v>
      </c>
      <c r="AK510" s="37" t="s">
        <v>1431</v>
      </c>
      <c r="AL510" s="1" t="s">
        <v>171</v>
      </c>
      <c r="AM510" s="1" t="s">
        <v>2638</v>
      </c>
      <c r="AN510" s="1" t="n">
        <v>2046</v>
      </c>
      <c r="AO510" s="37" t="n">
        <f aca="false">(AN510/Q510)*100</f>
        <v>1.16508171516428</v>
      </c>
      <c r="AP510" s="37" t="s">
        <v>197</v>
      </c>
      <c r="AQ510" s="1" t="s">
        <v>197</v>
      </c>
      <c r="AR510" s="1" t="s">
        <v>2639</v>
      </c>
      <c r="AS510" s="1" t="n">
        <v>960</v>
      </c>
      <c r="AT510" s="37" t="n">
        <f aca="false">(AS510/Q510)*100</f>
        <v>0.546665907408462</v>
      </c>
    </row>
    <row r="511" customFormat="false" ht="12.8" hidden="false" customHeight="true" outlineLevel="0" collapsed="false">
      <c r="A511" s="35" t="n">
        <v>2011</v>
      </c>
      <c r="B511" s="36" t="n">
        <v>42</v>
      </c>
      <c r="C511" s="1" t="s">
        <v>310</v>
      </c>
      <c r="D511" s="1" t="s">
        <v>311</v>
      </c>
      <c r="E511" s="1" t="s">
        <v>48</v>
      </c>
      <c r="F511" s="1" t="s">
        <v>289</v>
      </c>
      <c r="G511" s="1" t="s">
        <v>77</v>
      </c>
      <c r="H511" s="1" t="s">
        <v>51</v>
      </c>
      <c r="I511" s="1" t="s">
        <v>51</v>
      </c>
      <c r="J511" s="1" t="s">
        <v>51</v>
      </c>
      <c r="K511" s="1" t="s">
        <v>53</v>
      </c>
      <c r="L511" s="1" t="s">
        <v>51</v>
      </c>
      <c r="M511" s="1" t="s">
        <v>53</v>
      </c>
      <c r="N511" s="1" t="s">
        <v>51</v>
      </c>
      <c r="O511" s="1" t="s">
        <v>51</v>
      </c>
      <c r="P511" s="1" t="n">
        <v>190456</v>
      </c>
      <c r="Q511" s="1" t="n">
        <v>151498</v>
      </c>
      <c r="R511" s="37" t="n">
        <f aca="false">(Q511/P511)*100</f>
        <v>79.5448817574663</v>
      </c>
      <c r="S511" s="1" t="n">
        <f aca="false">Y511-AD511</f>
        <v>2973</v>
      </c>
      <c r="T511" s="37" t="n">
        <f aca="false">(S511/Q511)*100</f>
        <v>1.96240214392269</v>
      </c>
      <c r="U511" s="37" t="n">
        <f aca="false">Z511+AE511</f>
        <v>97.1332954890494</v>
      </c>
      <c r="V511" s="1" t="s">
        <v>52</v>
      </c>
      <c r="W511" s="1" t="s">
        <v>53</v>
      </c>
      <c r="X511" s="1" t="s">
        <v>1617</v>
      </c>
      <c r="Y511" s="1" t="n">
        <v>75064</v>
      </c>
      <c r="Z511" s="37" t="n">
        <f aca="false">(Y511/Q511)*100</f>
        <v>49.547848816486</v>
      </c>
      <c r="AA511" s="1" t="s">
        <v>55</v>
      </c>
      <c r="AB511" s="1" t="s">
        <v>68</v>
      </c>
      <c r="AC511" s="1" t="s">
        <v>1618</v>
      </c>
      <c r="AD511" s="1" t="n">
        <v>72091</v>
      </c>
      <c r="AE511" s="37" t="n">
        <f aca="false">(AD511/Q511)*100</f>
        <v>47.5854466725633</v>
      </c>
      <c r="AF511" s="37" t="s">
        <v>1431</v>
      </c>
      <c r="AG511" s="1" t="s">
        <v>171</v>
      </c>
      <c r="AH511" s="1" t="s">
        <v>2640</v>
      </c>
      <c r="AI511" s="1" t="n">
        <v>1539</v>
      </c>
      <c r="AJ511" s="37" t="n">
        <f aca="false">(AI511/Q511)*100</f>
        <v>1.01585499478541</v>
      </c>
      <c r="AK511" s="37" t="s">
        <v>197</v>
      </c>
      <c r="AL511" s="1" t="s">
        <v>197</v>
      </c>
      <c r="AM511" s="1" t="s">
        <v>2641</v>
      </c>
      <c r="AN511" s="1" t="n">
        <v>1067</v>
      </c>
      <c r="AO511" s="37" t="n">
        <f aca="false">(AN511/Q511)*100</f>
        <v>0.704299726729066</v>
      </c>
      <c r="AP511" s="37" t="s">
        <v>197</v>
      </c>
      <c r="AQ511" s="1" t="s">
        <v>197</v>
      </c>
      <c r="AR511" s="1" t="s">
        <v>2642</v>
      </c>
      <c r="AS511" s="1" t="n">
        <v>646</v>
      </c>
      <c r="AT511" s="37" t="n">
        <f aca="false">(AS511/Q511)*100</f>
        <v>0.426408269416098</v>
      </c>
    </row>
    <row r="512" customFormat="false" ht="12.8" hidden="false" customHeight="true" outlineLevel="0" collapsed="false">
      <c r="A512" s="35" t="n">
        <v>2011</v>
      </c>
      <c r="B512" s="36" t="n">
        <v>43</v>
      </c>
      <c r="C512" s="1" t="s">
        <v>311</v>
      </c>
      <c r="D512" s="1" t="s">
        <v>311</v>
      </c>
      <c r="E512" s="1" t="s">
        <v>48</v>
      </c>
      <c r="F512" s="1" t="s">
        <v>289</v>
      </c>
      <c r="G512" s="1" t="s">
        <v>88</v>
      </c>
      <c r="H512" s="1" t="s">
        <v>51</v>
      </c>
      <c r="I512" s="1" t="s">
        <v>316</v>
      </c>
      <c r="J512" s="1" t="s">
        <v>51</v>
      </c>
      <c r="K512" s="1" t="s">
        <v>51</v>
      </c>
      <c r="L512" s="40" t="s">
        <v>317</v>
      </c>
      <c r="M512" s="1" t="s">
        <v>51</v>
      </c>
      <c r="N512" s="1" t="s">
        <v>66</v>
      </c>
      <c r="O512" s="1" t="s">
        <v>51</v>
      </c>
      <c r="P512" s="1" t="n">
        <v>191251</v>
      </c>
      <c r="Q512" s="1" t="n">
        <v>140740</v>
      </c>
      <c r="R512" s="37" t="n">
        <f aca="false">(Q512/P512)*100</f>
        <v>73.5891577037506</v>
      </c>
      <c r="S512" s="1" t="n">
        <f aca="false">Y512-AD512</f>
        <v>15176</v>
      </c>
      <c r="T512" s="37" t="n">
        <f aca="false">(S512/Q512)*100</f>
        <v>10.7830041210743</v>
      </c>
      <c r="U512" s="37" t="n">
        <f aca="false">Z512+AE512</f>
        <v>90.8540571266165</v>
      </c>
      <c r="V512" s="1" t="s">
        <v>55</v>
      </c>
      <c r="W512" s="1" t="s">
        <v>68</v>
      </c>
      <c r="X512" s="1" t="s">
        <v>2643</v>
      </c>
      <c r="Y512" s="1" t="n">
        <v>71522</v>
      </c>
      <c r="Z512" s="37" t="n">
        <f aca="false">(Y512/Q512)*100</f>
        <v>50.8185306238454</v>
      </c>
      <c r="AA512" s="37" t="s">
        <v>52</v>
      </c>
      <c r="AB512" s="1" t="s">
        <v>66</v>
      </c>
      <c r="AC512" s="1" t="s">
        <v>1642</v>
      </c>
      <c r="AD512" s="1" t="n">
        <v>56346</v>
      </c>
      <c r="AE512" s="37" t="n">
        <f aca="false">(AD512/Q512)*100</f>
        <v>40.0355265027711</v>
      </c>
      <c r="AF512" s="37" t="s">
        <v>197</v>
      </c>
      <c r="AG512" s="1" t="s">
        <v>197</v>
      </c>
      <c r="AH512" s="1" t="s">
        <v>2644</v>
      </c>
      <c r="AI512" s="1" t="n">
        <v>5273</v>
      </c>
      <c r="AJ512" s="37" t="n">
        <f aca="false">(AI512/Q512)*100</f>
        <v>3.74662498223675</v>
      </c>
      <c r="AK512" s="37" t="s">
        <v>1431</v>
      </c>
      <c r="AL512" s="1" t="s">
        <v>171</v>
      </c>
      <c r="AM512" s="1" t="s">
        <v>2645</v>
      </c>
      <c r="AN512" s="1" t="n">
        <v>4334</v>
      </c>
      <c r="AO512" s="37" t="n">
        <f aca="false">(AN512/Q512)*100</f>
        <v>3.07943726019611</v>
      </c>
      <c r="AP512" s="37" t="s">
        <v>197</v>
      </c>
      <c r="AQ512" s="1" t="s">
        <v>197</v>
      </c>
      <c r="AR512" s="1" t="s">
        <v>2646</v>
      </c>
      <c r="AS512" s="1" t="n">
        <v>1333</v>
      </c>
      <c r="AT512" s="37" t="n">
        <f aca="false">(AS512/Q512)*100</f>
        <v>0.947136563876652</v>
      </c>
    </row>
    <row r="513" customFormat="false" ht="12.8" hidden="false" customHeight="true" outlineLevel="0" collapsed="false">
      <c r="A513" s="35" t="n">
        <v>2011</v>
      </c>
      <c r="B513" s="36" t="n">
        <v>44</v>
      </c>
      <c r="C513" s="1" t="s">
        <v>322</v>
      </c>
      <c r="D513" s="1" t="s">
        <v>311</v>
      </c>
      <c r="E513" s="1" t="s">
        <v>48</v>
      </c>
      <c r="F513" s="1" t="s">
        <v>289</v>
      </c>
      <c r="G513" s="1" t="s">
        <v>50</v>
      </c>
      <c r="H513" s="1" t="s">
        <v>51</v>
      </c>
      <c r="I513" s="1" t="s">
        <v>51</v>
      </c>
      <c r="J513" s="1" t="s">
        <v>51</v>
      </c>
      <c r="K513" s="1" t="s">
        <v>51</v>
      </c>
      <c r="L513" s="1" t="s">
        <v>51</v>
      </c>
      <c r="M513" s="1" t="s">
        <v>51</v>
      </c>
      <c r="N513" s="1" t="s">
        <v>51</v>
      </c>
      <c r="O513" s="1" t="s">
        <v>51</v>
      </c>
      <c r="P513" s="1" t="n">
        <v>188555</v>
      </c>
      <c r="Q513" s="1" t="n">
        <v>147194</v>
      </c>
      <c r="R513" s="37" t="n">
        <f aca="false">(Q513/P513)*100</f>
        <v>78.064225292355</v>
      </c>
      <c r="S513" s="1" t="n">
        <f aca="false">Y513-AD513</f>
        <v>27903</v>
      </c>
      <c r="T513" s="37" t="n">
        <f aca="false">(S513/Q513)*100</f>
        <v>18.956615079419</v>
      </c>
      <c r="U513" s="37" t="n">
        <f aca="false">Z513+AE513</f>
        <v>90.0600567957933</v>
      </c>
      <c r="V513" s="1" t="s">
        <v>52</v>
      </c>
      <c r="W513" s="1" t="s">
        <v>56</v>
      </c>
      <c r="X513" s="1" t="s">
        <v>1627</v>
      </c>
      <c r="Y513" s="1" t="n">
        <v>80233</v>
      </c>
      <c r="Z513" s="37" t="n">
        <f aca="false">(Y513/Q513)*100</f>
        <v>54.5083359376062</v>
      </c>
      <c r="AA513" s="1" t="s">
        <v>55</v>
      </c>
      <c r="AB513" s="1" t="s">
        <v>61</v>
      </c>
      <c r="AC513" s="1" t="s">
        <v>2647</v>
      </c>
      <c r="AD513" s="1" t="n">
        <v>52330</v>
      </c>
      <c r="AE513" s="37" t="n">
        <f aca="false">(AD513/Q513)*100</f>
        <v>35.5517208581872</v>
      </c>
      <c r="AF513" s="37" t="s">
        <v>197</v>
      </c>
      <c r="AG513" s="1" t="s">
        <v>2515</v>
      </c>
      <c r="AH513" s="1" t="s">
        <v>2648</v>
      </c>
      <c r="AI513" s="1" t="n">
        <v>4696</v>
      </c>
      <c r="AJ513" s="37" t="n">
        <f aca="false">(AI513/Q513)*100</f>
        <v>3.19034743263992</v>
      </c>
      <c r="AK513" s="37" t="s">
        <v>197</v>
      </c>
      <c r="AL513" s="1" t="s">
        <v>197</v>
      </c>
      <c r="AM513" s="1" t="s">
        <v>2649</v>
      </c>
      <c r="AN513" s="1" t="n">
        <v>2619</v>
      </c>
      <c r="AO513" s="37" t="n">
        <f aca="false">(AN513/Q513)*100</f>
        <v>1.77928448170442</v>
      </c>
      <c r="AP513" s="37" t="s">
        <v>197</v>
      </c>
      <c r="AQ513" s="1" t="s">
        <v>197</v>
      </c>
      <c r="AR513" s="1" t="s">
        <v>2650</v>
      </c>
      <c r="AS513" s="1" t="n">
        <v>1962</v>
      </c>
      <c r="AT513" s="37" t="n">
        <f aca="false">(AS513/Q513)*100</f>
        <v>1.33293476636276</v>
      </c>
    </row>
    <row r="514" customFormat="false" ht="12.8" hidden="false" customHeight="true" outlineLevel="0" collapsed="false">
      <c r="A514" s="35" t="n">
        <v>2011</v>
      </c>
      <c r="B514" s="36" t="n">
        <v>45</v>
      </c>
      <c r="C514" s="1" t="s">
        <v>327</v>
      </c>
      <c r="D514" s="1" t="s">
        <v>311</v>
      </c>
      <c r="E514" s="1" t="s">
        <v>48</v>
      </c>
      <c r="F514" s="1" t="s">
        <v>289</v>
      </c>
      <c r="G514" s="1" t="s">
        <v>50</v>
      </c>
      <c r="H514" s="1" t="s">
        <v>65</v>
      </c>
      <c r="I514" s="1" t="s">
        <v>316</v>
      </c>
      <c r="J514" s="1" t="s">
        <v>51</v>
      </c>
      <c r="K514" s="1" t="s">
        <v>51</v>
      </c>
      <c r="L514" s="1" t="s">
        <v>51</v>
      </c>
      <c r="M514" s="1" t="s">
        <v>51</v>
      </c>
      <c r="N514" s="1" t="s">
        <v>51</v>
      </c>
      <c r="O514" s="1" t="s">
        <v>51</v>
      </c>
      <c r="P514" s="1" t="n">
        <v>175992</v>
      </c>
      <c r="Q514" s="1" t="n">
        <v>140848</v>
      </c>
      <c r="R514" s="37" t="n">
        <f aca="false">(Q514/P514)*100</f>
        <v>80.0309104959316</v>
      </c>
      <c r="S514" s="1" t="n">
        <f aca="false">Y514-AD514</f>
        <v>9760</v>
      </c>
      <c r="T514" s="37" t="n">
        <f aca="false">(S514/Q514)*100</f>
        <v>6.92945586731796</v>
      </c>
      <c r="U514" s="37" t="n">
        <f aca="false">Z514+AE514</f>
        <v>95.3112575258435</v>
      </c>
      <c r="V514" s="1" t="s">
        <v>55</v>
      </c>
      <c r="W514" s="1" t="s">
        <v>68</v>
      </c>
      <c r="X514" s="1" t="s">
        <v>1588</v>
      </c>
      <c r="Y514" s="1" t="n">
        <v>72002</v>
      </c>
      <c r="Z514" s="37" t="n">
        <f aca="false">(Y514/Q514)*100</f>
        <v>51.1203566965807</v>
      </c>
      <c r="AA514" s="37" t="s">
        <v>52</v>
      </c>
      <c r="AB514" s="1" t="s">
        <v>53</v>
      </c>
      <c r="AC514" s="1" t="s">
        <v>2651</v>
      </c>
      <c r="AD514" s="1" t="n">
        <v>62242</v>
      </c>
      <c r="AE514" s="37" t="n">
        <f aca="false">(AD514/Q514)*100</f>
        <v>44.1909008292628</v>
      </c>
      <c r="AF514" s="37" t="s">
        <v>197</v>
      </c>
      <c r="AG514" s="1" t="s">
        <v>197</v>
      </c>
      <c r="AH514" s="1" t="s">
        <v>2652</v>
      </c>
      <c r="AI514" s="1" t="n">
        <v>1350</v>
      </c>
      <c r="AJ514" s="37" t="n">
        <f aca="false">(AI514/Q514)*100</f>
        <v>0.958480063614677</v>
      </c>
      <c r="AK514" s="37" t="s">
        <v>85</v>
      </c>
      <c r="AL514" s="1" t="s">
        <v>85</v>
      </c>
      <c r="AM514" s="1" t="s">
        <v>2653</v>
      </c>
      <c r="AN514" s="1" t="n">
        <v>1226</v>
      </c>
      <c r="AO514" s="37" t="n">
        <f aca="false">(AN514/Q514)*100</f>
        <v>0.870441894808588</v>
      </c>
      <c r="AP514" s="37" t="s">
        <v>179</v>
      </c>
      <c r="AQ514" s="1" t="s">
        <v>179</v>
      </c>
      <c r="AR514" s="1" t="s">
        <v>2654</v>
      </c>
      <c r="AS514" s="1" t="n">
        <v>1111</v>
      </c>
      <c r="AT514" s="37" t="n">
        <f aca="false">(AS514/Q514)*100</f>
        <v>0.788793593093264</v>
      </c>
    </row>
    <row r="515" customFormat="false" ht="12.8" hidden="false" customHeight="true" outlineLevel="0" collapsed="false">
      <c r="A515" s="35" t="n">
        <v>2011</v>
      </c>
      <c r="B515" s="36" t="n">
        <v>46</v>
      </c>
      <c r="C515" s="1" t="s">
        <v>333</v>
      </c>
      <c r="D515" s="1" t="s">
        <v>311</v>
      </c>
      <c r="E515" s="1" t="s">
        <v>48</v>
      </c>
      <c r="F515" s="1" t="s">
        <v>289</v>
      </c>
      <c r="G515" s="1" t="s">
        <v>77</v>
      </c>
      <c r="H515" s="1" t="s">
        <v>65</v>
      </c>
      <c r="I515" s="1" t="s">
        <v>51</v>
      </c>
      <c r="J515" s="1" t="s">
        <v>51</v>
      </c>
      <c r="K515" s="1" t="s">
        <v>51</v>
      </c>
      <c r="L515" s="1" t="s">
        <v>51</v>
      </c>
      <c r="M515" s="1" t="s">
        <v>51</v>
      </c>
      <c r="N515" s="1" t="s">
        <v>51</v>
      </c>
      <c r="O515" s="1" t="s">
        <v>334</v>
      </c>
      <c r="P515" s="1" t="n">
        <v>210194</v>
      </c>
      <c r="Q515" s="1" t="n">
        <v>161833</v>
      </c>
      <c r="R515" s="37" t="n">
        <f aca="false">(Q515/P515)*100</f>
        <v>76.9922071990637</v>
      </c>
      <c r="S515" s="1" t="n">
        <f aca="false">Y515-AD515</f>
        <v>5842</v>
      </c>
      <c r="T515" s="37" t="n">
        <f aca="false">(S515/Q515)*100</f>
        <v>3.60989415014243</v>
      </c>
      <c r="U515" s="37" t="n">
        <f aca="false">Z515+AE515</f>
        <v>94.5357250993308</v>
      </c>
      <c r="V515" s="1" t="s">
        <v>55</v>
      </c>
      <c r="W515" s="1" t="s">
        <v>392</v>
      </c>
      <c r="X515" s="1" t="s">
        <v>1639</v>
      </c>
      <c r="Y515" s="1" t="n">
        <v>79416</v>
      </c>
      <c r="Z515" s="37" t="n">
        <f aca="false">(Y515/Q515)*100</f>
        <v>49.0728096247366</v>
      </c>
      <c r="AA515" s="37" t="s">
        <v>52</v>
      </c>
      <c r="AB515" s="1" t="s">
        <v>53</v>
      </c>
      <c r="AC515" s="1" t="s">
        <v>2655</v>
      </c>
      <c r="AD515" s="1" t="n">
        <v>73574</v>
      </c>
      <c r="AE515" s="37" t="n">
        <f aca="false">(AD515/Q515)*100</f>
        <v>45.4629154745942</v>
      </c>
      <c r="AF515" s="37" t="s">
        <v>179</v>
      </c>
      <c r="AG515" s="1" t="s">
        <v>179</v>
      </c>
      <c r="AH515" s="1" t="s">
        <v>2656</v>
      </c>
      <c r="AI515" s="1" t="n">
        <v>1687</v>
      </c>
      <c r="AJ515" s="37" t="n">
        <f aca="false">(AI515/Q515)*100</f>
        <v>1.04243263116917</v>
      </c>
      <c r="AK515" s="37" t="s">
        <v>197</v>
      </c>
      <c r="AL515" s="1" t="s">
        <v>197</v>
      </c>
      <c r="AM515" s="1" t="s">
        <v>2657</v>
      </c>
      <c r="AN515" s="1" t="n">
        <v>1416</v>
      </c>
      <c r="AO515" s="37" t="n">
        <f aca="false">(AN515/Q515)*100</f>
        <v>0.874976055563451</v>
      </c>
      <c r="AP515" s="37" t="s">
        <v>85</v>
      </c>
      <c r="AQ515" s="1" t="s">
        <v>85</v>
      </c>
      <c r="AR515" s="1" t="s">
        <v>2658</v>
      </c>
      <c r="AS515" s="1" t="n">
        <v>1335</v>
      </c>
      <c r="AT515" s="37" t="n">
        <f aca="false">(AS515/Q515)*100</f>
        <v>0.824924459164695</v>
      </c>
    </row>
    <row r="516" customFormat="false" ht="12.8" hidden="false" customHeight="true" outlineLevel="0" collapsed="false">
      <c r="A516" s="35" t="n">
        <v>2011</v>
      </c>
      <c r="B516" s="36" t="n">
        <v>47</v>
      </c>
      <c r="C516" s="1" t="s">
        <v>339</v>
      </c>
      <c r="D516" s="1" t="s">
        <v>340</v>
      </c>
      <c r="E516" s="1" t="s">
        <v>48</v>
      </c>
      <c r="F516" s="1" t="s">
        <v>289</v>
      </c>
      <c r="G516" s="1" t="s">
        <v>77</v>
      </c>
      <c r="H516" s="1" t="s">
        <v>51</v>
      </c>
      <c r="I516" s="1" t="s">
        <v>51</v>
      </c>
      <c r="J516" s="1" t="s">
        <v>51</v>
      </c>
      <c r="K516" s="1" t="s">
        <v>51</v>
      </c>
      <c r="L516" s="2" t="s">
        <v>197</v>
      </c>
      <c r="M516" s="1" t="s">
        <v>68</v>
      </c>
      <c r="N516" s="1" t="s">
        <v>51</v>
      </c>
      <c r="O516" s="1" t="s">
        <v>51</v>
      </c>
      <c r="P516" s="1" t="n">
        <v>187055</v>
      </c>
      <c r="Q516" s="1" t="n">
        <v>147405</v>
      </c>
      <c r="R516" s="37" t="n">
        <f aca="false">(Q516/P516)*100</f>
        <v>78.8030258480126</v>
      </c>
      <c r="S516" s="1" t="n">
        <f aca="false">Y516-AD516</f>
        <v>18225</v>
      </c>
      <c r="T516" s="37" t="n">
        <f aca="false">(S516/Q516)*100</f>
        <v>12.3638953902513</v>
      </c>
      <c r="U516" s="37" t="n">
        <f aca="false">Z516+AE516</f>
        <v>96.9444727112378</v>
      </c>
      <c r="V516" s="1" t="s">
        <v>55</v>
      </c>
      <c r="W516" s="1" t="s">
        <v>68</v>
      </c>
      <c r="X516" s="1" t="s">
        <v>2659</v>
      </c>
      <c r="Y516" s="1" t="n">
        <v>80563</v>
      </c>
      <c r="Z516" s="37" t="n">
        <f aca="false">(Y516/Q516)*100</f>
        <v>54.6541840507446</v>
      </c>
      <c r="AA516" s="37" t="s">
        <v>52</v>
      </c>
      <c r="AB516" s="1" t="s">
        <v>53</v>
      </c>
      <c r="AC516" s="1" t="s">
        <v>2660</v>
      </c>
      <c r="AD516" s="1" t="n">
        <v>62338</v>
      </c>
      <c r="AE516" s="37" t="n">
        <f aca="false">(AD516/Q516)*100</f>
        <v>42.2902886604932</v>
      </c>
      <c r="AF516" s="37" t="s">
        <v>197</v>
      </c>
      <c r="AG516" s="1" t="s">
        <v>197</v>
      </c>
      <c r="AH516" s="1" t="s">
        <v>2661</v>
      </c>
      <c r="AI516" s="1" t="n">
        <v>2548</v>
      </c>
      <c r="AJ516" s="37" t="n">
        <f aca="false">(AI516/Q516)*100</f>
        <v>1.72857094399783</v>
      </c>
      <c r="AK516" s="37" t="s">
        <v>85</v>
      </c>
      <c r="AL516" s="1" t="s">
        <v>85</v>
      </c>
      <c r="AM516" s="1" t="s">
        <v>2662</v>
      </c>
      <c r="AN516" s="1" t="n">
        <v>1149</v>
      </c>
      <c r="AO516" s="37" t="n">
        <f aca="false">(AN516/Q516)*100</f>
        <v>0.779485092093213</v>
      </c>
      <c r="AP516" s="37" t="s">
        <v>197</v>
      </c>
      <c r="AQ516" s="1" t="s">
        <v>197</v>
      </c>
      <c r="AR516" s="1" t="s">
        <v>2663</v>
      </c>
      <c r="AS516" s="1" t="n">
        <v>807</v>
      </c>
      <c r="AT516" s="37" t="n">
        <f aca="false">(AS516/Q516)*100</f>
        <v>0.547471252671212</v>
      </c>
    </row>
    <row r="517" customFormat="false" ht="12.8" hidden="false" customHeight="true" outlineLevel="0" collapsed="false">
      <c r="A517" s="35" t="n">
        <v>2011</v>
      </c>
      <c r="B517" s="36" t="n">
        <v>48</v>
      </c>
      <c r="C517" s="1" t="s">
        <v>348</v>
      </c>
      <c r="D517" s="1" t="s">
        <v>340</v>
      </c>
      <c r="E517" s="1" t="s">
        <v>48</v>
      </c>
      <c r="F517" s="1" t="s">
        <v>289</v>
      </c>
      <c r="G517" s="1" t="s">
        <v>88</v>
      </c>
      <c r="H517" s="1" t="s">
        <v>51</v>
      </c>
      <c r="I517" s="1" t="s">
        <v>51</v>
      </c>
      <c r="J517" s="1" t="s">
        <v>51</v>
      </c>
      <c r="K517" s="1" t="s">
        <v>51</v>
      </c>
      <c r="L517" s="1" t="s">
        <v>51</v>
      </c>
      <c r="M517" s="1" t="s">
        <v>51</v>
      </c>
      <c r="N517" s="1" t="s">
        <v>51</v>
      </c>
      <c r="O517" s="1" t="s">
        <v>51</v>
      </c>
      <c r="P517" s="1" t="n">
        <v>176519</v>
      </c>
      <c r="Q517" s="1" t="n">
        <v>137149</v>
      </c>
      <c r="R517" s="37" t="n">
        <f aca="false">(Q517/P517)*100</f>
        <v>77.6964519400178</v>
      </c>
      <c r="S517" s="1" t="n">
        <f aca="false">Y517-AD517</f>
        <v>5091</v>
      </c>
      <c r="T517" s="37" t="n">
        <f aca="false">(S517/Q517)*100</f>
        <v>3.7120212323823</v>
      </c>
      <c r="U517" s="37" t="n">
        <f aca="false">Z517+AE517</f>
        <v>84.3104944257705</v>
      </c>
      <c r="V517" s="1" t="s">
        <v>55</v>
      </c>
      <c r="W517" s="1" t="s">
        <v>2664</v>
      </c>
      <c r="X517" s="1" t="s">
        <v>2665</v>
      </c>
      <c r="Y517" s="1" t="n">
        <v>60361</v>
      </c>
      <c r="Z517" s="37" t="n">
        <f aca="false">(Y517/Q517)*100</f>
        <v>44.0112578290764</v>
      </c>
      <c r="AA517" s="37" t="s">
        <v>52</v>
      </c>
      <c r="AB517" s="1" t="s">
        <v>66</v>
      </c>
      <c r="AC517" s="1" t="s">
        <v>2666</v>
      </c>
      <c r="AD517" s="1" t="n">
        <v>55270</v>
      </c>
      <c r="AE517" s="37" t="n">
        <f aca="false">(AD517/Q517)*100</f>
        <v>40.2992365966941</v>
      </c>
      <c r="AF517" s="37" t="s">
        <v>197</v>
      </c>
      <c r="AG517" s="1" t="s">
        <v>197</v>
      </c>
      <c r="AH517" s="1" t="s">
        <v>2667</v>
      </c>
      <c r="AI517" s="1" t="n">
        <v>6553</v>
      </c>
      <c r="AJ517" s="37" t="n">
        <f aca="false">(AI517/Q517)*100</f>
        <v>4.77801515140468</v>
      </c>
      <c r="AK517" s="37" t="s">
        <v>1431</v>
      </c>
      <c r="AL517" s="1" t="s">
        <v>171</v>
      </c>
      <c r="AM517" s="41" t="s">
        <v>2668</v>
      </c>
      <c r="AN517" s="1" t="n">
        <v>6047</v>
      </c>
      <c r="AO517" s="37" t="n">
        <f aca="false">(AN517/Q517)*100</f>
        <v>4.40907334358982</v>
      </c>
      <c r="AP517" s="37" t="s">
        <v>197</v>
      </c>
      <c r="AQ517" s="1" t="s">
        <v>197</v>
      </c>
      <c r="AR517" s="1" t="s">
        <v>2669</v>
      </c>
      <c r="AS517" s="1" t="n">
        <v>1752</v>
      </c>
      <c r="AT517" s="37" t="n">
        <f aca="false">(AS517/Q517)*100</f>
        <v>1.27744278120876</v>
      </c>
    </row>
    <row r="518" customFormat="false" ht="12.8" hidden="false" customHeight="true" outlineLevel="0" collapsed="false">
      <c r="A518" s="35" t="n">
        <v>2011</v>
      </c>
      <c r="B518" s="36" t="n">
        <v>49</v>
      </c>
      <c r="C518" s="1" t="s">
        <v>355</v>
      </c>
      <c r="D518" s="1" t="s">
        <v>340</v>
      </c>
      <c r="E518" s="1" t="s">
        <v>48</v>
      </c>
      <c r="F518" s="1" t="s">
        <v>289</v>
      </c>
      <c r="G518" s="1" t="s">
        <v>77</v>
      </c>
      <c r="H518" s="1" t="s">
        <v>51</v>
      </c>
      <c r="I518" s="1" t="s">
        <v>51</v>
      </c>
      <c r="J518" s="1" t="s">
        <v>51</v>
      </c>
      <c r="K518" s="1" t="s">
        <v>51</v>
      </c>
      <c r="L518" s="1" t="s">
        <v>51</v>
      </c>
      <c r="M518" s="1" t="s">
        <v>51</v>
      </c>
      <c r="N518" s="1" t="s">
        <v>51</v>
      </c>
      <c r="O518" s="1" t="s">
        <v>51</v>
      </c>
      <c r="P518" s="1" t="n">
        <v>191688</v>
      </c>
      <c r="Q518" s="1" t="n">
        <v>156501</v>
      </c>
      <c r="R518" s="37" t="n">
        <f aca="false">(Q518/P518)*100</f>
        <v>81.6436083635908</v>
      </c>
      <c r="S518" s="1" t="n">
        <f aca="false">Y518-AD518</f>
        <v>22936</v>
      </c>
      <c r="T518" s="37" t="n">
        <f aca="false">(S518/Q518)*100</f>
        <v>14.6554974089622</v>
      </c>
      <c r="U518" s="37" t="n">
        <f aca="false">Z518+AE518</f>
        <v>95.5968332470719</v>
      </c>
      <c r="V518" s="1" t="s">
        <v>55</v>
      </c>
      <c r="W518" s="1" t="s">
        <v>68</v>
      </c>
      <c r="X518" s="1" t="s">
        <v>1651</v>
      </c>
      <c r="Y518" s="1" t="n">
        <v>86273</v>
      </c>
      <c r="Z518" s="37" t="n">
        <f aca="false">(Y518/Q518)*100</f>
        <v>55.1261653280171</v>
      </c>
      <c r="AA518" s="37" t="s">
        <v>52</v>
      </c>
      <c r="AB518" s="1" t="s">
        <v>56</v>
      </c>
      <c r="AC518" s="1" t="s">
        <v>1653</v>
      </c>
      <c r="AD518" s="1" t="n">
        <v>63337</v>
      </c>
      <c r="AE518" s="37" t="n">
        <f aca="false">(AD518/Q518)*100</f>
        <v>40.4706679190548</v>
      </c>
      <c r="AF518" s="37" t="s">
        <v>197</v>
      </c>
      <c r="AG518" s="1" t="s">
        <v>197</v>
      </c>
      <c r="AH518" s="1" t="s">
        <v>2670</v>
      </c>
      <c r="AI518" s="1" t="n">
        <v>1912</v>
      </c>
      <c r="AJ518" s="37" t="n">
        <f aca="false">(AI518/Q518)*100</f>
        <v>1.22171743311544</v>
      </c>
      <c r="AK518" s="37" t="s">
        <v>197</v>
      </c>
      <c r="AL518" s="1" t="s">
        <v>197</v>
      </c>
      <c r="AM518" s="1" t="s">
        <v>2671</v>
      </c>
      <c r="AN518" s="1" t="n">
        <v>1442</v>
      </c>
      <c r="AO518" s="37" t="n">
        <f aca="false">(AN518/Q518)*100</f>
        <v>0.92139986325966</v>
      </c>
      <c r="AP518" s="37" t="s">
        <v>85</v>
      </c>
      <c r="AQ518" s="1" t="s">
        <v>85</v>
      </c>
      <c r="AR518" s="1" t="s">
        <v>2672</v>
      </c>
      <c r="AS518" s="1" t="n">
        <v>956</v>
      </c>
      <c r="AT518" s="37" t="n">
        <f aca="false">(AS518/Q518)*100</f>
        <v>0.610858716557722</v>
      </c>
    </row>
    <row r="519" customFormat="false" ht="12.8" hidden="false" customHeight="true" outlineLevel="0" collapsed="false">
      <c r="A519" s="35" t="n">
        <v>2011</v>
      </c>
      <c r="B519" s="36" t="n">
        <v>50</v>
      </c>
      <c r="C519" s="1" t="s">
        <v>340</v>
      </c>
      <c r="D519" s="1" t="s">
        <v>340</v>
      </c>
      <c r="E519" s="1" t="s">
        <v>48</v>
      </c>
      <c r="F519" s="1" t="s">
        <v>289</v>
      </c>
      <c r="G519" s="1" t="s">
        <v>77</v>
      </c>
      <c r="H519" s="1" t="s">
        <v>51</v>
      </c>
      <c r="I519" s="1" t="s">
        <v>51</v>
      </c>
      <c r="J519" s="1" t="s">
        <v>51</v>
      </c>
      <c r="K519" s="1" t="s">
        <v>51</v>
      </c>
      <c r="L519" s="39" t="s">
        <v>53</v>
      </c>
      <c r="M519" s="1" t="s">
        <v>51</v>
      </c>
      <c r="N519" s="1" t="s">
        <v>51</v>
      </c>
      <c r="O519" s="1" t="s">
        <v>51</v>
      </c>
      <c r="P519" s="1" t="n">
        <v>181888</v>
      </c>
      <c r="Q519" s="1" t="n">
        <v>149869</v>
      </c>
      <c r="R519" s="37" t="n">
        <f aca="false">(Q519/P519)*100</f>
        <v>82.3963098170303</v>
      </c>
      <c r="S519" s="1" t="n">
        <f aca="false">Y519-AD519</f>
        <v>21792</v>
      </c>
      <c r="T519" s="37" t="n">
        <f aca="false">(S519/Q519)*100</f>
        <v>14.5406988770193</v>
      </c>
      <c r="U519" s="37" t="n">
        <f aca="false">Z519+AE519</f>
        <v>96.0825787854727</v>
      </c>
      <c r="V519" s="1" t="s">
        <v>55</v>
      </c>
      <c r="W519" s="1" t="s">
        <v>68</v>
      </c>
      <c r="X519" s="1" t="s">
        <v>2673</v>
      </c>
      <c r="Y519" s="1" t="n">
        <v>82895</v>
      </c>
      <c r="Z519" s="37" t="n">
        <f aca="false">(Y519/Q519)*100</f>
        <v>55.311638831246</v>
      </c>
      <c r="AA519" s="37" t="s">
        <v>52</v>
      </c>
      <c r="AB519" s="1" t="s">
        <v>53</v>
      </c>
      <c r="AC519" s="1" t="s">
        <v>243</v>
      </c>
      <c r="AD519" s="1" t="n">
        <v>61103</v>
      </c>
      <c r="AE519" s="37" t="n">
        <f aca="false">(AD519/Q519)*100</f>
        <v>40.7709399542267</v>
      </c>
      <c r="AF519" s="37" t="s">
        <v>1431</v>
      </c>
      <c r="AG519" s="1" t="s">
        <v>171</v>
      </c>
      <c r="AH519" s="1" t="s">
        <v>2674</v>
      </c>
      <c r="AI519" s="1" t="n">
        <v>1087</v>
      </c>
      <c r="AJ519" s="37" t="n">
        <f aca="false">(AI519/Q519)*100</f>
        <v>0.725300095416664</v>
      </c>
      <c r="AK519" s="37" t="s">
        <v>197</v>
      </c>
      <c r="AL519" s="1" t="s">
        <v>197</v>
      </c>
      <c r="AM519" s="1" t="s">
        <v>2675</v>
      </c>
      <c r="AN519" s="1" t="n">
        <v>1006</v>
      </c>
      <c r="AO519" s="37" t="n">
        <f aca="false">(AN519/Q519)*100</f>
        <v>0.671252894194263</v>
      </c>
      <c r="AP519" s="37" t="s">
        <v>197</v>
      </c>
      <c r="AQ519" s="1" t="s">
        <v>197</v>
      </c>
      <c r="AR519" s="1" t="s">
        <v>2676</v>
      </c>
      <c r="AS519" s="1" t="n">
        <v>843</v>
      </c>
      <c r="AT519" s="37" t="n">
        <f aca="false">(AS519/Q519)*100</f>
        <v>0.562491242351654</v>
      </c>
    </row>
    <row r="520" customFormat="false" ht="12.8" hidden="false" customHeight="true" outlineLevel="0" collapsed="false">
      <c r="A520" s="35" t="n">
        <v>2011</v>
      </c>
      <c r="B520" s="36" t="n">
        <v>51</v>
      </c>
      <c r="C520" s="1" t="s">
        <v>363</v>
      </c>
      <c r="D520" s="1" t="s">
        <v>364</v>
      </c>
      <c r="E520" s="1" t="s">
        <v>48</v>
      </c>
      <c r="F520" s="1" t="s">
        <v>365</v>
      </c>
      <c r="G520" s="1" t="s">
        <v>50</v>
      </c>
      <c r="H520" s="1" t="s">
        <v>65</v>
      </c>
      <c r="I520" s="1" t="s">
        <v>51</v>
      </c>
      <c r="J520" s="1" t="s">
        <v>51</v>
      </c>
      <c r="K520" s="1" t="s">
        <v>51</v>
      </c>
      <c r="L520" s="1" t="s">
        <v>51</v>
      </c>
      <c r="M520" s="1" t="s">
        <v>68</v>
      </c>
      <c r="N520" s="1" t="s">
        <v>51</v>
      </c>
      <c r="O520" s="1" t="s">
        <v>51</v>
      </c>
      <c r="P520" s="1" t="n">
        <v>186855</v>
      </c>
      <c r="Q520" s="1" t="n">
        <v>153391</v>
      </c>
      <c r="R520" s="37" t="n">
        <f aca="false">(Q520/P520)*100</f>
        <v>82.0909261191833</v>
      </c>
      <c r="S520" s="1" t="n">
        <f aca="false">Y520-AD520</f>
        <v>39158</v>
      </c>
      <c r="T520" s="37" t="n">
        <f aca="false">(S520/Q520)*100</f>
        <v>25.5282252544152</v>
      </c>
      <c r="U520" s="37" t="n">
        <f aca="false">Z520+AE520</f>
        <v>92.3157160459219</v>
      </c>
      <c r="V520" s="1" t="s">
        <v>55</v>
      </c>
      <c r="W520" s="1" t="s">
        <v>68</v>
      </c>
      <c r="X520" s="1" t="s">
        <v>2677</v>
      </c>
      <c r="Y520" s="1" t="n">
        <v>90381</v>
      </c>
      <c r="Z520" s="37" t="n">
        <f aca="false">(Y520/Q520)*100</f>
        <v>58.9219706501685</v>
      </c>
      <c r="AA520" s="37" t="s">
        <v>52</v>
      </c>
      <c r="AB520" s="1" t="s">
        <v>257</v>
      </c>
      <c r="AC520" s="1" t="s">
        <v>2678</v>
      </c>
      <c r="AD520" s="1" t="n">
        <v>51223</v>
      </c>
      <c r="AE520" s="37" t="n">
        <f aca="false">(AD520/Q520)*100</f>
        <v>33.3937453957533</v>
      </c>
      <c r="AF520" s="37" t="s">
        <v>197</v>
      </c>
      <c r="AG520" s="1" t="s">
        <v>197</v>
      </c>
      <c r="AH520" s="1" t="s">
        <v>2679</v>
      </c>
      <c r="AI520" s="1" t="n">
        <v>4134</v>
      </c>
      <c r="AJ520" s="37" t="n">
        <f aca="false">(AI520/Q520)*100</f>
        <v>2.69507337457869</v>
      </c>
      <c r="AK520" s="37" t="s">
        <v>1431</v>
      </c>
      <c r="AL520" s="1" t="s">
        <v>171</v>
      </c>
      <c r="AM520" s="1" t="s">
        <v>2680</v>
      </c>
      <c r="AN520" s="1" t="n">
        <v>2549</v>
      </c>
      <c r="AO520" s="37" t="n">
        <f aca="false">(AN520/Q520)*100</f>
        <v>1.66176633570418</v>
      </c>
      <c r="AP520" s="37" t="s">
        <v>197</v>
      </c>
      <c r="AQ520" s="1" t="s">
        <v>197</v>
      </c>
      <c r="AR520" s="1" t="s">
        <v>2681</v>
      </c>
      <c r="AS520" s="1" t="n">
        <v>2138</v>
      </c>
      <c r="AT520" s="37" t="n">
        <f aca="false">(AS520/Q520)*100</f>
        <v>1.39382362720107</v>
      </c>
    </row>
    <row r="521" customFormat="false" ht="12.8" hidden="false" customHeight="true" outlineLevel="0" collapsed="false">
      <c r="A521" s="35" t="n">
        <v>2011</v>
      </c>
      <c r="B521" s="36" t="n">
        <v>52</v>
      </c>
      <c r="C521" s="1" t="s">
        <v>370</v>
      </c>
      <c r="D521" s="1" t="s">
        <v>364</v>
      </c>
      <c r="E521" s="1" t="s">
        <v>48</v>
      </c>
      <c r="F521" s="1" t="s">
        <v>365</v>
      </c>
      <c r="G521" s="1" t="s">
        <v>50</v>
      </c>
      <c r="H521" s="1" t="s">
        <v>51</v>
      </c>
      <c r="I521" s="1" t="s">
        <v>51</v>
      </c>
      <c r="J521" s="1" t="s">
        <v>51</v>
      </c>
      <c r="K521" s="1" t="s">
        <v>51</v>
      </c>
      <c r="L521" s="1" t="s">
        <v>51</v>
      </c>
      <c r="M521" s="1" t="s">
        <v>51</v>
      </c>
      <c r="N521" s="1" t="s">
        <v>68</v>
      </c>
      <c r="O521" s="1" t="s">
        <v>126</v>
      </c>
      <c r="P521" s="1" t="n">
        <v>193531</v>
      </c>
      <c r="Q521" s="1" t="n">
        <v>158363</v>
      </c>
      <c r="R521" s="37" t="n">
        <f aca="false">(Q521/P521)*100</f>
        <v>81.8282342363756</v>
      </c>
      <c r="S521" s="1" t="n">
        <f aca="false">Y521-AD521</f>
        <v>29440</v>
      </c>
      <c r="T521" s="37" t="n">
        <f aca="false">(S521/Q521)*100</f>
        <v>18.590200993919</v>
      </c>
      <c r="U521" s="37" t="n">
        <f aca="false">Z521+AE521</f>
        <v>93.4448071834962</v>
      </c>
      <c r="V521" s="1" t="s">
        <v>55</v>
      </c>
      <c r="W521" s="1" t="s">
        <v>68</v>
      </c>
      <c r="X521" s="1" t="s">
        <v>2682</v>
      </c>
      <c r="Y521" s="1" t="n">
        <v>88711</v>
      </c>
      <c r="Z521" s="37" t="n">
        <f aca="false">(Y521/Q521)*100</f>
        <v>56.0175040887076</v>
      </c>
      <c r="AA521" s="37" t="s">
        <v>52</v>
      </c>
      <c r="AB521" s="1" t="s">
        <v>56</v>
      </c>
      <c r="AC521" s="1" t="s">
        <v>2683</v>
      </c>
      <c r="AD521" s="1" t="n">
        <v>59271</v>
      </c>
      <c r="AE521" s="37" t="n">
        <f aca="false">(AD521/Q521)*100</f>
        <v>37.4273030947886</v>
      </c>
      <c r="AF521" s="37" t="s">
        <v>1431</v>
      </c>
      <c r="AG521" s="1" t="s">
        <v>171</v>
      </c>
      <c r="AH521" s="1" t="s">
        <v>2684</v>
      </c>
      <c r="AI521" s="1" t="n">
        <v>2314</v>
      </c>
      <c r="AJ521" s="37" t="n">
        <f aca="false">(AI521/Q521)*100</f>
        <v>1.46119990149214</v>
      </c>
      <c r="AK521" s="37" t="s">
        <v>197</v>
      </c>
      <c r="AL521" s="1" t="s">
        <v>2685</v>
      </c>
      <c r="AM521" s="1" t="s">
        <v>2676</v>
      </c>
      <c r="AN521" s="1" t="n">
        <v>1611</v>
      </c>
      <c r="AO521" s="37" t="n">
        <f aca="false">(AN521/Q521)*100</f>
        <v>1.01728307748653</v>
      </c>
      <c r="AP521" s="37" t="s">
        <v>197</v>
      </c>
      <c r="AQ521" s="1" t="s">
        <v>197</v>
      </c>
      <c r="AR521" s="1" t="s">
        <v>2686</v>
      </c>
      <c r="AS521" s="1" t="n">
        <v>1512</v>
      </c>
      <c r="AT521" s="37" t="n">
        <f aca="false">(AS521/Q521)*100</f>
        <v>0.954768474959429</v>
      </c>
    </row>
    <row r="522" customFormat="false" ht="12.8" hidden="false" customHeight="true" outlineLevel="0" collapsed="false">
      <c r="A522" s="35" t="n">
        <v>2011</v>
      </c>
      <c r="B522" s="36" t="n">
        <v>53</v>
      </c>
      <c r="C522" s="1" t="s">
        <v>364</v>
      </c>
      <c r="D522" s="1" t="s">
        <v>364</v>
      </c>
      <c r="E522" s="1" t="s">
        <v>48</v>
      </c>
      <c r="F522" s="1" t="s">
        <v>365</v>
      </c>
      <c r="G522" s="1" t="s">
        <v>77</v>
      </c>
      <c r="H522" s="1" t="s">
        <v>51</v>
      </c>
      <c r="I522" s="1" t="s">
        <v>51</v>
      </c>
      <c r="J522" s="1" t="s">
        <v>51</v>
      </c>
      <c r="K522" s="1" t="s">
        <v>51</v>
      </c>
      <c r="L522" s="1" t="s">
        <v>68</v>
      </c>
      <c r="M522" s="1" t="s">
        <v>51</v>
      </c>
      <c r="N522" s="1" t="s">
        <v>51</v>
      </c>
      <c r="O522" s="1" t="s">
        <v>51</v>
      </c>
      <c r="P522" s="1" t="n">
        <v>201926</v>
      </c>
      <c r="Q522" s="1" t="n">
        <v>160679</v>
      </c>
      <c r="R522" s="37" t="n">
        <f aca="false">(Q522/P522)*100</f>
        <v>79.5732099878173</v>
      </c>
      <c r="S522" s="1" t="n">
        <f aca="false">Y522-AD522</f>
        <v>29097</v>
      </c>
      <c r="T522" s="37" t="n">
        <f aca="false">(S522/Q522)*100</f>
        <v>18.1087758823493</v>
      </c>
      <c r="U522" s="37" t="n">
        <f aca="false">Z522+AE522</f>
        <v>93.6370029686518</v>
      </c>
      <c r="V522" s="1" t="s">
        <v>55</v>
      </c>
      <c r="W522" s="1" t="s">
        <v>68</v>
      </c>
      <c r="X522" s="1" t="s">
        <v>2687</v>
      </c>
      <c r="Y522" s="1" t="n">
        <v>89776</v>
      </c>
      <c r="Z522" s="37" t="n">
        <f aca="false">(Y522/Q522)*100</f>
        <v>55.8728894255005</v>
      </c>
      <c r="AA522" s="37" t="s">
        <v>52</v>
      </c>
      <c r="AB522" s="1" t="s">
        <v>66</v>
      </c>
      <c r="AC522" s="1" t="s">
        <v>2688</v>
      </c>
      <c r="AD522" s="1" t="n">
        <v>60679</v>
      </c>
      <c r="AE522" s="37" t="n">
        <f aca="false">(AD522/Q522)*100</f>
        <v>37.7641135431513</v>
      </c>
      <c r="AF522" s="37" t="s">
        <v>1431</v>
      </c>
      <c r="AG522" s="1" t="s">
        <v>171</v>
      </c>
      <c r="AH522" s="1" t="s">
        <v>2689</v>
      </c>
      <c r="AI522" s="1" t="n">
        <v>3025</v>
      </c>
      <c r="AJ522" s="37" t="n">
        <f aca="false">(AI522/Q522)*100</f>
        <v>1.88263556531967</v>
      </c>
      <c r="AK522" s="37" t="s">
        <v>197</v>
      </c>
      <c r="AL522" s="1" t="s">
        <v>2685</v>
      </c>
      <c r="AM522" s="1" t="s">
        <v>2690</v>
      </c>
      <c r="AN522" s="1" t="n">
        <v>2357</v>
      </c>
      <c r="AO522" s="37" t="n">
        <f aca="false">(AN522/Q522)*100</f>
        <v>1.46689984378793</v>
      </c>
      <c r="AP522" s="37" t="s">
        <v>197</v>
      </c>
      <c r="AQ522" s="1" t="s">
        <v>197</v>
      </c>
      <c r="AR522" s="1" t="s">
        <v>2691</v>
      </c>
      <c r="AS522" s="1" t="n">
        <v>1561</v>
      </c>
      <c r="AT522" s="37" t="n">
        <f aca="false">(AS522/Q522)*100</f>
        <v>0.971502187591409</v>
      </c>
    </row>
    <row r="523" customFormat="false" ht="12.8" hidden="false" customHeight="true" outlineLevel="0" collapsed="false">
      <c r="A523" s="35" t="n">
        <v>2011</v>
      </c>
      <c r="B523" s="36" t="n">
        <v>54</v>
      </c>
      <c r="C523" s="1" t="s">
        <v>379</v>
      </c>
      <c r="D523" s="1" t="s">
        <v>364</v>
      </c>
      <c r="E523" s="1" t="s">
        <v>48</v>
      </c>
      <c r="F523" s="1" t="s">
        <v>365</v>
      </c>
      <c r="G523" s="1" t="s">
        <v>50</v>
      </c>
      <c r="H523" s="1" t="s">
        <v>51</v>
      </c>
      <c r="I523" s="1" t="s">
        <v>51</v>
      </c>
      <c r="J523" s="1" t="s">
        <v>51</v>
      </c>
      <c r="K523" s="1" t="s">
        <v>51</v>
      </c>
      <c r="L523" s="1" t="s">
        <v>51</v>
      </c>
      <c r="M523" s="1" t="s">
        <v>51</v>
      </c>
      <c r="N523" s="1" t="s">
        <v>51</v>
      </c>
      <c r="O523" s="1" t="s">
        <v>51</v>
      </c>
      <c r="P523" s="1" t="n">
        <v>185746</v>
      </c>
      <c r="Q523" s="1" t="n">
        <v>158504</v>
      </c>
      <c r="R523" s="37" t="n">
        <f aca="false">(Q523/P523)*100</f>
        <v>85.3337353159691</v>
      </c>
      <c r="S523" s="1" t="n">
        <f aca="false">Y523-AD523</f>
        <v>7604</v>
      </c>
      <c r="T523" s="37" t="n">
        <f aca="false">(S523/Q523)*100</f>
        <v>4.79735527179125</v>
      </c>
      <c r="U523" s="37" t="n">
        <f aca="false">Z523+AE523</f>
        <v>85.3845959723414</v>
      </c>
      <c r="V523" s="1" t="s">
        <v>52</v>
      </c>
      <c r="W523" s="1" t="s">
        <v>53</v>
      </c>
      <c r="X523" s="1" t="s">
        <v>2692</v>
      </c>
      <c r="Y523" s="1" t="n">
        <v>71471</v>
      </c>
      <c r="Z523" s="37" t="n">
        <f aca="false">(Y523/Q523)*100</f>
        <v>45.0909756220663</v>
      </c>
      <c r="AA523" s="1" t="s">
        <v>55</v>
      </c>
      <c r="AB523" s="1" t="s">
        <v>61</v>
      </c>
      <c r="AC523" s="1" t="s">
        <v>2693</v>
      </c>
      <c r="AD523" s="1" t="n">
        <v>63867</v>
      </c>
      <c r="AE523" s="37" t="n">
        <f aca="false">(AD523/Q523)*100</f>
        <v>40.2936203502751</v>
      </c>
      <c r="AF523" s="37" t="s">
        <v>197</v>
      </c>
      <c r="AG523" s="1" t="s">
        <v>2685</v>
      </c>
      <c r="AH523" s="1" t="s">
        <v>2694</v>
      </c>
      <c r="AI523" s="1" t="n">
        <v>8943</v>
      </c>
      <c r="AJ523" s="37" t="n">
        <f aca="false">(AI523/Q523)*100</f>
        <v>5.64212890526422</v>
      </c>
      <c r="AK523" s="37" t="s">
        <v>1431</v>
      </c>
      <c r="AL523" s="1" t="s">
        <v>171</v>
      </c>
      <c r="AM523" s="1" t="s">
        <v>2695</v>
      </c>
      <c r="AN523" s="1" t="n">
        <v>5035</v>
      </c>
      <c r="AO523" s="37" t="n">
        <f aca="false">(AN523/Q523)*100</f>
        <v>3.17657598546409</v>
      </c>
      <c r="AP523" s="37" t="s">
        <v>197</v>
      </c>
      <c r="AQ523" s="1" t="s">
        <v>197</v>
      </c>
      <c r="AR523" s="1" t="s">
        <v>2696</v>
      </c>
      <c r="AS523" s="1" t="n">
        <v>4766</v>
      </c>
      <c r="AT523" s="37" t="n">
        <f aca="false">(AS523/Q523)*100</f>
        <v>3.00686418008378</v>
      </c>
    </row>
    <row r="524" customFormat="false" ht="12.8" hidden="false" customHeight="true" outlineLevel="0" collapsed="false">
      <c r="A524" s="35" t="n">
        <v>2011</v>
      </c>
      <c r="B524" s="36" t="n">
        <v>55</v>
      </c>
      <c r="C524" s="1" t="s">
        <v>385</v>
      </c>
      <c r="D524" s="1" t="s">
        <v>364</v>
      </c>
      <c r="E524" s="1" t="s">
        <v>48</v>
      </c>
      <c r="F524" s="1" t="s">
        <v>365</v>
      </c>
      <c r="G524" s="1" t="s">
        <v>88</v>
      </c>
      <c r="H524" s="1" t="s">
        <v>51</v>
      </c>
      <c r="I524" s="1" t="s">
        <v>51</v>
      </c>
      <c r="J524" s="1" t="s">
        <v>51</v>
      </c>
      <c r="K524" s="1" t="s">
        <v>51</v>
      </c>
      <c r="L524" s="40" t="s">
        <v>386</v>
      </c>
      <c r="M524" s="1" t="s">
        <v>51</v>
      </c>
      <c r="N524" s="1" t="s">
        <v>66</v>
      </c>
      <c r="O524" s="1" t="s">
        <v>51</v>
      </c>
      <c r="P524" s="1" t="n">
        <v>229478</v>
      </c>
      <c r="Q524" s="1" t="n">
        <v>172106</v>
      </c>
      <c r="R524" s="37" t="n">
        <f aca="false">(Q524/P524)*100</f>
        <v>74.998910570948</v>
      </c>
      <c r="S524" s="1" t="n">
        <f aca="false">Y524-AD524</f>
        <v>14152</v>
      </c>
      <c r="T524" s="37" t="n">
        <f aca="false">(S524/Q524)*100</f>
        <v>8.22283941291995</v>
      </c>
      <c r="U524" s="37" t="n">
        <f aca="false">Z524+AE524</f>
        <v>67.3515159262315</v>
      </c>
      <c r="V524" s="1" t="s">
        <v>52</v>
      </c>
      <c r="W524" s="1" t="s">
        <v>66</v>
      </c>
      <c r="X524" s="1" t="s">
        <v>2697</v>
      </c>
      <c r="Y524" s="1" t="n">
        <v>65034</v>
      </c>
      <c r="Z524" s="37" t="n">
        <f aca="false">(Y524/Q524)*100</f>
        <v>37.7871776695757</v>
      </c>
      <c r="AA524" s="1" t="s">
        <v>55</v>
      </c>
      <c r="AB524" s="1" t="s">
        <v>61</v>
      </c>
      <c r="AC524" s="1" t="s">
        <v>2698</v>
      </c>
      <c r="AD524" s="1" t="n">
        <v>50882</v>
      </c>
      <c r="AE524" s="37" t="n">
        <f aca="false">(AD524/Q524)*100</f>
        <v>29.5643382566558</v>
      </c>
      <c r="AF524" s="37" t="s">
        <v>197</v>
      </c>
      <c r="AG524" s="1" t="s">
        <v>197</v>
      </c>
      <c r="AH524" s="1" t="s">
        <v>2699</v>
      </c>
      <c r="AI524" s="1" t="n">
        <v>24639</v>
      </c>
      <c r="AJ524" s="37" t="n">
        <f aca="false">(AI524/Q524)*100</f>
        <v>14.3161772396082</v>
      </c>
      <c r="AK524" s="37" t="s">
        <v>1431</v>
      </c>
      <c r="AL524" s="1" t="s">
        <v>171</v>
      </c>
      <c r="AM524" s="1" t="s">
        <v>2700</v>
      </c>
      <c r="AN524" s="1" t="n">
        <v>19217</v>
      </c>
      <c r="AO524" s="37" t="n">
        <f aca="false">(AN524/Q524)*100</f>
        <v>11.1657931739742</v>
      </c>
      <c r="AP524" s="37" t="s">
        <v>197</v>
      </c>
      <c r="AQ524" s="1" t="s">
        <v>197</v>
      </c>
      <c r="AR524" s="1" t="s">
        <v>2701</v>
      </c>
      <c r="AS524" s="1" t="n">
        <v>6325</v>
      </c>
      <c r="AT524" s="37" t="n">
        <f aca="false">(AS524/Q524)*100</f>
        <v>3.67506071839448</v>
      </c>
    </row>
    <row r="525" customFormat="false" ht="12.8" hidden="false" customHeight="true" outlineLevel="0" collapsed="false">
      <c r="A525" s="35" t="n">
        <v>2011</v>
      </c>
      <c r="B525" s="36" t="n">
        <v>56</v>
      </c>
      <c r="C525" s="1" t="s">
        <v>391</v>
      </c>
      <c r="D525" s="1" t="s">
        <v>364</v>
      </c>
      <c r="E525" s="1" t="s">
        <v>48</v>
      </c>
      <c r="F525" s="1" t="s">
        <v>365</v>
      </c>
      <c r="G525" s="1" t="s">
        <v>50</v>
      </c>
      <c r="H525" s="1" t="s">
        <v>51</v>
      </c>
      <c r="I525" s="1" t="s">
        <v>51</v>
      </c>
      <c r="J525" s="1" t="s">
        <v>51</v>
      </c>
      <c r="K525" s="1" t="s">
        <v>392</v>
      </c>
      <c r="L525" s="1" t="s">
        <v>51</v>
      </c>
      <c r="M525" s="1" t="s">
        <v>51</v>
      </c>
      <c r="N525" s="1" t="s">
        <v>51</v>
      </c>
      <c r="O525" s="1" t="s">
        <v>51</v>
      </c>
      <c r="P525" s="1" t="n">
        <v>184376</v>
      </c>
      <c r="Q525" s="1" t="n">
        <v>155238</v>
      </c>
      <c r="R525" s="37" t="n">
        <f aca="false">(Q525/P525)*100</f>
        <v>84.1964246973576</v>
      </c>
      <c r="S525" s="1" t="n">
        <f aca="false">Y525-AD525</f>
        <v>6435</v>
      </c>
      <c r="T525" s="37" t="n">
        <f aca="false">(S525/Q525)*100</f>
        <v>4.1452479418699</v>
      </c>
      <c r="U525" s="37" t="n">
        <f aca="false">Z525+AE525</f>
        <v>91.6470194153493</v>
      </c>
      <c r="V525" s="1" t="s">
        <v>55</v>
      </c>
      <c r="W525" s="1" t="s">
        <v>392</v>
      </c>
      <c r="X525" s="1" t="s">
        <v>1683</v>
      </c>
      <c r="Y525" s="1" t="n">
        <v>74353</v>
      </c>
      <c r="Z525" s="37" t="n">
        <f aca="false">(Y525/Q525)*100</f>
        <v>47.8961336786096</v>
      </c>
      <c r="AA525" s="37" t="s">
        <v>52</v>
      </c>
      <c r="AB525" s="1" t="s">
        <v>53</v>
      </c>
      <c r="AC525" s="1" t="s">
        <v>1682</v>
      </c>
      <c r="AD525" s="1" t="n">
        <v>67918</v>
      </c>
      <c r="AE525" s="37" t="n">
        <f aca="false">(AD525/Q525)*100</f>
        <v>43.7508857367397</v>
      </c>
      <c r="AF525" s="37" t="s">
        <v>1431</v>
      </c>
      <c r="AG525" s="1" t="s">
        <v>171</v>
      </c>
      <c r="AH525" s="1" t="s">
        <v>2702</v>
      </c>
      <c r="AI525" s="1" t="n">
        <v>4727</v>
      </c>
      <c r="AJ525" s="37" t="n">
        <f aca="false">(AI525/Q525)*100</f>
        <v>3.04500186809931</v>
      </c>
      <c r="AK525" s="37" t="s">
        <v>197</v>
      </c>
      <c r="AL525" s="1" t="s">
        <v>197</v>
      </c>
      <c r="AM525" s="1" t="s">
        <v>2703</v>
      </c>
      <c r="AN525" s="1" t="n">
        <v>2847</v>
      </c>
      <c r="AO525" s="37" t="n">
        <f aca="false">(AN525/Q525)*100</f>
        <v>1.83395818034244</v>
      </c>
      <c r="AP525" s="37" t="s">
        <v>197</v>
      </c>
      <c r="AQ525" s="1" t="s">
        <v>197</v>
      </c>
      <c r="AR525" s="1" t="s">
        <v>2704</v>
      </c>
      <c r="AS525" s="1" t="n">
        <v>2376</v>
      </c>
      <c r="AT525" s="37" t="n">
        <f aca="false">(AS525/Q525)*100</f>
        <v>1.53055308622889</v>
      </c>
    </row>
    <row r="526" customFormat="false" ht="12.8" hidden="false" customHeight="true" outlineLevel="0" collapsed="false">
      <c r="A526" s="35" t="n">
        <v>2011</v>
      </c>
      <c r="B526" s="36" t="n">
        <v>57</v>
      </c>
      <c r="C526" s="1" t="s">
        <v>397</v>
      </c>
      <c r="D526" s="1" t="s">
        <v>398</v>
      </c>
      <c r="E526" s="1" t="s">
        <v>48</v>
      </c>
      <c r="F526" s="1" t="s">
        <v>365</v>
      </c>
      <c r="G526" s="1" t="s">
        <v>50</v>
      </c>
      <c r="H526" s="1" t="s">
        <v>51</v>
      </c>
      <c r="I526" s="1" t="s">
        <v>51</v>
      </c>
      <c r="J526" s="1" t="s">
        <v>51</v>
      </c>
      <c r="K526" s="1" t="s">
        <v>68</v>
      </c>
      <c r="L526" s="1" t="s">
        <v>51</v>
      </c>
      <c r="M526" s="1" t="s">
        <v>68</v>
      </c>
      <c r="N526" s="1" t="s">
        <v>51</v>
      </c>
      <c r="O526" s="1" t="s">
        <v>51</v>
      </c>
      <c r="P526" s="1" t="n">
        <v>180193</v>
      </c>
      <c r="Q526" s="1" t="n">
        <v>156258</v>
      </c>
      <c r="R526" s="37" t="n">
        <f aca="false">(Q526/P526)*100</f>
        <v>86.717020084021</v>
      </c>
      <c r="S526" s="1" t="n">
        <f aca="false">Y526-AD526</f>
        <v>43213</v>
      </c>
      <c r="T526" s="37" t="n">
        <f aca="false">(S526/Q526)*100</f>
        <v>27.6549040689117</v>
      </c>
      <c r="U526" s="37" t="n">
        <f aca="false">Z526+AE526</f>
        <v>93.7814383903544</v>
      </c>
      <c r="V526" s="1" t="s">
        <v>55</v>
      </c>
      <c r="W526" s="1" t="s">
        <v>68</v>
      </c>
      <c r="X526" s="1" t="s">
        <v>1687</v>
      </c>
      <c r="Y526" s="1" t="n">
        <v>94877</v>
      </c>
      <c r="Z526" s="37" t="n">
        <f aca="false">(Y526/Q526)*100</f>
        <v>60.718171229633</v>
      </c>
      <c r="AA526" s="37" t="s">
        <v>52</v>
      </c>
      <c r="AB526" s="1" t="s">
        <v>56</v>
      </c>
      <c r="AC526" s="1" t="s">
        <v>2705</v>
      </c>
      <c r="AD526" s="1" t="n">
        <v>51664</v>
      </c>
      <c r="AE526" s="37" t="n">
        <f aca="false">(AD526/Q526)*100</f>
        <v>33.0632671607214</v>
      </c>
      <c r="AF526" s="37" t="s">
        <v>197</v>
      </c>
      <c r="AG526" s="1" t="s">
        <v>197</v>
      </c>
      <c r="AH526" s="1" t="s">
        <v>2706</v>
      </c>
      <c r="AI526" s="1" t="n">
        <v>2449</v>
      </c>
      <c r="AJ526" s="37" t="n">
        <f aca="false">(AI526/Q526)*100</f>
        <v>1.56727975527653</v>
      </c>
      <c r="AK526" s="37" t="s">
        <v>1431</v>
      </c>
      <c r="AL526" s="1" t="s">
        <v>171</v>
      </c>
      <c r="AM526" s="1" t="s">
        <v>2707</v>
      </c>
      <c r="AN526" s="1" t="n">
        <v>1937</v>
      </c>
      <c r="AO526" s="37" t="n">
        <f aca="false">(AN526/Q526)*100</f>
        <v>1.23961653163358</v>
      </c>
      <c r="AP526" s="37" t="s">
        <v>197</v>
      </c>
      <c r="AQ526" s="1" t="s">
        <v>197</v>
      </c>
      <c r="AR526" s="1" t="s">
        <v>2708</v>
      </c>
      <c r="AS526" s="1" t="n">
        <v>1101</v>
      </c>
      <c r="AT526" s="37" t="n">
        <f aca="false">(AS526/Q526)*100</f>
        <v>0.704603924279077</v>
      </c>
    </row>
    <row r="527" customFormat="false" ht="12.8" hidden="false" customHeight="true" outlineLevel="0" collapsed="false">
      <c r="A527" s="35" t="n">
        <v>2011</v>
      </c>
      <c r="B527" s="36" t="n">
        <v>58</v>
      </c>
      <c r="C527" s="1" t="s">
        <v>403</v>
      </c>
      <c r="D527" s="1" t="s">
        <v>398</v>
      </c>
      <c r="E527" s="1" t="s">
        <v>48</v>
      </c>
      <c r="F527" s="1" t="s">
        <v>365</v>
      </c>
      <c r="G527" s="1" t="s">
        <v>50</v>
      </c>
      <c r="H527" s="1" t="s">
        <v>51</v>
      </c>
      <c r="I527" s="1" t="s">
        <v>51</v>
      </c>
      <c r="J527" s="1" t="s">
        <v>51</v>
      </c>
      <c r="K527" s="1" t="s">
        <v>51</v>
      </c>
      <c r="L527" s="1" t="s">
        <v>51</v>
      </c>
      <c r="M527" s="1" t="s">
        <v>51</v>
      </c>
      <c r="N527" s="1" t="s">
        <v>51</v>
      </c>
      <c r="O527" s="1" t="s">
        <v>51</v>
      </c>
      <c r="P527" s="1" t="n">
        <v>195492</v>
      </c>
      <c r="Q527" s="1" t="n">
        <v>162288</v>
      </c>
      <c r="R527" s="37" t="n">
        <f aca="false">(Q527/P527)*100</f>
        <v>83.0151617457492</v>
      </c>
      <c r="S527" s="1" t="n">
        <f aca="false">Y527-AD527</f>
        <v>11543</v>
      </c>
      <c r="T527" s="37" t="n">
        <f aca="false">(S527/Q527)*100</f>
        <v>7.11266390614217</v>
      </c>
      <c r="U527" s="37" t="n">
        <f aca="false">Z527+AE527</f>
        <v>91.5120033520655</v>
      </c>
      <c r="V527" s="1" t="s">
        <v>55</v>
      </c>
      <c r="W527" s="1" t="s">
        <v>392</v>
      </c>
      <c r="X527" s="1" t="s">
        <v>1694</v>
      </c>
      <c r="Y527" s="1" t="n">
        <v>80028</v>
      </c>
      <c r="Z527" s="37" t="n">
        <f aca="false">(Y527/Q527)*100</f>
        <v>49.3123336291038</v>
      </c>
      <c r="AA527" s="37" t="s">
        <v>52</v>
      </c>
      <c r="AB527" s="1" t="s">
        <v>53</v>
      </c>
      <c r="AC527" s="1" t="s">
        <v>1691</v>
      </c>
      <c r="AD527" s="1" t="n">
        <v>68485</v>
      </c>
      <c r="AE527" s="37" t="n">
        <f aca="false">(AD527/Q527)*100</f>
        <v>42.1996697229616</v>
      </c>
      <c r="AF527" s="37" t="s">
        <v>197</v>
      </c>
      <c r="AG527" s="1" t="s">
        <v>197</v>
      </c>
      <c r="AH527" s="1" t="s">
        <v>1932</v>
      </c>
      <c r="AI527" s="1" t="n">
        <v>3047</v>
      </c>
      <c r="AJ527" s="37" t="n">
        <f aca="false">(AI527/Q527)*100</f>
        <v>1.87752637286799</v>
      </c>
      <c r="AK527" s="37" t="s">
        <v>1431</v>
      </c>
      <c r="AL527" s="1" t="s">
        <v>171</v>
      </c>
      <c r="AM527" s="1" t="s">
        <v>2709</v>
      </c>
      <c r="AN527" s="1" t="n">
        <v>2660</v>
      </c>
      <c r="AO527" s="37" t="n">
        <f aca="false">(AN527/Q527)*100</f>
        <v>1.63906142167012</v>
      </c>
      <c r="AP527" s="37" t="s">
        <v>197</v>
      </c>
      <c r="AQ527" s="1" t="s">
        <v>197</v>
      </c>
      <c r="AR527" s="1" t="s">
        <v>2710</v>
      </c>
      <c r="AS527" s="1" t="n">
        <v>1546</v>
      </c>
      <c r="AT527" s="37" t="n">
        <f aca="false">(AS527/Q527)*100</f>
        <v>0.952627427782707</v>
      </c>
    </row>
    <row r="528" customFormat="false" ht="12.8" hidden="false" customHeight="true" outlineLevel="0" collapsed="false">
      <c r="A528" s="35" t="n">
        <v>2011</v>
      </c>
      <c r="B528" s="36" t="n">
        <v>59</v>
      </c>
      <c r="C528" s="1" t="s">
        <v>398</v>
      </c>
      <c r="D528" s="1" t="s">
        <v>398</v>
      </c>
      <c r="E528" s="1" t="s">
        <v>48</v>
      </c>
      <c r="F528" s="1" t="s">
        <v>365</v>
      </c>
      <c r="G528" s="1" t="s">
        <v>77</v>
      </c>
      <c r="H528" s="1" t="s">
        <v>51</v>
      </c>
      <c r="I528" s="1" t="s">
        <v>51</v>
      </c>
      <c r="J528" s="1" t="s">
        <v>51</v>
      </c>
      <c r="K528" s="1" t="s">
        <v>51</v>
      </c>
      <c r="L528" s="39" t="s">
        <v>53</v>
      </c>
      <c r="M528" s="1" t="s">
        <v>51</v>
      </c>
      <c r="N528" s="1" t="s">
        <v>51</v>
      </c>
      <c r="O528" s="1" t="s">
        <v>51</v>
      </c>
      <c r="P528" s="1" t="n">
        <v>215940</v>
      </c>
      <c r="Q528" s="1" t="n">
        <v>168248</v>
      </c>
      <c r="R528" s="37" t="n">
        <f aca="false">(Q528/P528)*100</f>
        <v>77.9142354357692</v>
      </c>
      <c r="S528" s="1" t="n">
        <f aca="false">Y528-AD528</f>
        <v>4043</v>
      </c>
      <c r="T528" s="37" t="n">
        <f aca="false">(S528/Q528)*100</f>
        <v>2.403000332842</v>
      </c>
      <c r="U528" s="37" t="n">
        <f aca="false">Z528+AE528</f>
        <v>89.0607912129713</v>
      </c>
      <c r="V528" s="1" t="s">
        <v>55</v>
      </c>
      <c r="W528" s="1" t="s">
        <v>61</v>
      </c>
      <c r="X528" s="1" t="s">
        <v>1702</v>
      </c>
      <c r="Y528" s="1" t="n">
        <v>76943</v>
      </c>
      <c r="Z528" s="37" t="n">
        <f aca="false">(Y528/Q528)*100</f>
        <v>45.7318957729067</v>
      </c>
      <c r="AA528" s="37" t="s">
        <v>52</v>
      </c>
      <c r="AB528" s="1" t="s">
        <v>56</v>
      </c>
      <c r="AC528" s="1" t="s">
        <v>2711</v>
      </c>
      <c r="AD528" s="1" t="n">
        <v>72900</v>
      </c>
      <c r="AE528" s="37" t="n">
        <f aca="false">(AD528/Q528)*100</f>
        <v>43.3288954400647</v>
      </c>
      <c r="AF528" s="37" t="s">
        <v>197</v>
      </c>
      <c r="AG528" s="1" t="s">
        <v>197</v>
      </c>
      <c r="AH528" s="1" t="s">
        <v>2712</v>
      </c>
      <c r="AI528" s="1" t="n">
        <v>6937</v>
      </c>
      <c r="AJ528" s="37" t="n">
        <f aca="false">(AI528/Q528)*100</f>
        <v>4.12308021492083</v>
      </c>
      <c r="AK528" s="37" t="s">
        <v>1431</v>
      </c>
      <c r="AL528" s="1" t="s">
        <v>171</v>
      </c>
      <c r="AM528" s="1" t="s">
        <v>2713</v>
      </c>
      <c r="AN528" s="1" t="n">
        <v>2832</v>
      </c>
      <c r="AO528" s="37" t="n">
        <f aca="false">(AN528/Q528)*100</f>
        <v>1.68322951833008</v>
      </c>
      <c r="AP528" s="37" t="s">
        <v>197</v>
      </c>
      <c r="AQ528" s="1" t="s">
        <v>197</v>
      </c>
      <c r="AR528" s="1" t="s">
        <v>2714</v>
      </c>
      <c r="AS528" s="1" t="n">
        <v>2630</v>
      </c>
      <c r="AT528" s="37" t="n">
        <f aca="false">(AS528/Q528)*100</f>
        <v>1.56316865579383</v>
      </c>
    </row>
    <row r="529" customFormat="false" ht="12.8" hidden="false" customHeight="true" outlineLevel="0" collapsed="false">
      <c r="A529" s="35" t="n">
        <v>2011</v>
      </c>
      <c r="B529" s="36" t="n">
        <v>60</v>
      </c>
      <c r="C529" s="1" t="s">
        <v>414</v>
      </c>
      <c r="D529" s="1" t="s">
        <v>398</v>
      </c>
      <c r="E529" s="1" t="s">
        <v>48</v>
      </c>
      <c r="F529" s="1" t="s">
        <v>365</v>
      </c>
      <c r="G529" s="1" t="s">
        <v>50</v>
      </c>
      <c r="H529" s="1" t="s">
        <v>51</v>
      </c>
      <c r="I529" s="1" t="s">
        <v>51</v>
      </c>
      <c r="J529" s="1" t="s">
        <v>51</v>
      </c>
      <c r="K529" s="1" t="s">
        <v>51</v>
      </c>
      <c r="L529" s="1" t="s">
        <v>51</v>
      </c>
      <c r="M529" s="1" t="s">
        <v>68</v>
      </c>
      <c r="N529" s="1" t="s">
        <v>51</v>
      </c>
      <c r="O529" s="1" t="s">
        <v>51</v>
      </c>
      <c r="P529" s="1" t="n">
        <v>208543</v>
      </c>
      <c r="Q529" s="1" t="n">
        <v>168731</v>
      </c>
      <c r="R529" s="37" t="n">
        <f aca="false">(Q529/P529)*100</f>
        <v>80.9094527267758</v>
      </c>
      <c r="S529" s="1" t="n">
        <f aca="false">Y529-AD529</f>
        <v>10489</v>
      </c>
      <c r="T529" s="37" t="n">
        <f aca="false">(S529/Q529)*100</f>
        <v>6.21640362470441</v>
      </c>
      <c r="U529" s="37" t="n">
        <f aca="false">Z529+AE529</f>
        <v>84.5576687152924</v>
      </c>
      <c r="V529" s="1" t="s">
        <v>55</v>
      </c>
      <c r="W529" s="1" t="s">
        <v>68</v>
      </c>
      <c r="X529" s="1" t="s">
        <v>2715</v>
      </c>
      <c r="Y529" s="1" t="n">
        <v>76582</v>
      </c>
      <c r="Z529" s="37" t="n">
        <f aca="false">(Y529/Q529)*100</f>
        <v>45.3870361699984</v>
      </c>
      <c r="AA529" s="37" t="s">
        <v>52</v>
      </c>
      <c r="AB529" s="1" t="s">
        <v>53</v>
      </c>
      <c r="AC529" s="1" t="s">
        <v>2716</v>
      </c>
      <c r="AD529" s="1" t="n">
        <v>66093</v>
      </c>
      <c r="AE529" s="37" t="n">
        <f aca="false">(AD529/Q529)*100</f>
        <v>39.170632545294</v>
      </c>
      <c r="AF529" s="37" t="s">
        <v>197</v>
      </c>
      <c r="AG529" s="1" t="s">
        <v>197</v>
      </c>
      <c r="AH529" s="1" t="s">
        <v>2717</v>
      </c>
      <c r="AI529" s="1" t="n">
        <v>18710</v>
      </c>
      <c r="AJ529" s="37" t="n">
        <f aca="false">(AI529/Q529)*100</f>
        <v>11.0886559079244</v>
      </c>
      <c r="AK529" s="37" t="s">
        <v>197</v>
      </c>
      <c r="AL529" s="1" t="s">
        <v>197</v>
      </c>
      <c r="AM529" s="1" t="s">
        <v>2718</v>
      </c>
      <c r="AN529" s="1" t="n">
        <v>2130</v>
      </c>
      <c r="AO529" s="37" t="n">
        <f aca="false">(AN529/Q529)*100</f>
        <v>1.26236435509776</v>
      </c>
      <c r="AP529" s="37" t="s">
        <v>197</v>
      </c>
      <c r="AQ529" s="1" t="s">
        <v>197</v>
      </c>
      <c r="AR529" s="1" t="s">
        <v>2247</v>
      </c>
      <c r="AS529" s="1" t="n">
        <v>1270</v>
      </c>
      <c r="AT529" s="37" t="n">
        <f aca="false">(AS529/Q529)*100</f>
        <v>0.752677338485518</v>
      </c>
    </row>
    <row r="530" customFormat="false" ht="12.8" hidden="false" customHeight="true" outlineLevel="0" collapsed="false">
      <c r="A530" s="35" t="n">
        <v>2011</v>
      </c>
      <c r="B530" s="36" t="n">
        <v>61</v>
      </c>
      <c r="C530" s="1" t="s">
        <v>420</v>
      </c>
      <c r="D530" s="1" t="s">
        <v>398</v>
      </c>
      <c r="E530" s="1" t="s">
        <v>48</v>
      </c>
      <c r="F530" s="1" t="s">
        <v>365</v>
      </c>
      <c r="G530" s="1" t="s">
        <v>77</v>
      </c>
      <c r="H530" s="1" t="s">
        <v>65</v>
      </c>
      <c r="I530" s="1" t="s">
        <v>316</v>
      </c>
      <c r="J530" s="1" t="s">
        <v>51</v>
      </c>
      <c r="K530" s="1" t="s">
        <v>51</v>
      </c>
      <c r="L530" s="1" t="s">
        <v>51</v>
      </c>
      <c r="M530" s="1" t="s">
        <v>51</v>
      </c>
      <c r="N530" s="1" t="s">
        <v>51</v>
      </c>
      <c r="O530" s="1" t="s">
        <v>51</v>
      </c>
      <c r="P530" s="1" t="n">
        <v>188764</v>
      </c>
      <c r="Q530" s="1" t="n">
        <v>150272</v>
      </c>
      <c r="R530" s="37" t="n">
        <f aca="false">(Q530/P530)*100</f>
        <v>79.6083999067619</v>
      </c>
      <c r="S530" s="1" t="n">
        <f aca="false">Y530-AD530</f>
        <v>26503</v>
      </c>
      <c r="T530" s="37" t="n">
        <f aca="false">(S530/Q530)*100</f>
        <v>17.6366854770017</v>
      </c>
      <c r="U530" s="37" t="n">
        <f aca="false">Z530+AE530</f>
        <v>85.779785988075</v>
      </c>
      <c r="V530" s="1" t="s">
        <v>55</v>
      </c>
      <c r="W530" s="1" t="s">
        <v>422</v>
      </c>
      <c r="X530" s="1" t="s">
        <v>2719</v>
      </c>
      <c r="Y530" s="1" t="n">
        <v>77703</v>
      </c>
      <c r="Z530" s="37" t="n">
        <f aca="false">(Y530/Q530)*100</f>
        <v>51.7082357325383</v>
      </c>
      <c r="AA530" s="37" t="s">
        <v>52</v>
      </c>
      <c r="AB530" s="1" t="s">
        <v>257</v>
      </c>
      <c r="AC530" s="1" t="s">
        <v>2720</v>
      </c>
      <c r="AD530" s="1" t="n">
        <v>51200</v>
      </c>
      <c r="AE530" s="37" t="n">
        <f aca="false">(AD530/Q530)*100</f>
        <v>34.0715502555366</v>
      </c>
      <c r="AF530" s="37" t="s">
        <v>197</v>
      </c>
      <c r="AG530" s="1" t="s">
        <v>197</v>
      </c>
      <c r="AH530" s="1" t="s">
        <v>2721</v>
      </c>
      <c r="AI530" s="1" t="n">
        <v>5290</v>
      </c>
      <c r="AJ530" s="37" t="n">
        <f aca="false">(AI530/Q530)*100</f>
        <v>3.5202832197615</v>
      </c>
      <c r="AK530" s="37" t="s">
        <v>197</v>
      </c>
      <c r="AL530" s="1" t="s">
        <v>197</v>
      </c>
      <c r="AM530" s="1" t="s">
        <v>970</v>
      </c>
      <c r="AN530" s="1" t="n">
        <v>4844</v>
      </c>
      <c r="AO530" s="37" t="n">
        <f aca="false">(AN530/Q530)*100</f>
        <v>3.22348807495741</v>
      </c>
      <c r="AP530" s="37" t="s">
        <v>1431</v>
      </c>
      <c r="AQ530" s="1" t="s">
        <v>171</v>
      </c>
      <c r="AR530" s="1" t="s">
        <v>2722</v>
      </c>
      <c r="AS530" s="1" t="n">
        <v>3777</v>
      </c>
      <c r="AT530" s="37" t="n">
        <f aca="false">(AS530/Q530)*100</f>
        <v>2.51344229131175</v>
      </c>
    </row>
    <row r="531" customFormat="false" ht="12.8" hidden="false" customHeight="true" outlineLevel="0" collapsed="false">
      <c r="A531" s="35" t="n">
        <v>2011</v>
      </c>
      <c r="B531" s="36" t="n">
        <v>62</v>
      </c>
      <c r="C531" s="1" t="s">
        <v>425</v>
      </c>
      <c r="D531" s="1" t="s">
        <v>426</v>
      </c>
      <c r="E531" s="1" t="s">
        <v>48</v>
      </c>
      <c r="F531" s="1" t="s">
        <v>289</v>
      </c>
      <c r="G531" s="1" t="s">
        <v>50</v>
      </c>
      <c r="H531" s="1" t="s">
        <v>65</v>
      </c>
      <c r="I531" s="1" t="s">
        <v>51</v>
      </c>
      <c r="J531" s="1" t="s">
        <v>51</v>
      </c>
      <c r="K531" s="1" t="s">
        <v>51</v>
      </c>
      <c r="L531" s="1" t="s">
        <v>68</v>
      </c>
      <c r="M531" s="1" t="s">
        <v>51</v>
      </c>
      <c r="N531" s="1" t="s">
        <v>51</v>
      </c>
      <c r="O531" s="1" t="s">
        <v>51</v>
      </c>
      <c r="P531" s="1" t="n">
        <v>211656</v>
      </c>
      <c r="Q531" s="1" t="n">
        <v>178325</v>
      </c>
      <c r="R531" s="37" t="n">
        <f aca="false">(Q531/P531)*100</f>
        <v>84.2522772801149</v>
      </c>
      <c r="S531" s="1" t="n">
        <f aca="false">Y531-AD531</f>
        <v>11497</v>
      </c>
      <c r="T531" s="37" t="n">
        <f aca="false">(S531/Q531)*100</f>
        <v>6.44721715968036</v>
      </c>
      <c r="U531" s="37" t="n">
        <f aca="false">Z531+AE531</f>
        <v>87.4510023832889</v>
      </c>
      <c r="V531" s="1" t="s">
        <v>55</v>
      </c>
      <c r="W531" s="1" t="s">
        <v>61</v>
      </c>
      <c r="X531" s="1" t="s">
        <v>2723</v>
      </c>
      <c r="Y531" s="1" t="n">
        <v>83722</v>
      </c>
      <c r="Z531" s="37" t="n">
        <f aca="false">(Y531/Q531)*100</f>
        <v>46.9491097714847</v>
      </c>
      <c r="AA531" s="37" t="s">
        <v>52</v>
      </c>
      <c r="AB531" s="1" t="s">
        <v>66</v>
      </c>
      <c r="AC531" s="1" t="s">
        <v>1560</v>
      </c>
      <c r="AD531" s="1" t="n">
        <v>72225</v>
      </c>
      <c r="AE531" s="37" t="n">
        <f aca="false">(AD531/Q531)*100</f>
        <v>40.5018926118043</v>
      </c>
      <c r="AF531" s="37" t="s">
        <v>197</v>
      </c>
      <c r="AG531" s="1" t="s">
        <v>197</v>
      </c>
      <c r="AH531" s="1" t="s">
        <v>2724</v>
      </c>
      <c r="AI531" s="1" t="n">
        <v>8543</v>
      </c>
      <c r="AJ531" s="37" t="n">
        <f aca="false">(AI531/Q531)*100</f>
        <v>4.79069115379223</v>
      </c>
      <c r="AK531" s="37" t="s">
        <v>1431</v>
      </c>
      <c r="AL531" s="1" t="s">
        <v>171</v>
      </c>
      <c r="AM531" s="1" t="s">
        <v>2725</v>
      </c>
      <c r="AN531" s="1" t="n">
        <v>4465</v>
      </c>
      <c r="AO531" s="37" t="n">
        <f aca="false">(AN531/Q531)*100</f>
        <v>2.50385532034207</v>
      </c>
      <c r="AP531" s="37" t="s">
        <v>197</v>
      </c>
      <c r="AQ531" s="37" t="s">
        <v>197</v>
      </c>
      <c r="AR531" s="1" t="s">
        <v>2726</v>
      </c>
      <c r="AS531" s="1" t="n">
        <v>2511</v>
      </c>
      <c r="AT531" s="37" t="n">
        <f aca="false">(AS531/Q531)*100</f>
        <v>1.4081031823917</v>
      </c>
    </row>
    <row r="532" customFormat="false" ht="12.8" hidden="false" customHeight="true" outlineLevel="0" collapsed="false">
      <c r="A532" s="35" t="n">
        <v>2011</v>
      </c>
      <c r="B532" s="36" t="n">
        <v>63</v>
      </c>
      <c r="C532" s="1" t="s">
        <v>426</v>
      </c>
      <c r="D532" s="1" t="s">
        <v>426</v>
      </c>
      <c r="E532" s="1" t="s">
        <v>48</v>
      </c>
      <c r="F532" s="1" t="s">
        <v>289</v>
      </c>
      <c r="G532" s="1" t="s">
        <v>88</v>
      </c>
      <c r="H532" s="1" t="s">
        <v>51</v>
      </c>
      <c r="I532" s="1" t="s">
        <v>51</v>
      </c>
      <c r="J532" s="1" t="s">
        <v>51</v>
      </c>
      <c r="K532" s="1" t="s">
        <v>53</v>
      </c>
      <c r="L532" s="1" t="s">
        <v>53</v>
      </c>
      <c r="M532" s="1" t="s">
        <v>53</v>
      </c>
      <c r="N532" s="1" t="s">
        <v>51</v>
      </c>
      <c r="O532" s="1" t="s">
        <v>51</v>
      </c>
      <c r="P532" s="1" t="n">
        <v>212430</v>
      </c>
      <c r="Q532" s="1" t="n">
        <v>171679</v>
      </c>
      <c r="R532" s="37" t="n">
        <f aca="false">(Q532/P532)*100</f>
        <v>80.8167396318787</v>
      </c>
      <c r="S532" s="1" t="n">
        <f aca="false">Y532-AD532</f>
        <v>5126</v>
      </c>
      <c r="T532" s="37" t="n">
        <f aca="false">(S532/Q532)*100</f>
        <v>2.98580490333704</v>
      </c>
      <c r="U532" s="37" t="n">
        <f aca="false">Z532+AE532</f>
        <v>95.8055440677078</v>
      </c>
      <c r="V532" s="1" t="s">
        <v>52</v>
      </c>
      <c r="W532" s="1" t="s">
        <v>53</v>
      </c>
      <c r="X532" s="1" t="s">
        <v>1713</v>
      </c>
      <c r="Y532" s="1" t="n">
        <v>84802</v>
      </c>
      <c r="Z532" s="37" t="n">
        <f aca="false">(Y532/Q532)*100</f>
        <v>49.3956744855224</v>
      </c>
      <c r="AA532" s="1" t="s">
        <v>55</v>
      </c>
      <c r="AB532" s="1" t="s">
        <v>68</v>
      </c>
      <c r="AC532" s="1" t="s">
        <v>1555</v>
      </c>
      <c r="AD532" s="1" t="n">
        <v>79676</v>
      </c>
      <c r="AE532" s="37" t="n">
        <f aca="false">(AD532/Q532)*100</f>
        <v>46.4098695821854</v>
      </c>
      <c r="AF532" s="37" t="s">
        <v>1431</v>
      </c>
      <c r="AG532" s="1" t="s">
        <v>171</v>
      </c>
      <c r="AH532" s="1" t="s">
        <v>2727</v>
      </c>
      <c r="AI532" s="1" t="n">
        <v>1519</v>
      </c>
      <c r="AJ532" s="37" t="n">
        <f aca="false">(AI532/Q532)*100</f>
        <v>0.884790801437567</v>
      </c>
      <c r="AK532" s="37" t="s">
        <v>197</v>
      </c>
      <c r="AL532" s="1" t="s">
        <v>197</v>
      </c>
      <c r="AM532" s="1" t="s">
        <v>2728</v>
      </c>
      <c r="AN532" s="1" t="n">
        <v>1186</v>
      </c>
      <c r="AO532" s="37" t="n">
        <f aca="false">(AN532/Q532)*100</f>
        <v>0.690824154381142</v>
      </c>
      <c r="AP532" s="37" t="s">
        <v>85</v>
      </c>
      <c r="AQ532" s="1" t="s">
        <v>85</v>
      </c>
      <c r="AR532" s="1" t="s">
        <v>2729</v>
      </c>
      <c r="AS532" s="1" t="n">
        <v>955</v>
      </c>
      <c r="AT532" s="37" t="n">
        <f aca="false">(AS532/Q532)*100</f>
        <v>0.556270714531189</v>
      </c>
    </row>
    <row r="533" customFormat="false" ht="12.8" hidden="false" customHeight="true" outlineLevel="0" collapsed="false">
      <c r="A533" s="35" t="n">
        <v>2011</v>
      </c>
      <c r="B533" s="36" t="n">
        <v>64</v>
      </c>
      <c r="C533" s="1" t="s">
        <v>436</v>
      </c>
      <c r="D533" s="1" t="s">
        <v>426</v>
      </c>
      <c r="E533" s="1" t="s">
        <v>48</v>
      </c>
      <c r="F533" s="1" t="s">
        <v>289</v>
      </c>
      <c r="G533" s="1" t="s">
        <v>50</v>
      </c>
      <c r="H533" s="1" t="s">
        <v>51</v>
      </c>
      <c r="I533" s="1" t="s">
        <v>51</v>
      </c>
      <c r="J533" s="1" t="s">
        <v>51</v>
      </c>
      <c r="K533" s="1" t="s">
        <v>51</v>
      </c>
      <c r="L533" s="1" t="s">
        <v>51</v>
      </c>
      <c r="M533" s="1" t="s">
        <v>51</v>
      </c>
      <c r="N533" s="1" t="s">
        <v>51</v>
      </c>
      <c r="O533" s="1" t="s">
        <v>51</v>
      </c>
      <c r="P533" s="1" t="n">
        <v>205491</v>
      </c>
      <c r="Q533" s="1" t="n">
        <v>173576</v>
      </c>
      <c r="R533" s="37" t="n">
        <f aca="false">(Q533/P533)*100</f>
        <v>84.468906180806</v>
      </c>
      <c r="S533" s="1" t="n">
        <f aca="false">Y533-AD533</f>
        <v>4081</v>
      </c>
      <c r="T533" s="37" t="n">
        <f aca="false">(S533/Q533)*100</f>
        <v>2.35113149283311</v>
      </c>
      <c r="U533" s="37" t="n">
        <f aca="false">Z533+AE533</f>
        <v>94.0481402958934</v>
      </c>
      <c r="V533" s="1" t="s">
        <v>55</v>
      </c>
      <c r="W533" s="1" t="s">
        <v>68</v>
      </c>
      <c r="X533" s="1" t="s">
        <v>2730</v>
      </c>
      <c r="Y533" s="1" t="n">
        <v>83663</v>
      </c>
      <c r="Z533" s="37" t="n">
        <f aca="false">(Y533/Q533)*100</f>
        <v>48.1996358943633</v>
      </c>
      <c r="AA533" s="37" t="s">
        <v>52</v>
      </c>
      <c r="AB533" s="1" t="s">
        <v>53</v>
      </c>
      <c r="AC533" s="1" t="s">
        <v>1718</v>
      </c>
      <c r="AD533" s="1" t="n">
        <v>79582</v>
      </c>
      <c r="AE533" s="37" t="n">
        <f aca="false">(AD533/Q533)*100</f>
        <v>45.8485044015302</v>
      </c>
      <c r="AF533" s="37" t="s">
        <v>197</v>
      </c>
      <c r="AG533" s="1" t="s">
        <v>197</v>
      </c>
      <c r="AH533" s="1" t="s">
        <v>2731</v>
      </c>
      <c r="AI533" s="1" t="n">
        <v>2301</v>
      </c>
      <c r="AJ533" s="37" t="n">
        <f aca="false">(AI533/Q533)*100</f>
        <v>1.32564409826243</v>
      </c>
      <c r="AK533" s="37" t="s">
        <v>1431</v>
      </c>
      <c r="AL533" s="1" t="s">
        <v>171</v>
      </c>
      <c r="AM533" s="1" t="s">
        <v>2732</v>
      </c>
      <c r="AN533" s="1" t="n">
        <v>1811</v>
      </c>
      <c r="AO533" s="37" t="n">
        <f aca="false">(AN533/Q533)*100</f>
        <v>1.04334700649859</v>
      </c>
      <c r="AP533" s="37" t="s">
        <v>197</v>
      </c>
      <c r="AQ533" s="1" t="s">
        <v>197</v>
      </c>
      <c r="AR533" s="1" t="s">
        <v>2733</v>
      </c>
      <c r="AS533" s="1" t="n">
        <v>1724</v>
      </c>
      <c r="AT533" s="37" t="n">
        <f aca="false">(AS533/Q533)*100</f>
        <v>0.993224869797668</v>
      </c>
    </row>
    <row r="534" customFormat="false" ht="12.8" hidden="false" customHeight="true" outlineLevel="0" collapsed="false">
      <c r="A534" s="35" t="n">
        <v>2011</v>
      </c>
      <c r="B534" s="36" t="n">
        <v>65</v>
      </c>
      <c r="C534" s="1" t="s">
        <v>441</v>
      </c>
      <c r="D534" s="1" t="s">
        <v>426</v>
      </c>
      <c r="E534" s="1" t="s">
        <v>48</v>
      </c>
      <c r="F534" s="1" t="s">
        <v>289</v>
      </c>
      <c r="G534" s="1" t="s">
        <v>50</v>
      </c>
      <c r="H534" s="1" t="s">
        <v>51</v>
      </c>
      <c r="I534" s="1" t="s">
        <v>51</v>
      </c>
      <c r="J534" s="1" t="s">
        <v>51</v>
      </c>
      <c r="K534" s="1" t="s">
        <v>51</v>
      </c>
      <c r="L534" s="39" t="s">
        <v>53</v>
      </c>
      <c r="M534" s="1" t="s">
        <v>51</v>
      </c>
      <c r="N534" s="1" t="s">
        <v>68</v>
      </c>
      <c r="O534" s="1" t="s">
        <v>51</v>
      </c>
      <c r="P534" s="1" t="n">
        <v>180390</v>
      </c>
      <c r="Q534" s="1" t="n">
        <v>155790</v>
      </c>
      <c r="R534" s="37" t="n">
        <f aca="false">(Q534/P534)*100</f>
        <v>86.3628804257442</v>
      </c>
      <c r="S534" s="1" t="n">
        <f aca="false">Y534-AD534</f>
        <v>38234</v>
      </c>
      <c r="T534" s="37" t="n">
        <f aca="false">(S534/Q534)*100</f>
        <v>24.542011682393</v>
      </c>
      <c r="U534" s="37" t="n">
        <f aca="false">Z534+AE534</f>
        <v>93.351306245587</v>
      </c>
      <c r="V534" s="1" t="s">
        <v>55</v>
      </c>
      <c r="W534" s="1" t="s">
        <v>68</v>
      </c>
      <c r="X534" s="1" t="s">
        <v>2734</v>
      </c>
      <c r="Y534" s="1" t="n">
        <v>91833</v>
      </c>
      <c r="Z534" s="37" t="n">
        <f aca="false">(Y534/Q534)*100</f>
        <v>58.94665896399</v>
      </c>
      <c r="AA534" s="37" t="s">
        <v>52</v>
      </c>
      <c r="AB534" s="1" t="s">
        <v>66</v>
      </c>
      <c r="AC534" s="1" t="s">
        <v>2735</v>
      </c>
      <c r="AD534" s="1" t="n">
        <v>53599</v>
      </c>
      <c r="AE534" s="37" t="n">
        <f aca="false">(AD534/Q534)*100</f>
        <v>34.404647281597</v>
      </c>
      <c r="AF534" s="37" t="s">
        <v>197</v>
      </c>
      <c r="AG534" s="1" t="s">
        <v>197</v>
      </c>
      <c r="AH534" s="1" t="s">
        <v>2736</v>
      </c>
      <c r="AI534" s="1" t="n">
        <v>2615</v>
      </c>
      <c r="AJ534" s="37" t="n">
        <f aca="false">(AI534/Q534)*100</f>
        <v>1.67854162654856</v>
      </c>
      <c r="AK534" s="37" t="s">
        <v>85</v>
      </c>
      <c r="AL534" s="1" t="s">
        <v>85</v>
      </c>
      <c r="AM534" s="1" t="s">
        <v>1722</v>
      </c>
      <c r="AN534" s="1" t="n">
        <v>1656</v>
      </c>
      <c r="AO534" s="37" t="n">
        <f aca="false">(AN534/Q534)*100</f>
        <v>1.0629693818602</v>
      </c>
      <c r="AP534" s="37" t="s">
        <v>179</v>
      </c>
      <c r="AQ534" s="1" t="s">
        <v>179</v>
      </c>
      <c r="AR534" s="1" t="s">
        <v>2737</v>
      </c>
      <c r="AS534" s="1" t="n">
        <v>1329</v>
      </c>
      <c r="AT534" s="37" t="n">
        <f aca="false">(AS534/Q534)*100</f>
        <v>0.853071442326208</v>
      </c>
    </row>
    <row r="535" customFormat="false" ht="12.8" hidden="false" customHeight="true" outlineLevel="0" collapsed="false">
      <c r="A535" s="35" t="n">
        <v>2011</v>
      </c>
      <c r="B535" s="36" t="n">
        <v>66</v>
      </c>
      <c r="C535" s="1" t="s">
        <v>446</v>
      </c>
      <c r="D535" s="1" t="s">
        <v>426</v>
      </c>
      <c r="E535" s="1" t="s">
        <v>48</v>
      </c>
      <c r="F535" s="1" t="s">
        <v>289</v>
      </c>
      <c r="G535" s="1" t="s">
        <v>50</v>
      </c>
      <c r="H535" s="1" t="s">
        <v>51</v>
      </c>
      <c r="I535" s="1" t="s">
        <v>51</v>
      </c>
      <c r="J535" s="1" t="s">
        <v>51</v>
      </c>
      <c r="K535" s="1" t="s">
        <v>51</v>
      </c>
      <c r="L535" s="1" t="s">
        <v>51</v>
      </c>
      <c r="M535" s="1" t="s">
        <v>51</v>
      </c>
      <c r="N535" s="1" t="s">
        <v>51</v>
      </c>
      <c r="O535" s="1" t="s">
        <v>51</v>
      </c>
      <c r="P535" s="1" t="n">
        <v>196477</v>
      </c>
      <c r="Q535" s="1" t="n">
        <v>166702</v>
      </c>
      <c r="R535" s="37" t="n">
        <f aca="false">(Q535/P535)*100</f>
        <v>84.8455544414868</v>
      </c>
      <c r="S535" s="1" t="n">
        <f aca="false">Y535-AD535</f>
        <v>28545</v>
      </c>
      <c r="T535" s="37" t="n">
        <f aca="false">(S535/Q535)*100</f>
        <v>17.1233698455927</v>
      </c>
      <c r="U535" s="37" t="n">
        <f aca="false">Z535+AE535</f>
        <v>93.7223308658564</v>
      </c>
      <c r="V535" s="1" t="s">
        <v>55</v>
      </c>
      <c r="W535" s="1" t="s">
        <v>68</v>
      </c>
      <c r="X535" s="1" t="s">
        <v>2738</v>
      </c>
      <c r="Y535" s="1" t="n">
        <v>92391</v>
      </c>
      <c r="Z535" s="37" t="n">
        <f aca="false">(Y535/Q535)*100</f>
        <v>55.4228503557246</v>
      </c>
      <c r="AA535" s="37" t="s">
        <v>52</v>
      </c>
      <c r="AB535" s="1" t="s">
        <v>56</v>
      </c>
      <c r="AC535" s="1" t="s">
        <v>1720</v>
      </c>
      <c r="AD535" s="1" t="n">
        <v>63846</v>
      </c>
      <c r="AE535" s="37" t="n">
        <f aca="false">(AD535/Q535)*100</f>
        <v>38.2994805101319</v>
      </c>
      <c r="AF535" s="37" t="s">
        <v>179</v>
      </c>
      <c r="AG535" s="1" t="s">
        <v>179</v>
      </c>
      <c r="AH535" s="1" t="s">
        <v>2739</v>
      </c>
      <c r="AI535" s="1" t="n">
        <v>2320</v>
      </c>
      <c r="AJ535" s="37" t="n">
        <f aca="false">(AI535/Q535)*100</f>
        <v>1.39170495854879</v>
      </c>
      <c r="AK535" s="37" t="s">
        <v>197</v>
      </c>
      <c r="AL535" s="1" t="s">
        <v>197</v>
      </c>
      <c r="AM535" s="1" t="s">
        <v>2740</v>
      </c>
      <c r="AN535" s="1" t="n">
        <v>2132</v>
      </c>
      <c r="AO535" s="37" t="n">
        <f aca="false">(AN535/Q535)*100</f>
        <v>1.27892886708018</v>
      </c>
      <c r="AP535" s="37" t="s">
        <v>197</v>
      </c>
      <c r="AQ535" s="1" t="s">
        <v>197</v>
      </c>
      <c r="AR535" s="1" t="s">
        <v>1577</v>
      </c>
      <c r="AS535" s="1" t="n">
        <v>1881</v>
      </c>
      <c r="AT535" s="37" t="n">
        <f aca="false">(AS535/Q535)*100</f>
        <v>1.12836078751305</v>
      </c>
    </row>
    <row r="536" customFormat="false" ht="12.8" hidden="false" customHeight="true" outlineLevel="0" collapsed="false">
      <c r="A536" s="35" t="n">
        <v>2011</v>
      </c>
      <c r="B536" s="36" t="n">
        <v>67</v>
      </c>
      <c r="C536" s="1" t="s">
        <v>452</v>
      </c>
      <c r="D536" s="1" t="s">
        <v>426</v>
      </c>
      <c r="E536" s="1" t="s">
        <v>48</v>
      </c>
      <c r="F536" s="1" t="s">
        <v>289</v>
      </c>
      <c r="G536" s="1" t="s">
        <v>77</v>
      </c>
      <c r="H536" s="1" t="s">
        <v>51</v>
      </c>
      <c r="I536" s="1" t="s">
        <v>51</v>
      </c>
      <c r="J536" s="1" t="s">
        <v>51</v>
      </c>
      <c r="K536" s="1" t="s">
        <v>51</v>
      </c>
      <c r="L536" s="1" t="s">
        <v>51</v>
      </c>
      <c r="M536" s="1" t="s">
        <v>51</v>
      </c>
      <c r="N536" s="1" t="s">
        <v>51</v>
      </c>
      <c r="O536" s="1" t="s">
        <v>51</v>
      </c>
      <c r="P536" s="1" t="n">
        <v>215794</v>
      </c>
      <c r="Q536" s="1" t="n">
        <v>177723</v>
      </c>
      <c r="R536" s="37" t="n">
        <f aca="false">(Q536/P536)*100</f>
        <v>82.357711521173</v>
      </c>
      <c r="S536" s="1" t="n">
        <f aca="false">Y536-AD536</f>
        <v>7966</v>
      </c>
      <c r="T536" s="37" t="n">
        <f aca="false">(S536/Q536)*100</f>
        <v>4.48225609515932</v>
      </c>
      <c r="U536" s="37" t="n">
        <f aca="false">Z536+AE536</f>
        <v>95.6364679866984</v>
      </c>
      <c r="V536" s="1" t="s">
        <v>55</v>
      </c>
      <c r="W536" s="1" t="s">
        <v>61</v>
      </c>
      <c r="X536" s="1" t="s">
        <v>1733</v>
      </c>
      <c r="Y536" s="1" t="n">
        <v>88967</v>
      </c>
      <c r="Z536" s="37" t="n">
        <f aca="false">(Y536/Q536)*100</f>
        <v>50.0593620409289</v>
      </c>
      <c r="AA536" s="37" t="s">
        <v>52</v>
      </c>
      <c r="AB536" s="1" t="s">
        <v>53</v>
      </c>
      <c r="AC536" s="1" t="s">
        <v>2741</v>
      </c>
      <c r="AD536" s="1" t="n">
        <v>81001</v>
      </c>
      <c r="AE536" s="37" t="n">
        <f aca="false">(AD536/Q536)*100</f>
        <v>45.5771059457695</v>
      </c>
      <c r="AF536" s="37" t="s">
        <v>1431</v>
      </c>
      <c r="AG536" s="1" t="s">
        <v>171</v>
      </c>
      <c r="AH536" s="1" t="s">
        <v>1912</v>
      </c>
      <c r="AI536" s="1" t="n">
        <v>1639</v>
      </c>
      <c r="AJ536" s="37" t="n">
        <f aca="false">(AI536/Q536)*100</f>
        <v>0.922221659548849</v>
      </c>
      <c r="AK536" s="37" t="s">
        <v>85</v>
      </c>
      <c r="AL536" s="1" t="s">
        <v>85</v>
      </c>
      <c r="AM536" s="1" t="s">
        <v>1831</v>
      </c>
      <c r="AN536" s="1" t="n">
        <v>1459</v>
      </c>
      <c r="AO536" s="37" t="n">
        <f aca="false">(AN536/Q536)*100</f>
        <v>0.820940452276858</v>
      </c>
      <c r="AP536" s="37" t="s">
        <v>197</v>
      </c>
      <c r="AQ536" s="1" t="s">
        <v>197</v>
      </c>
      <c r="AR536" s="1" t="s">
        <v>2742</v>
      </c>
      <c r="AS536" s="1" t="n">
        <v>1327</v>
      </c>
      <c r="AT536" s="37" t="n">
        <f aca="false">(AS536/Q536)*100</f>
        <v>0.746667566944065</v>
      </c>
    </row>
    <row r="537" customFormat="false" ht="12.8" hidden="false" customHeight="true" outlineLevel="0" collapsed="false">
      <c r="A537" s="35" t="n">
        <v>2011</v>
      </c>
      <c r="B537" s="36" t="n">
        <v>68</v>
      </c>
      <c r="C537" s="1" t="s">
        <v>458</v>
      </c>
      <c r="D537" s="1" t="s">
        <v>426</v>
      </c>
      <c r="E537" s="1" t="s">
        <v>48</v>
      </c>
      <c r="F537" s="1" t="s">
        <v>289</v>
      </c>
      <c r="G537" s="1" t="s">
        <v>77</v>
      </c>
      <c r="H537" s="1" t="s">
        <v>51</v>
      </c>
      <c r="I537" s="1" t="s">
        <v>51</v>
      </c>
      <c r="J537" s="1" t="s">
        <v>51</v>
      </c>
      <c r="K537" s="1" t="s">
        <v>51</v>
      </c>
      <c r="L537" s="1" t="s">
        <v>53</v>
      </c>
      <c r="M537" s="1" t="s">
        <v>51</v>
      </c>
      <c r="N537" s="1" t="s">
        <v>53</v>
      </c>
      <c r="O537" s="1" t="s">
        <v>51</v>
      </c>
      <c r="P537" s="1" t="n">
        <v>211108</v>
      </c>
      <c r="Q537" s="1" t="n">
        <v>179221</v>
      </c>
      <c r="R537" s="37" t="n">
        <f aca="false">(Q537/P537)*100</f>
        <v>84.8954089849745</v>
      </c>
      <c r="S537" s="1" t="n">
        <f aca="false">Y537-AD537</f>
        <v>25463</v>
      </c>
      <c r="T537" s="37" t="n">
        <f aca="false">(S537/Q537)*100</f>
        <v>14.207598439915</v>
      </c>
      <c r="U537" s="37" t="n">
        <f aca="false">Z537+AE537</f>
        <v>93.1235736883513</v>
      </c>
      <c r="V537" s="1" t="s">
        <v>55</v>
      </c>
      <c r="W537" s="1" t="s">
        <v>68</v>
      </c>
      <c r="X537" s="1" t="s">
        <v>2743</v>
      </c>
      <c r="Y537" s="1" t="n">
        <v>96180</v>
      </c>
      <c r="Z537" s="37" t="n">
        <f aca="false">(Y537/Q537)*100</f>
        <v>53.6655860641331</v>
      </c>
      <c r="AA537" s="37" t="s">
        <v>52</v>
      </c>
      <c r="AB537" s="1" t="s">
        <v>66</v>
      </c>
      <c r="AC537" s="1" t="s">
        <v>2744</v>
      </c>
      <c r="AD537" s="1" t="n">
        <v>70717</v>
      </c>
      <c r="AE537" s="37" t="n">
        <f aca="false">(AD537/Q537)*100</f>
        <v>39.4579876242181</v>
      </c>
      <c r="AF537" s="37" t="s">
        <v>197</v>
      </c>
      <c r="AG537" s="1" t="s">
        <v>197</v>
      </c>
      <c r="AH537" s="1" t="s">
        <v>2745</v>
      </c>
      <c r="AI537" s="1" t="n">
        <v>3022</v>
      </c>
      <c r="AJ537" s="37" t="n">
        <f aca="false">(AI537/Q537)*100</f>
        <v>1.68618632861104</v>
      </c>
      <c r="AK537" s="37" t="s">
        <v>197</v>
      </c>
      <c r="AL537" s="1" t="s">
        <v>197</v>
      </c>
      <c r="AM537" s="1" t="s">
        <v>2746</v>
      </c>
      <c r="AN537" s="1" t="n">
        <v>2208</v>
      </c>
      <c r="AO537" s="37" t="n">
        <f aca="false">(AN537/Q537)*100</f>
        <v>1.23199848232071</v>
      </c>
      <c r="AP537" s="37" t="s">
        <v>1431</v>
      </c>
      <c r="AQ537" s="1" t="s">
        <v>171</v>
      </c>
      <c r="AR537" s="1" t="s">
        <v>2747</v>
      </c>
      <c r="AS537" s="1" t="n">
        <v>2179</v>
      </c>
      <c r="AT537" s="37" t="n">
        <f aca="false">(AS537/Q537)*100</f>
        <v>1.21581734283371</v>
      </c>
    </row>
    <row r="538" customFormat="false" ht="12.8" hidden="false" customHeight="true" outlineLevel="0" collapsed="false">
      <c r="A538" s="35" t="n">
        <v>2011</v>
      </c>
      <c r="B538" s="36" t="n">
        <v>69</v>
      </c>
      <c r="C538" s="1" t="s">
        <v>463</v>
      </c>
      <c r="D538" s="1" t="s">
        <v>426</v>
      </c>
      <c r="E538" s="1" t="s">
        <v>48</v>
      </c>
      <c r="F538" s="1" t="s">
        <v>289</v>
      </c>
      <c r="G538" s="1" t="s">
        <v>77</v>
      </c>
      <c r="H538" s="1" t="s">
        <v>65</v>
      </c>
      <c r="I538" s="1" t="s">
        <v>51</v>
      </c>
      <c r="J538" s="1" t="s">
        <v>51</v>
      </c>
      <c r="K538" s="1" t="s">
        <v>51</v>
      </c>
      <c r="L538" s="1" t="s">
        <v>51</v>
      </c>
      <c r="M538" s="1" t="s">
        <v>51</v>
      </c>
      <c r="N538" s="1" t="s">
        <v>51</v>
      </c>
      <c r="O538" s="1" t="s">
        <v>51</v>
      </c>
      <c r="P538" s="1" t="n">
        <v>199026</v>
      </c>
      <c r="Q538" s="1" t="n">
        <v>162399</v>
      </c>
      <c r="R538" s="37" t="n">
        <f aca="false">(Q538/P538)*100</f>
        <v>81.5968767899671</v>
      </c>
      <c r="S538" s="1" t="n">
        <f aca="false">Y538-AD538</f>
        <v>12296</v>
      </c>
      <c r="T538" s="37" t="n">
        <f aca="false">(S538/Q538)*100</f>
        <v>7.57147519381277</v>
      </c>
      <c r="U538" s="37" t="n">
        <f aca="false">Z538+AE538</f>
        <v>96.5289195130512</v>
      </c>
      <c r="V538" s="1" t="s">
        <v>55</v>
      </c>
      <c r="W538" s="1" t="s">
        <v>68</v>
      </c>
      <c r="X538" s="1" t="s">
        <v>2748</v>
      </c>
      <c r="Y538" s="1" t="n">
        <v>84529</v>
      </c>
      <c r="Z538" s="37" t="n">
        <f aca="false">(Y538/Q538)*100</f>
        <v>52.050197353432</v>
      </c>
      <c r="AA538" s="37" t="s">
        <v>52</v>
      </c>
      <c r="AB538" s="1" t="s">
        <v>53</v>
      </c>
      <c r="AC538" s="1" t="s">
        <v>2749</v>
      </c>
      <c r="AD538" s="1" t="n">
        <v>72233</v>
      </c>
      <c r="AE538" s="37" t="n">
        <f aca="false">(AD538/Q538)*100</f>
        <v>44.4787221596192</v>
      </c>
      <c r="AF538" s="37" t="s">
        <v>197</v>
      </c>
      <c r="AG538" s="1" t="s">
        <v>197</v>
      </c>
      <c r="AH538" s="1" t="s">
        <v>2750</v>
      </c>
      <c r="AI538" s="1" t="n">
        <v>2020</v>
      </c>
      <c r="AJ538" s="37" t="n">
        <f aca="false">(AI538/Q538)*100</f>
        <v>1.24385002370704</v>
      </c>
      <c r="AK538" s="37" t="s">
        <v>85</v>
      </c>
      <c r="AL538" s="1" t="s">
        <v>85</v>
      </c>
      <c r="AM538" s="1" t="s">
        <v>2751</v>
      </c>
      <c r="AN538" s="1" t="n">
        <v>1112</v>
      </c>
      <c r="AO538" s="37" t="n">
        <f aca="false">(AN538/Q538)*100</f>
        <v>0.684733280377342</v>
      </c>
      <c r="AP538" s="37" t="s">
        <v>1431</v>
      </c>
      <c r="AQ538" s="1" t="s">
        <v>171</v>
      </c>
      <c r="AR538" s="1" t="s">
        <v>2752</v>
      </c>
      <c r="AS538" s="1" t="n">
        <v>1090</v>
      </c>
      <c r="AT538" s="37" t="n">
        <f aca="false">(AS538/Q538)*100</f>
        <v>0.671186398931028</v>
      </c>
    </row>
    <row r="539" customFormat="false" ht="12.8" hidden="false" customHeight="true" outlineLevel="0" collapsed="false">
      <c r="A539" s="35" t="n">
        <v>2011</v>
      </c>
      <c r="B539" s="36" t="n">
        <v>70</v>
      </c>
      <c r="C539" s="1" t="s">
        <v>468</v>
      </c>
      <c r="D539" s="1" t="s">
        <v>469</v>
      </c>
      <c r="E539" s="1" t="s">
        <v>48</v>
      </c>
      <c r="F539" s="1" t="s">
        <v>470</v>
      </c>
      <c r="G539" s="1" t="s">
        <v>50</v>
      </c>
      <c r="H539" s="1" t="s">
        <v>51</v>
      </c>
      <c r="I539" s="1" t="s">
        <v>51</v>
      </c>
      <c r="J539" s="1" t="s">
        <v>51</v>
      </c>
      <c r="K539" s="1" t="s">
        <v>51</v>
      </c>
      <c r="L539" s="1" t="s">
        <v>53</v>
      </c>
      <c r="M539" s="1" t="s">
        <v>51</v>
      </c>
      <c r="N539" s="1" t="s">
        <v>53</v>
      </c>
      <c r="O539" s="1" t="s">
        <v>51</v>
      </c>
      <c r="P539" s="1" t="n">
        <v>213724</v>
      </c>
      <c r="Q539" s="1" t="n">
        <v>174449</v>
      </c>
      <c r="R539" s="37" t="n">
        <f aca="false">(Q539/P539)*100</f>
        <v>81.6234957234564</v>
      </c>
      <c r="S539" s="1" t="n">
        <f aca="false">Y539-AD539</f>
        <v>1811</v>
      </c>
      <c r="T539" s="37" t="n">
        <f aca="false">(S539/Q539)*100</f>
        <v>1.0381257559516</v>
      </c>
      <c r="U539" s="37" t="n">
        <f aca="false">Z539+AE539</f>
        <v>87.2696318121629</v>
      </c>
      <c r="V539" s="1" t="s">
        <v>52</v>
      </c>
      <c r="W539" s="1" t="s">
        <v>56</v>
      </c>
      <c r="X539" s="1" t="s">
        <v>1745</v>
      </c>
      <c r="Y539" s="1" t="n">
        <v>77026</v>
      </c>
      <c r="Z539" s="37" t="n">
        <f aca="false">(Y539/Q539)*100</f>
        <v>44.1538787840572</v>
      </c>
      <c r="AA539" s="1" t="s">
        <v>55</v>
      </c>
      <c r="AB539" s="1" t="s">
        <v>61</v>
      </c>
      <c r="AC539" s="1" t="s">
        <v>2753</v>
      </c>
      <c r="AD539" s="1" t="n">
        <v>75215</v>
      </c>
      <c r="AE539" s="37" t="n">
        <f aca="false">(AD539/Q539)*100</f>
        <v>43.1157530281056</v>
      </c>
      <c r="AF539" s="37" t="s">
        <v>197</v>
      </c>
      <c r="AG539" s="1" t="s">
        <v>197</v>
      </c>
      <c r="AH539" s="1" t="s">
        <v>2754</v>
      </c>
      <c r="AI539" s="1" t="n">
        <v>8627</v>
      </c>
      <c r="AJ539" s="37" t="n">
        <f aca="false">(AI539/Q539)*100</f>
        <v>4.94528486835694</v>
      </c>
      <c r="AK539" s="37" t="s">
        <v>197</v>
      </c>
      <c r="AL539" s="1" t="s">
        <v>197</v>
      </c>
      <c r="AM539" s="1" t="s">
        <v>2755</v>
      </c>
      <c r="AN539" s="1" t="n">
        <v>2962</v>
      </c>
      <c r="AO539" s="37" t="n">
        <f aca="false">(AN539/Q539)*100</f>
        <v>1.69791744292028</v>
      </c>
      <c r="AP539" s="37" t="s">
        <v>197</v>
      </c>
      <c r="AQ539" s="1" t="s">
        <v>197</v>
      </c>
      <c r="AR539" s="1" t="s">
        <v>2756</v>
      </c>
      <c r="AS539" s="1" t="n">
        <v>2811</v>
      </c>
      <c r="AT539" s="37" t="n">
        <f aca="false">(AS539/Q539)*100</f>
        <v>1.61135919380449</v>
      </c>
    </row>
    <row r="540" customFormat="false" ht="12.8" hidden="false" customHeight="true" outlineLevel="0" collapsed="false">
      <c r="A540" s="35" t="n">
        <v>2011</v>
      </c>
      <c r="B540" s="36" t="n">
        <v>71</v>
      </c>
      <c r="C540" s="1" t="s">
        <v>475</v>
      </c>
      <c r="D540" s="1" t="s">
        <v>469</v>
      </c>
      <c r="E540" s="1" t="s">
        <v>48</v>
      </c>
      <c r="F540" s="1" t="s">
        <v>470</v>
      </c>
      <c r="G540" s="1" t="s">
        <v>50</v>
      </c>
      <c r="H540" s="1" t="s">
        <v>51</v>
      </c>
      <c r="I540" s="1" t="s">
        <v>51</v>
      </c>
      <c r="J540" s="1" t="s">
        <v>51</v>
      </c>
      <c r="K540" s="1" t="s">
        <v>51</v>
      </c>
      <c r="L540" s="1" t="s">
        <v>51</v>
      </c>
      <c r="M540" s="1" t="s">
        <v>51</v>
      </c>
      <c r="N540" s="1" t="s">
        <v>51</v>
      </c>
      <c r="O540" s="1" t="s">
        <v>51</v>
      </c>
      <c r="P540" s="1" t="n">
        <v>183634</v>
      </c>
      <c r="Q540" s="1" t="n">
        <v>151434</v>
      </c>
      <c r="R540" s="37" t="n">
        <f aca="false">(Q540/P540)*100</f>
        <v>82.465120838189</v>
      </c>
      <c r="S540" s="1" t="n">
        <f aca="false">Y540-AD540</f>
        <v>20081</v>
      </c>
      <c r="T540" s="37" t="n">
        <f aca="false">(S540/Q540)*100</f>
        <v>13.2605623571985</v>
      </c>
      <c r="U540" s="37" t="n">
        <f aca="false">Z540+AE540</f>
        <v>94.5831187183856</v>
      </c>
      <c r="V540" s="1" t="s">
        <v>55</v>
      </c>
      <c r="W540" s="1" t="s">
        <v>68</v>
      </c>
      <c r="X540" s="1" t="s">
        <v>2757</v>
      </c>
      <c r="Y540" s="1" t="n">
        <v>81656</v>
      </c>
      <c r="Z540" s="37" t="n">
        <f aca="false">(Y540/Q540)*100</f>
        <v>53.921840537792</v>
      </c>
      <c r="AA540" s="37" t="s">
        <v>52</v>
      </c>
      <c r="AB540" s="1" t="s">
        <v>56</v>
      </c>
      <c r="AC540" s="1" t="s">
        <v>1484</v>
      </c>
      <c r="AD540" s="1" t="n">
        <v>61575</v>
      </c>
      <c r="AE540" s="37" t="n">
        <f aca="false">(AD540/Q540)*100</f>
        <v>40.6612781805935</v>
      </c>
      <c r="AF540" s="37" t="s">
        <v>1431</v>
      </c>
      <c r="AG540" s="1" t="s">
        <v>171</v>
      </c>
      <c r="AH540" s="1" t="s">
        <v>2758</v>
      </c>
      <c r="AI540" s="1" t="n">
        <v>1844</v>
      </c>
      <c r="AJ540" s="37" t="n">
        <f aca="false">(AI540/Q540)*100</f>
        <v>1.21769219594015</v>
      </c>
      <c r="AK540" s="37" t="s">
        <v>197</v>
      </c>
      <c r="AL540" s="1" t="s">
        <v>197</v>
      </c>
      <c r="AM540" s="1" t="s">
        <v>2759</v>
      </c>
      <c r="AN540" s="1" t="n">
        <v>1555</v>
      </c>
      <c r="AO540" s="37" t="n">
        <f aca="false">(AN540/Q540)*100</f>
        <v>1.02684998084974</v>
      </c>
      <c r="AP540" s="37" t="s">
        <v>197</v>
      </c>
      <c r="AQ540" s="1" t="s">
        <v>197</v>
      </c>
      <c r="AR540" s="1" t="s">
        <v>2760</v>
      </c>
      <c r="AS540" s="1" t="n">
        <v>1506</v>
      </c>
      <c r="AT540" s="37" t="n">
        <f aca="false">(AS540/Q540)*100</f>
        <v>0.994492650263481</v>
      </c>
    </row>
    <row r="541" customFormat="false" ht="12.8" hidden="false" customHeight="true" outlineLevel="0" collapsed="false">
      <c r="A541" s="35" t="n">
        <v>2011</v>
      </c>
      <c r="B541" s="36" t="n">
        <v>72</v>
      </c>
      <c r="C541" s="1" t="s">
        <v>480</v>
      </c>
      <c r="D541" s="1" t="s">
        <v>469</v>
      </c>
      <c r="E541" s="1" t="s">
        <v>48</v>
      </c>
      <c r="F541" s="1" t="s">
        <v>470</v>
      </c>
      <c r="G541" s="1" t="s">
        <v>77</v>
      </c>
      <c r="H541" s="1" t="s">
        <v>51</v>
      </c>
      <c r="I541" s="1" t="s">
        <v>51</v>
      </c>
      <c r="J541" s="1" t="s">
        <v>51</v>
      </c>
      <c r="K541" s="1" t="s">
        <v>51</v>
      </c>
      <c r="L541" s="1" t="s">
        <v>51</v>
      </c>
      <c r="M541" s="1" t="s">
        <v>51</v>
      </c>
      <c r="N541" s="1" t="s">
        <v>51</v>
      </c>
      <c r="O541" s="1" t="s">
        <v>51</v>
      </c>
      <c r="P541" s="1" t="n">
        <v>188461</v>
      </c>
      <c r="Q541" s="1" t="n">
        <v>153169</v>
      </c>
      <c r="R541" s="37" t="n">
        <f aca="false">(Q541/P541)*100</f>
        <v>81.2735791490017</v>
      </c>
      <c r="S541" s="1" t="n">
        <f aca="false">Y541-AD541</f>
        <v>15537</v>
      </c>
      <c r="T541" s="37" t="n">
        <f aca="false">(S541/Q541)*100</f>
        <v>10.1436974844779</v>
      </c>
      <c r="U541" s="37" t="n">
        <f aca="false">Z541+AE541</f>
        <v>95.0381604632791</v>
      </c>
      <c r="V541" s="1" t="s">
        <v>55</v>
      </c>
      <c r="W541" s="1" t="s">
        <v>68</v>
      </c>
      <c r="X541" s="1" t="s">
        <v>2761</v>
      </c>
      <c r="Y541" s="1" t="n">
        <v>80553</v>
      </c>
      <c r="Z541" s="37" t="n">
        <f aca="false">(Y541/Q541)*100</f>
        <v>52.5909289738785</v>
      </c>
      <c r="AA541" s="37" t="s">
        <v>52</v>
      </c>
      <c r="AB541" s="1" t="s">
        <v>56</v>
      </c>
      <c r="AC541" s="1" t="s">
        <v>2762</v>
      </c>
      <c r="AD541" s="1" t="n">
        <v>65016</v>
      </c>
      <c r="AE541" s="37" t="n">
        <f aca="false">(AD541/Q541)*100</f>
        <v>42.4472314894006</v>
      </c>
      <c r="AF541" s="37" t="s">
        <v>197</v>
      </c>
      <c r="AG541" s="1" t="s">
        <v>197</v>
      </c>
      <c r="AH541" s="1" t="s">
        <v>1932</v>
      </c>
      <c r="AI541" s="1" t="n">
        <v>2071</v>
      </c>
      <c r="AJ541" s="37" t="n">
        <f aca="false">(AI541/Q541)*100</f>
        <v>1.35210127375644</v>
      </c>
      <c r="AK541" s="37" t="s">
        <v>179</v>
      </c>
      <c r="AL541" s="1" t="s">
        <v>179</v>
      </c>
      <c r="AM541" s="1" t="s">
        <v>2763</v>
      </c>
      <c r="AN541" s="1" t="n">
        <v>1125</v>
      </c>
      <c r="AO541" s="37" t="n">
        <f aca="false">(AN541/Q541)*100</f>
        <v>0.73448282615934</v>
      </c>
      <c r="AP541" s="37" t="s">
        <v>1431</v>
      </c>
      <c r="AQ541" s="1" t="s">
        <v>171</v>
      </c>
      <c r="AR541" s="1" t="s">
        <v>2764</v>
      </c>
      <c r="AS541" s="1" t="n">
        <v>1010</v>
      </c>
      <c r="AT541" s="37" t="n">
        <f aca="false">(AS541/Q541)*100</f>
        <v>0.659402359485275</v>
      </c>
    </row>
    <row r="542" customFormat="false" ht="12.8" hidden="false" customHeight="true" outlineLevel="0" collapsed="false">
      <c r="A542" s="35" t="n">
        <v>2011</v>
      </c>
      <c r="B542" s="36" t="n">
        <v>73</v>
      </c>
      <c r="C542" s="1" t="s">
        <v>486</v>
      </c>
      <c r="D542" s="1" t="s">
        <v>469</v>
      </c>
      <c r="E542" s="1" t="s">
        <v>48</v>
      </c>
      <c r="F542" s="1" t="s">
        <v>470</v>
      </c>
      <c r="G542" s="1" t="s">
        <v>50</v>
      </c>
      <c r="H542" s="1" t="s">
        <v>65</v>
      </c>
      <c r="I542" s="1" t="s">
        <v>51</v>
      </c>
      <c r="J542" s="1" t="s">
        <v>51</v>
      </c>
      <c r="K542" s="1" t="s">
        <v>51</v>
      </c>
      <c r="L542" s="1" t="s">
        <v>51</v>
      </c>
      <c r="M542" s="1" t="s">
        <v>68</v>
      </c>
      <c r="N542" s="1" t="s">
        <v>53</v>
      </c>
      <c r="O542" s="1" t="s">
        <v>51</v>
      </c>
      <c r="P542" s="1" t="n">
        <v>196094</v>
      </c>
      <c r="Q542" s="1" t="n">
        <v>158671</v>
      </c>
      <c r="R542" s="37" t="n">
        <f aca="false">(Q542/P542)*100</f>
        <v>80.9157852866482</v>
      </c>
      <c r="S542" s="1" t="n">
        <f aca="false">Y542-AD542</f>
        <v>25138</v>
      </c>
      <c r="T542" s="37" t="n">
        <f aca="false">(S542/Q542)*100</f>
        <v>15.8428446281929</v>
      </c>
      <c r="U542" s="37" t="n">
        <f aca="false">Z542+AE542</f>
        <v>96.1297275494577</v>
      </c>
      <c r="V542" s="1" t="s">
        <v>55</v>
      </c>
      <c r="W542" s="1" t="s">
        <v>68</v>
      </c>
      <c r="X542" s="1" t="s">
        <v>2765</v>
      </c>
      <c r="Y542" s="1" t="n">
        <v>88834</v>
      </c>
      <c r="Z542" s="37" t="n">
        <f aca="false">(Y542/Q542)*100</f>
        <v>55.9862860888253</v>
      </c>
      <c r="AA542" s="37" t="s">
        <v>52</v>
      </c>
      <c r="AB542" s="1" t="s">
        <v>53</v>
      </c>
      <c r="AC542" s="1" t="s">
        <v>2766</v>
      </c>
      <c r="AD542" s="1" t="n">
        <v>63696</v>
      </c>
      <c r="AE542" s="37" t="n">
        <f aca="false">(AD542/Q542)*100</f>
        <v>40.1434414606324</v>
      </c>
      <c r="AF542" s="37" t="s">
        <v>1431</v>
      </c>
      <c r="AG542" s="1" t="s">
        <v>171</v>
      </c>
      <c r="AH542" s="1" t="s">
        <v>2767</v>
      </c>
      <c r="AI542" s="1" t="n">
        <v>1520</v>
      </c>
      <c r="AJ542" s="37" t="n">
        <f aca="false">(AI542/Q542)*100</f>
        <v>0.957957030585299</v>
      </c>
      <c r="AK542" s="37" t="s">
        <v>85</v>
      </c>
      <c r="AL542" s="1" t="s">
        <v>85</v>
      </c>
      <c r="AM542" s="1" t="s">
        <v>2768</v>
      </c>
      <c r="AN542" s="1" t="n">
        <v>1193</v>
      </c>
      <c r="AO542" s="37" t="n">
        <f aca="false">(AN542/Q542)*100</f>
        <v>0.751870222031751</v>
      </c>
      <c r="AP542" s="37" t="s">
        <v>197</v>
      </c>
      <c r="AQ542" s="1" t="s">
        <v>197</v>
      </c>
      <c r="AR542" s="1" t="s">
        <v>2769</v>
      </c>
      <c r="AS542" s="1" t="n">
        <v>1191</v>
      </c>
      <c r="AT542" s="37" t="n">
        <f aca="false">(AS542/Q542)*100</f>
        <v>0.750609752254665</v>
      </c>
    </row>
    <row r="543" customFormat="false" ht="12.8" hidden="false" customHeight="true" outlineLevel="0" collapsed="false">
      <c r="A543" s="35" t="n">
        <v>2011</v>
      </c>
      <c r="B543" s="36" t="n">
        <v>74</v>
      </c>
      <c r="C543" s="1" t="s">
        <v>492</v>
      </c>
      <c r="D543" s="1" t="s">
        <v>469</v>
      </c>
      <c r="E543" s="1" t="s">
        <v>48</v>
      </c>
      <c r="F543" s="1" t="s">
        <v>470</v>
      </c>
      <c r="G543" s="1" t="s">
        <v>77</v>
      </c>
      <c r="H543" s="1" t="s">
        <v>51</v>
      </c>
      <c r="I543" s="1" t="s">
        <v>51</v>
      </c>
      <c r="J543" s="1" t="s">
        <v>51</v>
      </c>
      <c r="K543" s="1" t="s">
        <v>51</v>
      </c>
      <c r="L543" s="1" t="s">
        <v>53</v>
      </c>
      <c r="M543" s="1" t="s">
        <v>51</v>
      </c>
      <c r="N543" s="1" t="s">
        <v>51</v>
      </c>
      <c r="O543" s="1" t="s">
        <v>51</v>
      </c>
      <c r="P543" s="1" t="n">
        <v>209392</v>
      </c>
      <c r="Q543" s="1" t="n">
        <v>173050</v>
      </c>
      <c r="R543" s="37" t="n">
        <f aca="false">(Q543/P543)*100</f>
        <v>82.6440360663254</v>
      </c>
      <c r="S543" s="1" t="n">
        <f aca="false">Y543-AD543</f>
        <v>12097</v>
      </c>
      <c r="T543" s="37" t="n">
        <f aca="false">(S543/Q543)*100</f>
        <v>6.99046518347299</v>
      </c>
      <c r="U543" s="37" t="n">
        <f aca="false">Z543+AE543</f>
        <v>97.3770586535683</v>
      </c>
      <c r="V543" s="1" t="s">
        <v>55</v>
      </c>
      <c r="W543" s="1" t="s">
        <v>68</v>
      </c>
      <c r="X543" s="1" t="s">
        <v>2770</v>
      </c>
      <c r="Y543" s="1" t="n">
        <v>90304</v>
      </c>
      <c r="Z543" s="37" t="n">
        <f aca="false">(Y543/Q543)*100</f>
        <v>52.1837619185207</v>
      </c>
      <c r="AA543" s="37" t="s">
        <v>52</v>
      </c>
      <c r="AB543" s="1" t="s">
        <v>53</v>
      </c>
      <c r="AC543" s="1" t="s">
        <v>1769</v>
      </c>
      <c r="AD543" s="1" t="n">
        <v>78207</v>
      </c>
      <c r="AE543" s="37" t="n">
        <f aca="false">(AD543/Q543)*100</f>
        <v>45.1932967350477</v>
      </c>
      <c r="AF543" s="37" t="s">
        <v>1431</v>
      </c>
      <c r="AG543" s="1" t="s">
        <v>171</v>
      </c>
      <c r="AH543" s="1" t="s">
        <v>2771</v>
      </c>
      <c r="AI543" s="1" t="n">
        <v>1100</v>
      </c>
      <c r="AJ543" s="37" t="n">
        <f aca="false">(AI543/Q543)*100</f>
        <v>0.635654435134354</v>
      </c>
      <c r="AK543" s="37" t="s">
        <v>197</v>
      </c>
      <c r="AL543" s="1" t="s">
        <v>197</v>
      </c>
      <c r="AM543" s="1" t="s">
        <v>2772</v>
      </c>
      <c r="AN543" s="1" t="n">
        <v>769</v>
      </c>
      <c r="AO543" s="37" t="n">
        <f aca="false">(AN543/Q543)*100</f>
        <v>0.444380236925744</v>
      </c>
      <c r="AP543" s="37" t="s">
        <v>197</v>
      </c>
      <c r="AQ543" s="1" t="s">
        <v>197</v>
      </c>
      <c r="AR543" s="1" t="s">
        <v>2773</v>
      </c>
      <c r="AS543" s="1" t="n">
        <v>707</v>
      </c>
      <c r="AT543" s="37" t="n">
        <f aca="false">(AS543/Q543)*100</f>
        <v>0.408552441490899</v>
      </c>
    </row>
    <row r="544" customFormat="false" ht="12.8" hidden="false" customHeight="true" outlineLevel="0" collapsed="false">
      <c r="A544" s="35" t="n">
        <v>2011</v>
      </c>
      <c r="B544" s="36" t="n">
        <v>75</v>
      </c>
      <c r="C544" s="1" t="s">
        <v>498</v>
      </c>
      <c r="D544" s="1" t="s">
        <v>469</v>
      </c>
      <c r="E544" s="1" t="s">
        <v>48</v>
      </c>
      <c r="F544" s="1" t="s">
        <v>470</v>
      </c>
      <c r="G544" s="1" t="s">
        <v>50</v>
      </c>
      <c r="H544" s="1" t="s">
        <v>51</v>
      </c>
      <c r="I544" s="1" t="s">
        <v>51</v>
      </c>
      <c r="J544" s="1" t="s">
        <v>51</v>
      </c>
      <c r="K544" s="1" t="s">
        <v>51</v>
      </c>
      <c r="L544" s="1" t="s">
        <v>51</v>
      </c>
      <c r="M544" s="1" t="s">
        <v>51</v>
      </c>
      <c r="N544" s="1" t="s">
        <v>51</v>
      </c>
      <c r="O544" s="1" t="s">
        <v>51</v>
      </c>
      <c r="P544" s="1" t="n">
        <v>186842</v>
      </c>
      <c r="Q544" s="1" t="n">
        <v>152070</v>
      </c>
      <c r="R544" s="37" t="n">
        <f aca="false">(Q544/P544)*100</f>
        <v>81.3896233180977</v>
      </c>
      <c r="S544" s="1" t="n">
        <f aca="false">Y544-AD544</f>
        <v>14897</v>
      </c>
      <c r="T544" s="37" t="n">
        <f aca="false">(S544/Q544)*100</f>
        <v>9.79614651147498</v>
      </c>
      <c r="U544" s="37" t="n">
        <f aca="false">Z544+AE544</f>
        <v>93.6509502202933</v>
      </c>
      <c r="V544" s="1" t="s">
        <v>55</v>
      </c>
      <c r="W544" s="1" t="s">
        <v>422</v>
      </c>
      <c r="X544" s="1" t="s">
        <v>1768</v>
      </c>
      <c r="Y544" s="1" t="n">
        <v>78656</v>
      </c>
      <c r="Z544" s="37" t="n">
        <f aca="false">(Y544/Q544)*100</f>
        <v>51.7235483658841</v>
      </c>
      <c r="AA544" s="37" t="s">
        <v>52</v>
      </c>
      <c r="AB544" s="1" t="s">
        <v>53</v>
      </c>
      <c r="AC544" s="1" t="s">
        <v>1765</v>
      </c>
      <c r="AD544" s="1" t="n">
        <v>63759</v>
      </c>
      <c r="AE544" s="37" t="n">
        <f aca="false">(AD544/Q544)*100</f>
        <v>41.9274018544092</v>
      </c>
      <c r="AF544" s="37" t="s">
        <v>197</v>
      </c>
      <c r="AG544" s="1" t="s">
        <v>197</v>
      </c>
      <c r="AH544" s="1" t="s">
        <v>2774</v>
      </c>
      <c r="AI544" s="1" t="n">
        <v>2442</v>
      </c>
      <c r="AJ544" s="37" t="n">
        <f aca="false">(AI544/Q544)*100</f>
        <v>1.60583941605839</v>
      </c>
      <c r="AK544" s="37" t="s">
        <v>197</v>
      </c>
      <c r="AL544" s="1" t="s">
        <v>2470</v>
      </c>
      <c r="AM544" s="1" t="s">
        <v>2775</v>
      </c>
      <c r="AN544" s="1" t="n">
        <v>2212</v>
      </c>
      <c r="AO544" s="37" t="n">
        <f aca="false">(AN544/Q544)*100</f>
        <v>1.4545932794108</v>
      </c>
      <c r="AP544" s="37" t="s">
        <v>197</v>
      </c>
      <c r="AQ544" s="1" t="s">
        <v>197</v>
      </c>
      <c r="AR544" s="1" t="s">
        <v>2776</v>
      </c>
      <c r="AS544" s="1" t="n">
        <v>1547</v>
      </c>
      <c r="AT544" s="37" t="n">
        <f aca="false">(AS544/Q544)*100</f>
        <v>1.0172946669297</v>
      </c>
    </row>
    <row r="545" customFormat="false" ht="12.8" hidden="false" customHeight="true" outlineLevel="0" collapsed="false">
      <c r="A545" s="35" t="n">
        <v>2011</v>
      </c>
      <c r="B545" s="36" t="n">
        <v>76</v>
      </c>
      <c r="C545" s="1" t="s">
        <v>503</v>
      </c>
      <c r="D545" s="1" t="s">
        <v>469</v>
      </c>
      <c r="E545" s="1" t="s">
        <v>48</v>
      </c>
      <c r="F545" s="1" t="s">
        <v>470</v>
      </c>
      <c r="G545" s="1" t="s">
        <v>50</v>
      </c>
      <c r="H545" s="1" t="s">
        <v>51</v>
      </c>
      <c r="I545" s="1" t="s">
        <v>51</v>
      </c>
      <c r="J545" s="1" t="s">
        <v>51</v>
      </c>
      <c r="K545" s="1" t="s">
        <v>51</v>
      </c>
      <c r="L545" s="1" t="s">
        <v>51</v>
      </c>
      <c r="M545" s="1" t="s">
        <v>51</v>
      </c>
      <c r="N545" s="1" t="s">
        <v>51</v>
      </c>
      <c r="O545" s="1" t="s">
        <v>51</v>
      </c>
      <c r="P545" s="1" t="n">
        <v>197599</v>
      </c>
      <c r="Q545" s="1" t="n">
        <v>159075</v>
      </c>
      <c r="R545" s="37" t="n">
        <f aca="false">(Q545/P545)*100</f>
        <v>80.5039499187749</v>
      </c>
      <c r="S545" s="1" t="n">
        <f aca="false">Y545-AD545</f>
        <v>8791</v>
      </c>
      <c r="T545" s="37" t="n">
        <f aca="false">(S545/Q545)*100</f>
        <v>5.52632406097753</v>
      </c>
      <c r="U545" s="37" t="n">
        <f aca="false">Z545+AE545</f>
        <v>92.8285399968568</v>
      </c>
      <c r="V545" s="1" t="s">
        <v>55</v>
      </c>
      <c r="W545" s="1" t="s">
        <v>61</v>
      </c>
      <c r="X545" s="1" t="s">
        <v>2777</v>
      </c>
      <c r="Y545" s="1" t="n">
        <v>78229</v>
      </c>
      <c r="Z545" s="37" t="n">
        <f aca="false">(Y545/Q545)*100</f>
        <v>49.1774320289172</v>
      </c>
      <c r="AA545" s="37" t="s">
        <v>52</v>
      </c>
      <c r="AB545" s="1" t="s">
        <v>53</v>
      </c>
      <c r="AC545" s="1" t="s">
        <v>2778</v>
      </c>
      <c r="AD545" s="1" t="n">
        <v>69438</v>
      </c>
      <c r="AE545" s="37" t="n">
        <f aca="false">(AD545/Q545)*100</f>
        <v>43.6511079679397</v>
      </c>
      <c r="AF545" s="37" t="s">
        <v>197</v>
      </c>
      <c r="AG545" s="1" t="s">
        <v>197</v>
      </c>
      <c r="AH545" s="1" t="s">
        <v>2779</v>
      </c>
      <c r="AI545" s="1" t="n">
        <v>6029</v>
      </c>
      <c r="AJ545" s="37" t="n">
        <f aca="false">(AI545/Q545)*100</f>
        <v>3.79003614647179</v>
      </c>
      <c r="AK545" s="37" t="s">
        <v>179</v>
      </c>
      <c r="AL545" s="1" t="s">
        <v>179</v>
      </c>
      <c r="AM545" s="1" t="s">
        <v>2780</v>
      </c>
      <c r="AN545" s="1" t="n">
        <v>3280</v>
      </c>
      <c r="AO545" s="37" t="n">
        <f aca="false">(AN545/Q545)*100</f>
        <v>2.06192047776206</v>
      </c>
      <c r="AP545" s="37" t="s">
        <v>85</v>
      </c>
      <c r="AQ545" s="1" t="s">
        <v>85</v>
      </c>
      <c r="AR545" s="1" t="s">
        <v>2781</v>
      </c>
      <c r="AS545" s="1" t="n">
        <v>1271</v>
      </c>
      <c r="AT545" s="37" t="n">
        <f aca="false">(AS545/Q545)*100</f>
        <v>0.798994185132799</v>
      </c>
    </row>
    <row r="546" customFormat="false" ht="12.8" hidden="false" customHeight="true" outlineLevel="0" collapsed="false">
      <c r="A546" s="35" t="n">
        <v>2011</v>
      </c>
      <c r="B546" s="36" t="n">
        <v>77</v>
      </c>
      <c r="C546" s="1" t="s">
        <v>508</v>
      </c>
      <c r="D546" s="1" t="s">
        <v>509</v>
      </c>
      <c r="E546" s="1" t="s">
        <v>48</v>
      </c>
      <c r="F546" s="1" t="s">
        <v>470</v>
      </c>
      <c r="G546" s="1" t="s">
        <v>50</v>
      </c>
      <c r="H546" s="1" t="s">
        <v>51</v>
      </c>
      <c r="I546" s="1" t="s">
        <v>51</v>
      </c>
      <c r="J546" s="1" t="s">
        <v>51</v>
      </c>
      <c r="K546" s="1" t="s">
        <v>51</v>
      </c>
      <c r="L546" s="1" t="s">
        <v>51</v>
      </c>
      <c r="M546" s="1" t="s">
        <v>51</v>
      </c>
      <c r="N546" s="1" t="s">
        <v>51</v>
      </c>
      <c r="O546" s="1" t="s">
        <v>51</v>
      </c>
      <c r="P546" s="1" t="n">
        <v>229056</v>
      </c>
      <c r="Q546" s="1" t="n">
        <v>191047</v>
      </c>
      <c r="R546" s="37" t="n">
        <f aca="false">(Q546/P546)*100</f>
        <v>83.4062412685108</v>
      </c>
      <c r="S546" s="1" t="n">
        <f aca="false">Y546-AD546</f>
        <v>53508</v>
      </c>
      <c r="T546" s="37" t="n">
        <f aca="false">(S546/Q546)*100</f>
        <v>28.0077677220789</v>
      </c>
      <c r="U546" s="37" t="n">
        <f aca="false">Z546+AE546</f>
        <v>92.1658021324596</v>
      </c>
      <c r="V546" s="1" t="s">
        <v>55</v>
      </c>
      <c r="W546" s="1" t="s">
        <v>68</v>
      </c>
      <c r="X546" s="1" t="s">
        <v>1773</v>
      </c>
      <c r="Y546" s="1" t="n">
        <v>114794</v>
      </c>
      <c r="Z546" s="37" t="n">
        <f aca="false">(Y546/Q546)*100</f>
        <v>60.0867849272692</v>
      </c>
      <c r="AA546" s="37" t="s">
        <v>52</v>
      </c>
      <c r="AB546" s="1" t="s">
        <v>257</v>
      </c>
      <c r="AC546" s="1" t="s">
        <v>2782</v>
      </c>
      <c r="AD546" s="1" t="n">
        <v>61286</v>
      </c>
      <c r="AE546" s="37" t="n">
        <f aca="false">(AD546/Q546)*100</f>
        <v>32.0790172051904</v>
      </c>
      <c r="AF546" s="37" t="s">
        <v>197</v>
      </c>
      <c r="AG546" s="1" t="s">
        <v>197</v>
      </c>
      <c r="AH546" s="1" t="s">
        <v>2783</v>
      </c>
      <c r="AI546" s="1" t="n">
        <v>3642</v>
      </c>
      <c r="AJ546" s="37" t="n">
        <f aca="false">(AI546/Q546)*100</f>
        <v>1.90633718404372</v>
      </c>
      <c r="AK546" s="37" t="s">
        <v>1431</v>
      </c>
      <c r="AL546" s="1" t="s">
        <v>171</v>
      </c>
      <c r="AM546" s="1" t="s">
        <v>2784</v>
      </c>
      <c r="AN546" s="1" t="n">
        <v>2662</v>
      </c>
      <c r="AO546" s="37" t="n">
        <f aca="false">(AN546/Q546)*100</f>
        <v>1.39337440525106</v>
      </c>
      <c r="AP546" s="37" t="s">
        <v>197</v>
      </c>
      <c r="AQ546" s="1" t="s">
        <v>197</v>
      </c>
      <c r="AR546" s="1" t="s">
        <v>2785</v>
      </c>
      <c r="AS546" s="1" t="n">
        <v>1811</v>
      </c>
      <c r="AT546" s="37" t="n">
        <f aca="false">(AS546/Q546)*100</f>
        <v>0.947934277952546</v>
      </c>
    </row>
    <row r="547" customFormat="false" ht="12.8" hidden="false" customHeight="true" outlineLevel="0" collapsed="false">
      <c r="A547" s="35" t="n">
        <v>2011</v>
      </c>
      <c r="B547" s="36" t="n">
        <v>78</v>
      </c>
      <c r="C547" s="1" t="s">
        <v>514</v>
      </c>
      <c r="D547" s="1" t="s">
        <v>509</v>
      </c>
      <c r="E547" s="1" t="s">
        <v>48</v>
      </c>
      <c r="F547" s="1" t="s">
        <v>470</v>
      </c>
      <c r="G547" s="1" t="s">
        <v>50</v>
      </c>
      <c r="H547" s="1" t="s">
        <v>51</v>
      </c>
      <c r="I547" s="1" t="s">
        <v>51</v>
      </c>
      <c r="J547" s="1" t="s">
        <v>61</v>
      </c>
      <c r="K547" s="1" t="s">
        <v>51</v>
      </c>
      <c r="L547" s="1" t="s">
        <v>51</v>
      </c>
      <c r="M547" s="1" t="s">
        <v>51</v>
      </c>
      <c r="N547" s="1" t="s">
        <v>51</v>
      </c>
      <c r="O547" s="1" t="s">
        <v>515</v>
      </c>
      <c r="P547" s="1" t="n">
        <v>206830</v>
      </c>
      <c r="Q547" s="1" t="n">
        <v>171405</v>
      </c>
      <c r="R547" s="37" t="n">
        <f aca="false">(Q547/P547)*100</f>
        <v>82.8724072910119</v>
      </c>
      <c r="S547" s="1" t="n">
        <f aca="false">Y547-AD547</f>
        <v>30795</v>
      </c>
      <c r="T547" s="37" t="n">
        <f aca="false">(S547/Q547)*100</f>
        <v>17.9662203552989</v>
      </c>
      <c r="U547" s="37" t="n">
        <f aca="false">Z547+AE547</f>
        <v>88.4064058808086</v>
      </c>
      <c r="V547" s="1" t="s">
        <v>55</v>
      </c>
      <c r="W547" s="1" t="s">
        <v>61</v>
      </c>
      <c r="X547" s="1" t="s">
        <v>1775</v>
      </c>
      <c r="Y547" s="1" t="n">
        <v>91164</v>
      </c>
      <c r="Z547" s="37" t="n">
        <f aca="false">(Y547/Q547)*100</f>
        <v>53.1863131180537</v>
      </c>
      <c r="AA547" s="37" t="s">
        <v>52</v>
      </c>
      <c r="AB547" s="1" t="s">
        <v>66</v>
      </c>
      <c r="AC547" s="1" t="s">
        <v>2786</v>
      </c>
      <c r="AD547" s="1" t="n">
        <v>60369</v>
      </c>
      <c r="AE547" s="37" t="n">
        <f aca="false">(AD547/Q547)*100</f>
        <v>35.2200927627549</v>
      </c>
      <c r="AF547" s="37" t="s">
        <v>197</v>
      </c>
      <c r="AG547" s="1" t="s">
        <v>197</v>
      </c>
      <c r="AH547" s="1" t="s">
        <v>2787</v>
      </c>
      <c r="AI547" s="1" t="n">
        <v>7355</v>
      </c>
      <c r="AJ547" s="37" t="n">
        <f aca="false">(AI547/Q547)*100</f>
        <v>4.29100668008518</v>
      </c>
      <c r="AK547" s="37" t="s">
        <v>179</v>
      </c>
      <c r="AL547" s="1" t="s">
        <v>179</v>
      </c>
      <c r="AM547" s="1" t="s">
        <v>2788</v>
      </c>
      <c r="AN547" s="1" t="n">
        <v>3227</v>
      </c>
      <c r="AO547" s="37" t="n">
        <f aca="false">(AN547/Q547)*100</f>
        <v>1.88267553455267</v>
      </c>
      <c r="AP547" s="37" t="s">
        <v>197</v>
      </c>
      <c r="AQ547" s="1" t="s">
        <v>197</v>
      </c>
      <c r="AR547" s="1" t="s">
        <v>2789</v>
      </c>
      <c r="AS547" s="1" t="n">
        <v>2044</v>
      </c>
      <c r="AT547" s="37" t="n">
        <f aca="false">(AS547/Q547)*100</f>
        <v>1.19249730171232</v>
      </c>
    </row>
    <row r="548" customFormat="false" ht="12.8" hidden="false" customHeight="true" outlineLevel="0" collapsed="false">
      <c r="A548" s="35" t="n">
        <v>2011</v>
      </c>
      <c r="B548" s="36" t="n">
        <v>79</v>
      </c>
      <c r="C548" s="1" t="s">
        <v>520</v>
      </c>
      <c r="D548" s="1" t="s">
        <v>509</v>
      </c>
      <c r="E548" s="1" t="s">
        <v>48</v>
      </c>
      <c r="F548" s="1" t="s">
        <v>470</v>
      </c>
      <c r="G548" s="1" t="s">
        <v>50</v>
      </c>
      <c r="H548" s="1" t="s">
        <v>51</v>
      </c>
      <c r="I548" s="1" t="s">
        <v>51</v>
      </c>
      <c r="J548" s="1" t="s">
        <v>51</v>
      </c>
      <c r="K548" s="1" t="s">
        <v>51</v>
      </c>
      <c r="L548" s="1" t="s">
        <v>51</v>
      </c>
      <c r="M548" s="1" t="s">
        <v>51</v>
      </c>
      <c r="N548" s="1" t="s">
        <v>51</v>
      </c>
      <c r="O548" s="1" t="s">
        <v>51</v>
      </c>
      <c r="P548" s="1" t="n">
        <v>208838</v>
      </c>
      <c r="Q548" s="1" t="n">
        <v>170824</v>
      </c>
      <c r="R548" s="37" t="n">
        <f aca="false">(Q548/P548)*100</f>
        <v>81.7973740411228</v>
      </c>
      <c r="S548" s="1" t="n">
        <f aca="false">Y548-AD548</f>
        <v>12198</v>
      </c>
      <c r="T548" s="37" t="n">
        <f aca="false">(S548/Q548)*100</f>
        <v>7.14068280803634</v>
      </c>
      <c r="U548" s="37" t="n">
        <f aca="false">Z548+AE548</f>
        <v>95.3296960614433</v>
      </c>
      <c r="V548" s="1" t="s">
        <v>55</v>
      </c>
      <c r="W548" s="1" t="s">
        <v>68</v>
      </c>
      <c r="X548" s="1" t="s">
        <v>1784</v>
      </c>
      <c r="Y548" s="1" t="n">
        <v>87522</v>
      </c>
      <c r="Z548" s="37" t="n">
        <f aca="false">(Y548/Q548)*100</f>
        <v>51.2351894347398</v>
      </c>
      <c r="AA548" s="37" t="s">
        <v>52</v>
      </c>
      <c r="AB548" s="1" t="s">
        <v>53</v>
      </c>
      <c r="AC548" s="1" t="s">
        <v>1783</v>
      </c>
      <c r="AD548" s="1" t="n">
        <v>75324</v>
      </c>
      <c r="AE548" s="37" t="n">
        <f aca="false">(AD548/Q548)*100</f>
        <v>44.0945066267035</v>
      </c>
      <c r="AF548" s="37" t="s">
        <v>197</v>
      </c>
      <c r="AG548" s="1" t="s">
        <v>197</v>
      </c>
      <c r="AH548" s="1" t="s">
        <v>2790</v>
      </c>
      <c r="AI548" s="1" t="n">
        <v>1933</v>
      </c>
      <c r="AJ548" s="37" t="n">
        <f aca="false">(AI548/Q548)*100</f>
        <v>1.13157401770243</v>
      </c>
      <c r="AK548" s="37" t="s">
        <v>1431</v>
      </c>
      <c r="AL548" s="1" t="s">
        <v>171</v>
      </c>
      <c r="AM548" s="1" t="s">
        <v>2791</v>
      </c>
      <c r="AN548" s="1" t="n">
        <v>1874</v>
      </c>
      <c r="AO548" s="37" t="n">
        <f aca="false">(AN548/Q548)*100</f>
        <v>1.09703554535662</v>
      </c>
      <c r="AP548" s="37" t="s">
        <v>85</v>
      </c>
      <c r="AQ548" s="1" t="s">
        <v>85</v>
      </c>
      <c r="AR548" s="1" t="s">
        <v>2792</v>
      </c>
      <c r="AS548" s="1" t="n">
        <v>1492</v>
      </c>
      <c r="AT548" s="37" t="n">
        <f aca="false">(AS548/Q548)*100</f>
        <v>0.873413571863438</v>
      </c>
    </row>
    <row r="549" customFormat="false" ht="12.8" hidden="false" customHeight="true" outlineLevel="0" collapsed="false">
      <c r="A549" s="35" t="n">
        <v>2011</v>
      </c>
      <c r="B549" s="36" t="n">
        <v>80</v>
      </c>
      <c r="C549" s="1" t="s">
        <v>509</v>
      </c>
      <c r="D549" s="1" t="s">
        <v>509</v>
      </c>
      <c r="E549" s="1" t="s">
        <v>48</v>
      </c>
      <c r="F549" s="1" t="s">
        <v>470</v>
      </c>
      <c r="G549" s="1" t="s">
        <v>77</v>
      </c>
      <c r="H549" s="1" t="s">
        <v>65</v>
      </c>
      <c r="I549" s="1" t="s">
        <v>526</v>
      </c>
      <c r="J549" s="1" t="s">
        <v>51</v>
      </c>
      <c r="K549" s="1" t="s">
        <v>51</v>
      </c>
      <c r="L549" s="1" t="s">
        <v>51</v>
      </c>
      <c r="M549" s="1" t="s">
        <v>68</v>
      </c>
      <c r="N549" s="1" t="s">
        <v>51</v>
      </c>
      <c r="O549" s="1" t="s">
        <v>51</v>
      </c>
      <c r="P549" s="1" t="n">
        <v>217252</v>
      </c>
      <c r="Q549" s="1" t="n">
        <v>178906</v>
      </c>
      <c r="R549" s="37" t="n">
        <f aca="false">(Q549/P549)*100</f>
        <v>82.3495295785539</v>
      </c>
      <c r="S549" s="1" t="n">
        <f aca="false">Y549-AD549</f>
        <v>59998</v>
      </c>
      <c r="T549" s="37" t="n">
        <f aca="false">(S549/Q549)*100</f>
        <v>33.5360468625982</v>
      </c>
      <c r="U549" s="37" t="n">
        <f aca="false">Z549+AE549</f>
        <v>90.8298212469118</v>
      </c>
      <c r="V549" s="1" t="s">
        <v>55</v>
      </c>
      <c r="W549" s="1" t="s">
        <v>68</v>
      </c>
      <c r="X549" s="1" t="s">
        <v>2793</v>
      </c>
      <c r="Y549" s="1" t="n">
        <v>111249</v>
      </c>
      <c r="Z549" s="37" t="n">
        <f aca="false">(Y549/Q549)*100</f>
        <v>62.182934054755</v>
      </c>
      <c r="AA549" s="37" t="s">
        <v>52</v>
      </c>
      <c r="AB549" s="1" t="s">
        <v>257</v>
      </c>
      <c r="AC549" s="1" t="s">
        <v>2794</v>
      </c>
      <c r="AD549" s="1" t="n">
        <v>51251</v>
      </c>
      <c r="AE549" s="37" t="n">
        <f aca="false">(AD549/Q549)*100</f>
        <v>28.6468871921568</v>
      </c>
      <c r="AF549" s="37" t="s">
        <v>197</v>
      </c>
      <c r="AG549" s="1" t="s">
        <v>197</v>
      </c>
      <c r="AH549" s="1" t="s">
        <v>2795</v>
      </c>
      <c r="AI549" s="1" t="n">
        <v>4031</v>
      </c>
      <c r="AJ549" s="37" t="n">
        <f aca="false">(AI549/Q549)*100</f>
        <v>2.25313851966955</v>
      </c>
      <c r="AK549" s="37" t="s">
        <v>179</v>
      </c>
      <c r="AL549" s="1" t="s">
        <v>179</v>
      </c>
      <c r="AM549" s="1" t="s">
        <v>2796</v>
      </c>
      <c r="AN549" s="1" t="n">
        <v>3246</v>
      </c>
      <c r="AO549" s="37" t="n">
        <f aca="false">(AN549/Q549)*100</f>
        <v>1.8143606139537</v>
      </c>
      <c r="AP549" s="37" t="s">
        <v>197</v>
      </c>
      <c r="AQ549" s="1" t="s">
        <v>197</v>
      </c>
      <c r="AR549" s="1" t="s">
        <v>2797</v>
      </c>
      <c r="AS549" s="1" t="n">
        <v>2425</v>
      </c>
      <c r="AT549" s="37" t="n">
        <f aca="false">(AS549/Q549)*100</f>
        <v>1.35546040937699</v>
      </c>
    </row>
    <row r="550" customFormat="false" ht="12.8" hidden="false" customHeight="true" outlineLevel="0" collapsed="false">
      <c r="A550" s="35" t="n">
        <v>2011</v>
      </c>
      <c r="B550" s="36" t="n">
        <v>151</v>
      </c>
      <c r="C550" s="1" t="s">
        <v>531</v>
      </c>
      <c r="D550" s="1" t="s">
        <v>532</v>
      </c>
      <c r="E550" s="1" t="s">
        <v>48</v>
      </c>
      <c r="F550" s="1" t="s">
        <v>470</v>
      </c>
      <c r="G550" s="1" t="s">
        <v>50</v>
      </c>
      <c r="H550" s="1" t="s">
        <v>65</v>
      </c>
      <c r="I550" s="1" t="s">
        <v>51</v>
      </c>
      <c r="J550" s="1" t="s">
        <v>51</v>
      </c>
      <c r="K550" s="1" t="s">
        <v>51</v>
      </c>
      <c r="L550" s="1" t="s">
        <v>51</v>
      </c>
      <c r="M550" s="1" t="s">
        <v>51</v>
      </c>
      <c r="N550" s="1" t="s">
        <v>51</v>
      </c>
      <c r="O550" s="1" t="s">
        <v>51</v>
      </c>
      <c r="P550" s="1" t="n">
        <v>175752</v>
      </c>
      <c r="Q550" s="1" t="n">
        <v>139261</v>
      </c>
      <c r="R550" s="37" t="n">
        <f aca="false">(Q550/P550)*100</f>
        <v>79.2372206290682</v>
      </c>
      <c r="S550" s="1" t="n">
        <f aca="false">Y550-AD550</f>
        <v>12642</v>
      </c>
      <c r="T550" s="37" t="n">
        <f aca="false">(S550/Q550)*100</f>
        <v>9.07791844091311</v>
      </c>
      <c r="U550" s="37" t="n">
        <f aca="false">Z550+AE550</f>
        <v>79.8155980497052</v>
      </c>
      <c r="V550" s="1" t="s">
        <v>55</v>
      </c>
      <c r="W550" s="1" t="s">
        <v>61</v>
      </c>
      <c r="X550" s="1" t="s">
        <v>2798</v>
      </c>
      <c r="Y550" s="1" t="n">
        <v>61897</v>
      </c>
      <c r="Z550" s="37" t="n">
        <f aca="false">(Y550/Q550)*100</f>
        <v>44.4467582453092</v>
      </c>
      <c r="AA550" s="37" t="s">
        <v>52</v>
      </c>
      <c r="AB550" s="1" t="s">
        <v>257</v>
      </c>
      <c r="AC550" s="1" t="s">
        <v>2799</v>
      </c>
      <c r="AD550" s="1" t="n">
        <v>49255</v>
      </c>
      <c r="AE550" s="37" t="n">
        <f aca="false">(AD550/Q550)*100</f>
        <v>35.3688398043961</v>
      </c>
      <c r="AF550" s="37" t="s">
        <v>197</v>
      </c>
      <c r="AG550" s="1" t="s">
        <v>197</v>
      </c>
      <c r="AH550" s="1" t="s">
        <v>2800</v>
      </c>
      <c r="AI550" s="1" t="n">
        <v>8577</v>
      </c>
      <c r="AJ550" s="37" t="n">
        <f aca="false">(AI550/Q550)*100</f>
        <v>6.15893897070967</v>
      </c>
      <c r="AK550" s="37" t="s">
        <v>197</v>
      </c>
      <c r="AL550" s="1" t="s">
        <v>197</v>
      </c>
      <c r="AM550" s="1" t="s">
        <v>2801</v>
      </c>
      <c r="AN550" s="1" t="n">
        <v>5637</v>
      </c>
      <c r="AO550" s="37" t="n">
        <f aca="false">(AN550/Q550)*100</f>
        <v>4.04779514724151</v>
      </c>
      <c r="AP550" s="37" t="s">
        <v>197</v>
      </c>
      <c r="AQ550" s="1" t="s">
        <v>2458</v>
      </c>
      <c r="AR550" s="1" t="s">
        <v>2802</v>
      </c>
      <c r="AS550" s="1" t="n">
        <v>4312</v>
      </c>
      <c r="AT550" s="37" t="n">
        <f aca="false">(AS550/Q550)*100</f>
        <v>3.09634427441997</v>
      </c>
    </row>
    <row r="551" customFormat="false" ht="12.8" hidden="false" customHeight="true" outlineLevel="0" collapsed="false">
      <c r="A551" s="35" t="n">
        <v>2011</v>
      </c>
      <c r="B551" s="36" t="n">
        <v>152</v>
      </c>
      <c r="C551" s="1" t="s">
        <v>538</v>
      </c>
      <c r="D551" s="1" t="s">
        <v>532</v>
      </c>
      <c r="E551" s="1" t="s">
        <v>48</v>
      </c>
      <c r="F551" s="1" t="s">
        <v>470</v>
      </c>
      <c r="G551" s="1" t="s">
        <v>77</v>
      </c>
      <c r="H551" s="1" t="s">
        <v>51</v>
      </c>
      <c r="I551" s="1" t="s">
        <v>51</v>
      </c>
      <c r="J551" s="1" t="s">
        <v>51</v>
      </c>
      <c r="K551" s="1" t="s">
        <v>51</v>
      </c>
      <c r="L551" s="1" t="s">
        <v>51</v>
      </c>
      <c r="M551" s="1" t="s">
        <v>51</v>
      </c>
      <c r="N551" s="1" t="s">
        <v>51</v>
      </c>
      <c r="O551" s="1" t="s">
        <v>515</v>
      </c>
      <c r="P551" s="1" t="n">
        <v>195908</v>
      </c>
      <c r="Q551" s="1" t="n">
        <v>158288</v>
      </c>
      <c r="R551" s="37" t="n">
        <f aca="false">(Q551/P551)*100</f>
        <v>80.7971088470098</v>
      </c>
      <c r="S551" s="1" t="n">
        <f aca="false">Y551-AD551</f>
        <v>13641</v>
      </c>
      <c r="T551" s="37" t="n">
        <f aca="false">(S551/Q551)*100</f>
        <v>8.61783584352573</v>
      </c>
      <c r="U551" s="37" t="n">
        <f aca="false">Z551+AE551</f>
        <v>83.4952744364702</v>
      </c>
      <c r="V551" s="1" t="s">
        <v>55</v>
      </c>
      <c r="W551" s="1" t="s">
        <v>61</v>
      </c>
      <c r="X551" s="1" t="s">
        <v>2803</v>
      </c>
      <c r="Y551" s="1" t="n">
        <v>72902</v>
      </c>
      <c r="Z551" s="37" t="n">
        <f aca="false">(Y551/Q551)*100</f>
        <v>46.056555139998</v>
      </c>
      <c r="AA551" s="37" t="s">
        <v>52</v>
      </c>
      <c r="AB551" s="1" t="s">
        <v>66</v>
      </c>
      <c r="AC551" s="1" t="s">
        <v>2804</v>
      </c>
      <c r="AD551" s="1" t="n">
        <v>59261</v>
      </c>
      <c r="AE551" s="37" t="n">
        <f aca="false">(AD551/Q551)*100</f>
        <v>37.4387192964723</v>
      </c>
      <c r="AF551" s="37" t="s">
        <v>179</v>
      </c>
      <c r="AG551" s="1" t="s">
        <v>179</v>
      </c>
      <c r="AH551" s="1" t="s">
        <v>2805</v>
      </c>
      <c r="AI551" s="1" t="n">
        <v>11214</v>
      </c>
      <c r="AJ551" s="37" t="n">
        <f aca="false">(AI551/Q551)*100</f>
        <v>7.08455473567169</v>
      </c>
      <c r="AK551" s="37" t="s">
        <v>197</v>
      </c>
      <c r="AL551" s="1" t="s">
        <v>197</v>
      </c>
      <c r="AM551" s="1" t="s">
        <v>2806</v>
      </c>
      <c r="AN551" s="1" t="n">
        <v>5640</v>
      </c>
      <c r="AO551" s="37" t="n">
        <f aca="false">(AN551/Q551)*100</f>
        <v>3.56312544223188</v>
      </c>
      <c r="AP551" s="37" t="s">
        <v>197</v>
      </c>
      <c r="AQ551" s="1" t="s">
        <v>197</v>
      </c>
      <c r="AR551" s="1" t="s">
        <v>2807</v>
      </c>
      <c r="AS551" s="1" t="n">
        <v>2907</v>
      </c>
      <c r="AT551" s="37" t="n">
        <f aca="false">(AS551/Q551)*100</f>
        <v>1.83652582634186</v>
      </c>
    </row>
    <row r="552" customFormat="false" ht="12.8" hidden="false" customHeight="true" outlineLevel="0" collapsed="false">
      <c r="A552" s="35" t="n">
        <v>2011</v>
      </c>
      <c r="B552" s="36" t="n">
        <v>153</v>
      </c>
      <c r="C552" s="1" t="s">
        <v>544</v>
      </c>
      <c r="D552" s="1" t="s">
        <v>532</v>
      </c>
      <c r="E552" s="1" t="s">
        <v>48</v>
      </c>
      <c r="F552" s="1" t="s">
        <v>470</v>
      </c>
      <c r="G552" s="1" t="s">
        <v>88</v>
      </c>
      <c r="H552" s="1" t="s">
        <v>51</v>
      </c>
      <c r="I552" s="1" t="s">
        <v>51</v>
      </c>
      <c r="J552" s="1" t="s">
        <v>51</v>
      </c>
      <c r="K552" s="1" t="s">
        <v>51</v>
      </c>
      <c r="L552" s="1" t="s">
        <v>51</v>
      </c>
      <c r="M552" s="1" t="s">
        <v>51</v>
      </c>
      <c r="N552" s="1" t="s">
        <v>51</v>
      </c>
      <c r="O552" s="1" t="s">
        <v>51</v>
      </c>
      <c r="P552" s="1" t="n">
        <v>166099</v>
      </c>
      <c r="Q552" s="1" t="n">
        <v>137357</v>
      </c>
      <c r="R552" s="37" t="n">
        <f aca="false">(Q552/P552)*100</f>
        <v>82.6958621063342</v>
      </c>
      <c r="S552" s="1" t="n">
        <f aca="false">Y552-AD552</f>
        <v>8118</v>
      </c>
      <c r="T552" s="37" t="n">
        <f aca="false">(S552/Q552)*100</f>
        <v>5.91014655241451</v>
      </c>
      <c r="U552" s="37" t="n">
        <f aca="false">Z552+AE552</f>
        <v>95.3573534657863</v>
      </c>
      <c r="V552" s="1" t="s">
        <v>55</v>
      </c>
      <c r="W552" s="1" t="s">
        <v>68</v>
      </c>
      <c r="X552" s="1" t="s">
        <v>2808</v>
      </c>
      <c r="Y552" s="1" t="n">
        <v>69549</v>
      </c>
      <c r="Z552" s="37" t="n">
        <f aca="false">(Y552/Q552)*100</f>
        <v>50.6337500091004</v>
      </c>
      <c r="AA552" s="37" t="s">
        <v>52</v>
      </c>
      <c r="AB552" s="1" t="s">
        <v>56</v>
      </c>
      <c r="AC552" s="1" t="s">
        <v>551</v>
      </c>
      <c r="AD552" s="1" t="n">
        <v>61431</v>
      </c>
      <c r="AE552" s="37" t="n">
        <f aca="false">(AD552/Q552)*100</f>
        <v>44.7236034566859</v>
      </c>
      <c r="AF552" s="1" t="s">
        <v>1431</v>
      </c>
      <c r="AG552" s="1" t="s">
        <v>171</v>
      </c>
      <c r="AH552" s="1" t="s">
        <v>2809</v>
      </c>
      <c r="AI552" s="1" t="n">
        <v>1406</v>
      </c>
      <c r="AJ552" s="37" t="n">
        <f aca="false">(AI552/Q552)*100</f>
        <v>1.02361000895477</v>
      </c>
      <c r="AK552" s="37" t="s">
        <v>197</v>
      </c>
      <c r="AL552" s="1" t="s">
        <v>197</v>
      </c>
      <c r="AM552" s="1" t="s">
        <v>2810</v>
      </c>
      <c r="AN552" s="1" t="n">
        <v>1273</v>
      </c>
      <c r="AO552" s="37" t="n">
        <f aca="false">(AN552/Q552)*100</f>
        <v>0.926782035134722</v>
      </c>
      <c r="AP552" s="37" t="s">
        <v>197</v>
      </c>
      <c r="AQ552" s="1" t="s">
        <v>2512</v>
      </c>
      <c r="AR552" s="1" t="s">
        <v>2811</v>
      </c>
      <c r="AS552" s="1" t="n">
        <v>1232</v>
      </c>
      <c r="AT552" s="37" t="n">
        <f aca="false">(AS552/Q552)*100</f>
        <v>0.896932810122528</v>
      </c>
    </row>
    <row r="553" customFormat="false" ht="12.8" hidden="false" customHeight="true" outlineLevel="0" collapsed="false">
      <c r="A553" s="35" t="n">
        <v>2011</v>
      </c>
      <c r="B553" s="36" t="n">
        <v>154</v>
      </c>
      <c r="C553" s="1" t="s">
        <v>549</v>
      </c>
      <c r="D553" s="1" t="s">
        <v>532</v>
      </c>
      <c r="E553" s="1" t="s">
        <v>48</v>
      </c>
      <c r="F553" s="1" t="s">
        <v>470</v>
      </c>
      <c r="G553" s="1" t="s">
        <v>77</v>
      </c>
      <c r="H553" s="1" t="s">
        <v>51</v>
      </c>
      <c r="I553" s="1" t="s">
        <v>51</v>
      </c>
      <c r="J553" s="1" t="s">
        <v>51</v>
      </c>
      <c r="K553" s="42" t="s">
        <v>550</v>
      </c>
      <c r="L553" s="1" t="s">
        <v>68</v>
      </c>
      <c r="M553" s="1" t="s">
        <v>51</v>
      </c>
      <c r="N553" s="1" t="s">
        <v>51</v>
      </c>
      <c r="O553" s="1" t="s">
        <v>51</v>
      </c>
      <c r="P553" s="1" t="n">
        <v>193924</v>
      </c>
      <c r="Q553" s="1" t="n">
        <v>161443</v>
      </c>
      <c r="R553" s="37" t="n">
        <f aca="false">(Q553/P553)*100</f>
        <v>83.2506548957323</v>
      </c>
      <c r="S553" s="1" t="n">
        <f aca="false">Y553-AD553</f>
        <v>10716</v>
      </c>
      <c r="T553" s="37" t="n">
        <f aca="false">(S553/Q553)*100</f>
        <v>6.63763681299282</v>
      </c>
      <c r="U553" s="37" t="n">
        <f aca="false">Z553+AE553</f>
        <v>95.1778646333381</v>
      </c>
      <c r="V553" s="1" t="s">
        <v>55</v>
      </c>
      <c r="W553" s="1" t="s">
        <v>61</v>
      </c>
      <c r="X553" s="1" t="s">
        <v>2812</v>
      </c>
      <c r="Y553" s="1" t="n">
        <v>82187</v>
      </c>
      <c r="Z553" s="37" t="n">
        <f aca="false">(Y553/Q553)*100</f>
        <v>50.9077507231655</v>
      </c>
      <c r="AA553" s="37" t="s">
        <v>52</v>
      </c>
      <c r="AB553" s="1" t="s">
        <v>53</v>
      </c>
      <c r="AC553" s="1" t="s">
        <v>545</v>
      </c>
      <c r="AD553" s="1" t="n">
        <v>71471</v>
      </c>
      <c r="AE553" s="37" t="n">
        <f aca="false">(AD553/Q553)*100</f>
        <v>44.2701139101726</v>
      </c>
      <c r="AF553" s="37" t="s">
        <v>179</v>
      </c>
      <c r="AG553" s="1" t="s">
        <v>179</v>
      </c>
      <c r="AH553" s="1" t="s">
        <v>2813</v>
      </c>
      <c r="AI553" s="1" t="n">
        <v>1570</v>
      </c>
      <c r="AJ553" s="37" t="n">
        <f aca="false">(AI553/Q553)*100</f>
        <v>0.972479450951729</v>
      </c>
      <c r="AK553" s="37" t="s">
        <v>197</v>
      </c>
      <c r="AL553" s="1" t="s">
        <v>2470</v>
      </c>
      <c r="AM553" s="1" t="s">
        <v>2814</v>
      </c>
      <c r="AN553" s="1" t="n">
        <v>1155</v>
      </c>
      <c r="AO553" s="37" t="n">
        <f aca="false">(AN553/Q553)*100</f>
        <v>0.715422780795699</v>
      </c>
      <c r="AP553" s="1" t="s">
        <v>1431</v>
      </c>
      <c r="AQ553" s="1" t="s">
        <v>171</v>
      </c>
      <c r="AR553" s="1" t="s">
        <v>2815</v>
      </c>
      <c r="AS553" s="1" t="n">
        <v>1064</v>
      </c>
      <c r="AT553" s="37" t="n">
        <f aca="false">(AS553/Q553)*100</f>
        <v>0.65905613746028</v>
      </c>
    </row>
    <row r="554" customFormat="false" ht="12.8" hidden="false" customHeight="true" outlineLevel="0" collapsed="false">
      <c r="A554" s="35" t="n">
        <v>2011</v>
      </c>
      <c r="B554" s="36" t="n">
        <v>155</v>
      </c>
      <c r="C554" s="1" t="s">
        <v>532</v>
      </c>
      <c r="D554" s="1" t="s">
        <v>532</v>
      </c>
      <c r="E554" s="1" t="s">
        <v>48</v>
      </c>
      <c r="F554" s="1" t="s">
        <v>470</v>
      </c>
      <c r="G554" s="1" t="s">
        <v>88</v>
      </c>
      <c r="H554" s="1" t="s">
        <v>51</v>
      </c>
      <c r="I554" s="1" t="s">
        <v>51</v>
      </c>
      <c r="J554" s="1" t="s">
        <v>51</v>
      </c>
      <c r="K554" s="1" t="s">
        <v>51</v>
      </c>
      <c r="L554" s="1" t="s">
        <v>51</v>
      </c>
      <c r="M554" s="1" t="s">
        <v>51</v>
      </c>
      <c r="N554" s="1" t="s">
        <v>51</v>
      </c>
      <c r="O554" s="1" t="s">
        <v>51</v>
      </c>
      <c r="P554" s="1" t="n">
        <v>181920</v>
      </c>
      <c r="Q554" s="1" t="n">
        <v>141930</v>
      </c>
      <c r="R554" s="37" t="n">
        <f aca="false">(Q554/P554)*100</f>
        <v>78.0178100263852</v>
      </c>
      <c r="S554" s="1" t="n">
        <f aca="false">Y554-AD554</f>
        <v>33678</v>
      </c>
      <c r="T554" s="37" t="n">
        <f aca="false">(S554/Q554)*100</f>
        <v>23.7285986049461</v>
      </c>
      <c r="U554" s="37" t="n">
        <f aca="false">Z554+AE554</f>
        <v>97.3916719509617</v>
      </c>
      <c r="V554" s="1" t="s">
        <v>55</v>
      </c>
      <c r="W554" s="1" t="s">
        <v>68</v>
      </c>
      <c r="X554" s="1" t="s">
        <v>2816</v>
      </c>
      <c r="Y554" s="1" t="n">
        <v>85953</v>
      </c>
      <c r="Z554" s="37" t="n">
        <f aca="false">(Y554/Q554)*100</f>
        <v>60.5601352779539</v>
      </c>
      <c r="AA554" s="37" t="s">
        <v>52</v>
      </c>
      <c r="AB554" s="1" t="s">
        <v>53</v>
      </c>
      <c r="AC554" s="1" t="s">
        <v>2817</v>
      </c>
      <c r="AD554" s="1" t="n">
        <v>52275</v>
      </c>
      <c r="AE554" s="37" t="n">
        <f aca="false">(AD554/Q554)*100</f>
        <v>36.8315366730078</v>
      </c>
      <c r="AF554" s="1" t="s">
        <v>1431</v>
      </c>
      <c r="AG554" s="1" t="s">
        <v>171</v>
      </c>
      <c r="AH554" s="1" t="s">
        <v>2818</v>
      </c>
      <c r="AI554" s="1" t="n">
        <v>1579</v>
      </c>
      <c r="AJ554" s="37" t="n">
        <f aca="false">(AI554/Q554)*100</f>
        <v>1.11252025646445</v>
      </c>
      <c r="AK554" s="37" t="s">
        <v>197</v>
      </c>
      <c r="AL554" s="1" t="s">
        <v>197</v>
      </c>
      <c r="AM554" s="1" t="s">
        <v>2819</v>
      </c>
      <c r="AN554" s="1" t="n">
        <v>892</v>
      </c>
      <c r="AO554" s="37" t="n">
        <f aca="false">(AN554/Q554)*100</f>
        <v>0.628478827591066</v>
      </c>
      <c r="AP554" s="37" t="s">
        <v>197</v>
      </c>
      <c r="AQ554" s="1" t="s">
        <v>2512</v>
      </c>
      <c r="AR554" s="1" t="s">
        <v>2820</v>
      </c>
      <c r="AS554" s="1" t="n">
        <v>774</v>
      </c>
      <c r="AT554" s="37" t="n">
        <f aca="false">(AS554/Q554)*100</f>
        <v>0.545339251743817</v>
      </c>
    </row>
    <row r="555" customFormat="false" ht="12.8" hidden="false" customHeight="true" outlineLevel="0" collapsed="false">
      <c r="A555" s="35" t="n">
        <v>2011</v>
      </c>
      <c r="B555" s="36" t="n">
        <v>156</v>
      </c>
      <c r="C555" s="1" t="s">
        <v>561</v>
      </c>
      <c r="D555" s="1" t="s">
        <v>532</v>
      </c>
      <c r="E555" s="1" t="s">
        <v>48</v>
      </c>
      <c r="F555" s="1" t="s">
        <v>470</v>
      </c>
      <c r="G555" s="1" t="s">
        <v>50</v>
      </c>
      <c r="H555" s="1" t="s">
        <v>51</v>
      </c>
      <c r="I555" s="1" t="s">
        <v>51</v>
      </c>
      <c r="J555" s="1" t="s">
        <v>51</v>
      </c>
      <c r="K555" s="1" t="s">
        <v>53</v>
      </c>
      <c r="L555" s="1" t="s">
        <v>51</v>
      </c>
      <c r="M555" s="1" t="s">
        <v>51</v>
      </c>
      <c r="N555" s="1" t="s">
        <v>51</v>
      </c>
      <c r="O555" s="1" t="s">
        <v>51</v>
      </c>
      <c r="P555" s="1" t="n">
        <v>181914</v>
      </c>
      <c r="Q555" s="1" t="n">
        <v>156694</v>
      </c>
      <c r="R555" s="37" t="n">
        <f aca="false">(Q555/P555)*100</f>
        <v>86.1363061666502</v>
      </c>
      <c r="S555" s="1" t="n">
        <f aca="false">Y555-AD555</f>
        <v>23848</v>
      </c>
      <c r="T555" s="37" t="n">
        <f aca="false">(S555/Q555)*100</f>
        <v>15.2194723473777</v>
      </c>
      <c r="U555" s="37" t="n">
        <f aca="false">Z555+AE555</f>
        <v>97.5417054896805</v>
      </c>
      <c r="V555" s="1" t="s">
        <v>55</v>
      </c>
      <c r="W555" s="1" t="s">
        <v>68</v>
      </c>
      <c r="X555" s="1" t="s">
        <v>552</v>
      </c>
      <c r="Y555" s="1" t="n">
        <v>88345</v>
      </c>
      <c r="Z555" s="37" t="n">
        <f aca="false">(Y555/Q555)*100</f>
        <v>56.3805889185291</v>
      </c>
      <c r="AA555" s="37" t="s">
        <v>52</v>
      </c>
      <c r="AB555" s="1" t="s">
        <v>53</v>
      </c>
      <c r="AC555" s="1" t="s">
        <v>2821</v>
      </c>
      <c r="AD555" s="1" t="n">
        <v>64497</v>
      </c>
      <c r="AE555" s="37" t="n">
        <f aca="false">(AD555/Q555)*100</f>
        <v>41.1611165711514</v>
      </c>
      <c r="AF555" s="1" t="s">
        <v>197</v>
      </c>
      <c r="AG555" s="1" t="s">
        <v>197</v>
      </c>
      <c r="AH555" s="1" t="s">
        <v>2822</v>
      </c>
      <c r="AI555" s="1" t="n">
        <v>1863</v>
      </c>
      <c r="AJ555" s="37" t="n">
        <f aca="false">(AI555/Q555)*100</f>
        <v>1.18894150382274</v>
      </c>
      <c r="AK555" s="1" t="s">
        <v>1431</v>
      </c>
      <c r="AL555" s="1" t="s">
        <v>171</v>
      </c>
      <c r="AM555" s="1" t="s">
        <v>2823</v>
      </c>
      <c r="AN555" s="1" t="n">
        <v>1123</v>
      </c>
      <c r="AO555" s="37" t="n">
        <f aca="false">(AN555/Q555)*100</f>
        <v>0.716683472245268</v>
      </c>
      <c r="AP555" s="1" t="s">
        <v>85</v>
      </c>
      <c r="AQ555" s="1" t="s">
        <v>85</v>
      </c>
      <c r="AR555" s="1" t="s">
        <v>2824</v>
      </c>
      <c r="AS555" s="1" t="n">
        <v>866</v>
      </c>
      <c r="AT555" s="37" t="n">
        <f aca="false">(AS555/Q555)*100</f>
        <v>0.552669534251471</v>
      </c>
    </row>
    <row r="556" customFormat="false" ht="12.8" hidden="false" customHeight="true" outlineLevel="0" collapsed="false">
      <c r="A556" s="35" t="n">
        <v>2011</v>
      </c>
      <c r="B556" s="36" t="n">
        <v>157</v>
      </c>
      <c r="C556" s="1" t="s">
        <v>567</v>
      </c>
      <c r="D556" s="1" t="s">
        <v>532</v>
      </c>
      <c r="E556" s="1" t="s">
        <v>48</v>
      </c>
      <c r="F556" s="1" t="s">
        <v>470</v>
      </c>
      <c r="G556" s="1" t="s">
        <v>50</v>
      </c>
      <c r="H556" s="1" t="s">
        <v>51</v>
      </c>
      <c r="I556" s="1" t="s">
        <v>51</v>
      </c>
      <c r="J556" s="1" t="s">
        <v>51</v>
      </c>
      <c r="K556" s="1" t="s">
        <v>51</v>
      </c>
      <c r="L556" s="1" t="s">
        <v>51</v>
      </c>
      <c r="M556" s="1" t="s">
        <v>51</v>
      </c>
      <c r="N556" s="1" t="s">
        <v>51</v>
      </c>
      <c r="O556" s="1" t="s">
        <v>51</v>
      </c>
      <c r="P556" s="1" t="n">
        <v>207558</v>
      </c>
      <c r="Q556" s="1" t="n">
        <v>170265</v>
      </c>
      <c r="R556" s="37" t="n">
        <f aca="false">(Q556/P556)*100</f>
        <v>82.0324921226838</v>
      </c>
      <c r="S556" s="1" t="n">
        <f aca="false">Y556-AD556</f>
        <v>13117</v>
      </c>
      <c r="T556" s="37" t="n">
        <f aca="false">(S556/Q556)*100</f>
        <v>7.7038733738584</v>
      </c>
      <c r="U556" s="37" t="n">
        <f aca="false">Z556+AE556</f>
        <v>94.974892079993</v>
      </c>
      <c r="V556" s="1" t="s">
        <v>55</v>
      </c>
      <c r="W556" s="1" t="s">
        <v>68</v>
      </c>
      <c r="X556" s="1" t="s">
        <v>2825</v>
      </c>
      <c r="Y556" s="1" t="n">
        <v>87413</v>
      </c>
      <c r="Z556" s="37" t="n">
        <f aca="false">(Y556/Q556)*100</f>
        <v>51.3393827269257</v>
      </c>
      <c r="AA556" s="37" t="s">
        <v>52</v>
      </c>
      <c r="AB556" s="1" t="s">
        <v>56</v>
      </c>
      <c r="AC556" s="1" t="s">
        <v>2826</v>
      </c>
      <c r="AD556" s="1" t="n">
        <v>74296</v>
      </c>
      <c r="AE556" s="37" t="n">
        <f aca="false">(AD556/Q556)*100</f>
        <v>43.6355093530673</v>
      </c>
      <c r="AF556" s="1" t="s">
        <v>197</v>
      </c>
      <c r="AG556" s="1" t="s">
        <v>197</v>
      </c>
      <c r="AH556" s="1" t="s">
        <v>2827</v>
      </c>
      <c r="AI556" s="1" t="n">
        <v>2511</v>
      </c>
      <c r="AJ556" s="37" t="n">
        <f aca="false">(AI556/Q556)*100</f>
        <v>1.47475993304555</v>
      </c>
      <c r="AK556" s="37" t="s">
        <v>197</v>
      </c>
      <c r="AL556" s="1" t="s">
        <v>2458</v>
      </c>
      <c r="AM556" s="1" t="s">
        <v>2828</v>
      </c>
      <c r="AN556" s="1" t="n">
        <v>1475</v>
      </c>
      <c r="AO556" s="37" t="n">
        <f aca="false">(AN556/Q556)*100</f>
        <v>0.866296655213931</v>
      </c>
      <c r="AP556" s="37" t="s">
        <v>197</v>
      </c>
      <c r="AQ556" s="1" t="s">
        <v>2512</v>
      </c>
      <c r="AR556" s="1" t="s">
        <v>2829</v>
      </c>
      <c r="AS556" s="1" t="n">
        <v>1189</v>
      </c>
      <c r="AT556" s="37" t="n">
        <f aca="false">(AS556/Q556)*100</f>
        <v>0.698323202067366</v>
      </c>
    </row>
    <row r="557" customFormat="false" ht="12.8" hidden="false" customHeight="true" outlineLevel="0" collapsed="false">
      <c r="A557" s="35" t="n">
        <v>2011</v>
      </c>
      <c r="B557" s="36" t="n">
        <v>158</v>
      </c>
      <c r="C557" s="1" t="s">
        <v>572</v>
      </c>
      <c r="D557" s="1" t="s">
        <v>532</v>
      </c>
      <c r="E557" s="1" t="s">
        <v>48</v>
      </c>
      <c r="F557" s="1" t="s">
        <v>470</v>
      </c>
      <c r="G557" s="1" t="s">
        <v>77</v>
      </c>
      <c r="H557" s="1" t="s">
        <v>51</v>
      </c>
      <c r="I557" s="1" t="s">
        <v>51</v>
      </c>
      <c r="J557" s="1" t="s">
        <v>51</v>
      </c>
      <c r="K557" s="1" t="s">
        <v>51</v>
      </c>
      <c r="L557" s="1" t="s">
        <v>51</v>
      </c>
      <c r="M557" s="1" t="s">
        <v>51</v>
      </c>
      <c r="N557" s="1" t="s">
        <v>51</v>
      </c>
      <c r="O557" s="1" t="s">
        <v>51</v>
      </c>
      <c r="P557" s="1" t="n">
        <v>191446</v>
      </c>
      <c r="Q557" s="1" t="n">
        <v>149166</v>
      </c>
      <c r="R557" s="37" t="n">
        <f aca="false">(Q557/P557)*100</f>
        <v>77.9154435193214</v>
      </c>
      <c r="S557" s="1" t="n">
        <f aca="false">Y557-AD557</f>
        <v>2879</v>
      </c>
      <c r="T557" s="37" t="n">
        <f aca="false">(S557/Q557)*100</f>
        <v>1.93006449190834</v>
      </c>
      <c r="U557" s="37" t="n">
        <f aca="false">Z557+AE557</f>
        <v>94.6790823646139</v>
      </c>
      <c r="V557" s="1" t="s">
        <v>55</v>
      </c>
      <c r="W557" s="1" t="s">
        <v>422</v>
      </c>
      <c r="X557" s="1" t="s">
        <v>2830</v>
      </c>
      <c r="Y557" s="1" t="n">
        <v>72054</v>
      </c>
      <c r="Z557" s="37" t="n">
        <f aca="false">(Y557/Q557)*100</f>
        <v>48.3045734282611</v>
      </c>
      <c r="AA557" s="37" t="s">
        <v>52</v>
      </c>
      <c r="AB557" s="1" t="s">
        <v>53</v>
      </c>
      <c r="AC557" s="1" t="s">
        <v>2831</v>
      </c>
      <c r="AD557" s="1" t="n">
        <v>69175</v>
      </c>
      <c r="AE557" s="37" t="n">
        <f aca="false">(AD557/Q557)*100</f>
        <v>46.3745089363528</v>
      </c>
      <c r="AF557" s="1" t="s">
        <v>1431</v>
      </c>
      <c r="AG557" s="1" t="s">
        <v>171</v>
      </c>
      <c r="AH557" s="1" t="s">
        <v>2832</v>
      </c>
      <c r="AI557" s="1" t="n">
        <v>4034</v>
      </c>
      <c r="AJ557" s="37" t="n">
        <f aca="false">(AI557/Q557)*100</f>
        <v>2.70436962846761</v>
      </c>
      <c r="AK557" s="37" t="s">
        <v>197</v>
      </c>
      <c r="AL557" s="1" t="s">
        <v>2512</v>
      </c>
      <c r="AM557" s="1" t="s">
        <v>2833</v>
      </c>
      <c r="AN557" s="1" t="n">
        <v>1010</v>
      </c>
      <c r="AO557" s="37" t="n">
        <f aca="false">(AN557/Q557)*100</f>
        <v>0.677097998203344</v>
      </c>
      <c r="AP557" s="37" t="s">
        <v>197</v>
      </c>
      <c r="AQ557" s="1" t="s">
        <v>197</v>
      </c>
      <c r="AR557" s="1" t="s">
        <v>2834</v>
      </c>
      <c r="AS557" s="1" t="n">
        <v>933</v>
      </c>
      <c r="AT557" s="37" t="n">
        <f aca="false">(AS557/Q557)*100</f>
        <v>0.625477655766059</v>
      </c>
    </row>
    <row r="558" customFormat="false" ht="12.8" hidden="false" customHeight="true" outlineLevel="0" collapsed="false">
      <c r="A558" s="35" t="n">
        <v>2011</v>
      </c>
      <c r="B558" s="36" t="n">
        <v>159</v>
      </c>
      <c r="C558" s="1" t="s">
        <v>578</v>
      </c>
      <c r="D558" s="1" t="s">
        <v>532</v>
      </c>
      <c r="E558" s="1" t="s">
        <v>48</v>
      </c>
      <c r="F558" s="1" t="s">
        <v>470</v>
      </c>
      <c r="G558" s="1" t="s">
        <v>50</v>
      </c>
      <c r="H558" s="1" t="s">
        <v>65</v>
      </c>
      <c r="I558" s="1" t="s">
        <v>51</v>
      </c>
      <c r="J558" s="1" t="s">
        <v>51</v>
      </c>
      <c r="K558" s="1" t="s">
        <v>51</v>
      </c>
      <c r="L558" s="1" t="s">
        <v>51</v>
      </c>
      <c r="M558" s="1" t="s">
        <v>51</v>
      </c>
      <c r="N558" s="1" t="s">
        <v>51</v>
      </c>
      <c r="O558" s="1" t="s">
        <v>51</v>
      </c>
      <c r="P558" s="1" t="n">
        <v>182058</v>
      </c>
      <c r="Q558" s="1" t="n">
        <v>144773</v>
      </c>
      <c r="R558" s="37" t="n">
        <f aca="false">(Q558/P558)*100</f>
        <v>79.5202627734019</v>
      </c>
      <c r="S558" s="1" t="n">
        <f aca="false">Y558-AD558</f>
        <v>31725</v>
      </c>
      <c r="T558" s="37" t="n">
        <f aca="false">(S558/Q558)*100</f>
        <v>21.9136164892625</v>
      </c>
      <c r="U558" s="37" t="n">
        <f aca="false">Z558+AE558</f>
        <v>93.6673274712826</v>
      </c>
      <c r="V558" s="1" t="s">
        <v>55</v>
      </c>
      <c r="W558" s="1" t="s">
        <v>68</v>
      </c>
      <c r="X558" s="1" t="s">
        <v>580</v>
      </c>
      <c r="Y558" s="1" t="n">
        <v>83665</v>
      </c>
      <c r="Z558" s="37" t="n">
        <f aca="false">(Y558/Q558)*100</f>
        <v>57.7904719802726</v>
      </c>
      <c r="AA558" s="37" t="s">
        <v>52</v>
      </c>
      <c r="AB558" s="1" t="s">
        <v>257</v>
      </c>
      <c r="AC558" s="1" t="s">
        <v>2835</v>
      </c>
      <c r="AD558" s="1" t="n">
        <v>51940</v>
      </c>
      <c r="AE558" s="37" t="n">
        <f aca="false">(AD558/Q558)*100</f>
        <v>35.8768554910101</v>
      </c>
      <c r="AF558" s="1" t="s">
        <v>197</v>
      </c>
      <c r="AG558" s="1" t="s">
        <v>197</v>
      </c>
      <c r="AH558" s="1" t="s">
        <v>2836</v>
      </c>
      <c r="AI558" s="1" t="n">
        <v>2330</v>
      </c>
      <c r="AJ558" s="37" t="n">
        <f aca="false">(AI558/Q558)*100</f>
        <v>1.60941612040919</v>
      </c>
      <c r="AK558" s="37" t="s">
        <v>197</v>
      </c>
      <c r="AL558" s="1" t="s">
        <v>2470</v>
      </c>
      <c r="AM558" s="1" t="s">
        <v>2837</v>
      </c>
      <c r="AN558" s="1" t="n">
        <v>1969</v>
      </c>
      <c r="AO558" s="37" t="n">
        <f aca="false">(AN558/Q558)*100</f>
        <v>1.36006023222562</v>
      </c>
      <c r="AP558" s="37" t="s">
        <v>197</v>
      </c>
      <c r="AQ558" s="1" t="s">
        <v>197</v>
      </c>
      <c r="AR558" s="1" t="s">
        <v>933</v>
      </c>
      <c r="AS558" s="1" t="n">
        <v>1665</v>
      </c>
      <c r="AT558" s="37" t="n">
        <f aca="false">(AS558/Q558)*100</f>
        <v>1.15007632638683</v>
      </c>
    </row>
    <row r="559" customFormat="false" ht="12.8" hidden="false" customHeight="true" outlineLevel="0" collapsed="false">
      <c r="A559" s="35" t="n">
        <v>2011</v>
      </c>
      <c r="B559" s="36" t="n">
        <v>81</v>
      </c>
      <c r="C559" s="1" t="s">
        <v>584</v>
      </c>
      <c r="D559" s="1" t="s">
        <v>585</v>
      </c>
      <c r="E559" s="1" t="s">
        <v>586</v>
      </c>
      <c r="F559" s="1" t="s">
        <v>365</v>
      </c>
      <c r="G559" s="1" t="s">
        <v>50</v>
      </c>
      <c r="H559" s="1" t="s">
        <v>65</v>
      </c>
      <c r="I559" s="1" t="s">
        <v>51</v>
      </c>
      <c r="J559" s="1" t="s">
        <v>51</v>
      </c>
      <c r="K559" s="1" t="s">
        <v>51</v>
      </c>
      <c r="L559" s="1" t="s">
        <v>51</v>
      </c>
      <c r="M559" s="1" t="s">
        <v>51</v>
      </c>
      <c r="N559" s="1" t="s">
        <v>51</v>
      </c>
      <c r="O559" s="1" t="s">
        <v>51</v>
      </c>
      <c r="P559" s="1" t="n">
        <v>183269</v>
      </c>
      <c r="Q559" s="1" t="n">
        <v>150047</v>
      </c>
      <c r="R559" s="37" t="n">
        <f aca="false">(Q559/P559)*100</f>
        <v>81.8725480032084</v>
      </c>
      <c r="S559" s="1" t="n">
        <f aca="false">Y559-AD559</f>
        <v>13465</v>
      </c>
      <c r="T559" s="37" t="n">
        <f aca="false">(S559/Q559)*100</f>
        <v>8.97385485881091</v>
      </c>
      <c r="U559" s="37" t="n">
        <f aca="false">Z559+AE559</f>
        <v>88.2250228261811</v>
      </c>
      <c r="V559" s="1" t="s">
        <v>55</v>
      </c>
      <c r="W559" s="1" t="s">
        <v>61</v>
      </c>
      <c r="X559" s="1" t="s">
        <v>2838</v>
      </c>
      <c r="Y559" s="1" t="n">
        <v>72922</v>
      </c>
      <c r="Z559" s="37" t="n">
        <f aca="false">(Y559/Q559)*100</f>
        <v>48.599438842496</v>
      </c>
      <c r="AA559" s="1" t="s">
        <v>52</v>
      </c>
      <c r="AB559" s="1" t="s">
        <v>53</v>
      </c>
      <c r="AC559" s="1" t="s">
        <v>592</v>
      </c>
      <c r="AD559" s="1" t="n">
        <v>59457</v>
      </c>
      <c r="AE559" s="37" t="n">
        <f aca="false">(AD559/Q559)*100</f>
        <v>39.6255839836851</v>
      </c>
      <c r="AF559" s="1" t="s">
        <v>197</v>
      </c>
      <c r="AG559" s="1" t="s">
        <v>197</v>
      </c>
      <c r="AH559" s="1" t="s">
        <v>2839</v>
      </c>
      <c r="AI559" s="1" t="n">
        <v>5978</v>
      </c>
      <c r="AJ559" s="37" t="n">
        <f aca="false">(AI559/Q559)*100</f>
        <v>3.98408498670417</v>
      </c>
      <c r="AK559" s="1" t="s">
        <v>179</v>
      </c>
      <c r="AL559" s="1" t="s">
        <v>179</v>
      </c>
      <c r="AM559" s="1" t="s">
        <v>2840</v>
      </c>
      <c r="AN559" s="1" t="n">
        <v>4048</v>
      </c>
      <c r="AO559" s="37" t="n">
        <f aca="false">(AN559/Q559)*100</f>
        <v>2.69782134931055</v>
      </c>
      <c r="AP559" s="1" t="s">
        <v>197</v>
      </c>
      <c r="AQ559" s="1" t="s">
        <v>197</v>
      </c>
      <c r="AR559" s="1" t="s">
        <v>2841</v>
      </c>
      <c r="AS559" s="1" t="n">
        <v>2452</v>
      </c>
      <c r="AT559" s="37" t="n">
        <f aca="false">(AS559/Q559)*100</f>
        <v>1.63415463154878</v>
      </c>
    </row>
    <row r="560" customFormat="false" ht="12.8" hidden="false" customHeight="true" outlineLevel="0" collapsed="false">
      <c r="A560" s="35" t="n">
        <v>2011</v>
      </c>
      <c r="B560" s="36" t="n">
        <v>82</v>
      </c>
      <c r="C560" s="1" t="s">
        <v>590</v>
      </c>
      <c r="D560" s="1" t="s">
        <v>585</v>
      </c>
      <c r="E560" s="1" t="s">
        <v>586</v>
      </c>
      <c r="F560" s="1" t="s">
        <v>365</v>
      </c>
      <c r="G560" s="1" t="s">
        <v>77</v>
      </c>
      <c r="H560" s="1" t="s">
        <v>65</v>
      </c>
      <c r="I560" s="1" t="s">
        <v>51</v>
      </c>
      <c r="J560" s="1" t="s">
        <v>51</v>
      </c>
      <c r="K560" s="1" t="s">
        <v>51</v>
      </c>
      <c r="L560" s="1" t="s">
        <v>66</v>
      </c>
      <c r="M560" s="1" t="s">
        <v>68</v>
      </c>
      <c r="N560" s="1" t="s">
        <v>51</v>
      </c>
      <c r="O560" s="1" t="s">
        <v>51</v>
      </c>
      <c r="P560" s="1" t="n">
        <v>196894</v>
      </c>
      <c r="Q560" s="1" t="n">
        <v>158536</v>
      </c>
      <c r="R560" s="37" t="n">
        <f aca="false">(Q560/P560)*100</f>
        <v>80.5184515526121</v>
      </c>
      <c r="S560" s="1" t="n">
        <f aca="false">Y560-AD560</f>
        <v>29856</v>
      </c>
      <c r="T560" s="37" t="n">
        <f aca="false">(S560/Q560)*100</f>
        <v>18.8323156885502</v>
      </c>
      <c r="U560" s="37" t="n">
        <f aca="false">Z560+AE560</f>
        <v>92.22889438361</v>
      </c>
      <c r="V560" s="1" t="s">
        <v>55</v>
      </c>
      <c r="W560" s="1" t="s">
        <v>68</v>
      </c>
      <c r="X560" s="1" t="s">
        <v>2842</v>
      </c>
      <c r="Y560" s="1" t="n">
        <v>88036</v>
      </c>
      <c r="Z560" s="37" t="n">
        <f aca="false">(Y560/Q560)*100</f>
        <v>55.5306050360801</v>
      </c>
      <c r="AA560" s="1" t="s">
        <v>52</v>
      </c>
      <c r="AB560" s="1" t="s">
        <v>66</v>
      </c>
      <c r="AC560" s="1" t="s">
        <v>1833</v>
      </c>
      <c r="AD560" s="1" t="n">
        <v>58180</v>
      </c>
      <c r="AE560" s="37" t="n">
        <f aca="false">(AD560/Q560)*100</f>
        <v>36.6982893475299</v>
      </c>
      <c r="AF560" s="37" t="s">
        <v>179</v>
      </c>
      <c r="AG560" s="1" t="s">
        <v>179</v>
      </c>
      <c r="AH560" s="1" t="s">
        <v>2843</v>
      </c>
      <c r="AI560" s="1" t="n">
        <v>2993</v>
      </c>
      <c r="AJ560" s="37" t="n">
        <f aca="false">(AI560/Q560)*100</f>
        <v>1.88789927839734</v>
      </c>
      <c r="AK560" s="37" t="s">
        <v>197</v>
      </c>
      <c r="AL560" s="1" t="s">
        <v>197</v>
      </c>
      <c r="AM560" s="1" t="s">
        <v>2844</v>
      </c>
      <c r="AN560" s="1" t="n">
        <v>2348</v>
      </c>
      <c r="AO560" s="37" t="n">
        <f aca="false">(AN560/Q560)*100</f>
        <v>1.48105162234445</v>
      </c>
      <c r="AP560" s="1" t="s">
        <v>1431</v>
      </c>
      <c r="AQ560" s="1" t="s">
        <v>171</v>
      </c>
      <c r="AR560" s="1" t="s">
        <v>1748</v>
      </c>
      <c r="AS560" s="1" t="n">
        <v>1690</v>
      </c>
      <c r="AT560" s="37" t="n">
        <f aca="false">(AS560/Q560)*100</f>
        <v>1.06600393601453</v>
      </c>
    </row>
    <row r="561" customFormat="false" ht="12.8" hidden="false" customHeight="true" outlineLevel="0" collapsed="false">
      <c r="A561" s="35" t="n">
        <v>2011</v>
      </c>
      <c r="B561" s="36" t="n">
        <v>83</v>
      </c>
      <c r="C561" s="1" t="s">
        <v>594</v>
      </c>
      <c r="D561" s="1" t="s">
        <v>585</v>
      </c>
      <c r="E561" s="1" t="s">
        <v>586</v>
      </c>
      <c r="F561" s="1" t="s">
        <v>365</v>
      </c>
      <c r="G561" s="1" t="s">
        <v>50</v>
      </c>
      <c r="H561" s="1" t="s">
        <v>595</v>
      </c>
      <c r="I561" s="1" t="s">
        <v>316</v>
      </c>
      <c r="J561" s="1" t="s">
        <v>51</v>
      </c>
      <c r="K561" s="1" t="s">
        <v>51</v>
      </c>
      <c r="L561" s="1" t="s">
        <v>51</v>
      </c>
      <c r="M561" s="1" t="s">
        <v>68</v>
      </c>
      <c r="N561" s="1" t="s">
        <v>51</v>
      </c>
      <c r="O561" s="1" t="s">
        <v>51</v>
      </c>
      <c r="P561" s="1" t="n">
        <v>210158</v>
      </c>
      <c r="Q561" s="1" t="n">
        <v>179492</v>
      </c>
      <c r="R561" s="37" t="n">
        <f aca="false">(Q561/P561)*100</f>
        <v>85.4081215085793</v>
      </c>
      <c r="S561" s="1" t="n">
        <f aca="false">Y561-AD561</f>
        <v>37582</v>
      </c>
      <c r="T561" s="37" t="n">
        <f aca="false">(S561/Q561)*100</f>
        <v>20.9379805228088</v>
      </c>
      <c r="U561" s="37" t="n">
        <f aca="false">Z561+AE561</f>
        <v>95.1908720165801</v>
      </c>
      <c r="V561" s="1" t="s">
        <v>55</v>
      </c>
      <c r="W561" s="1" t="s">
        <v>68</v>
      </c>
      <c r="X561" s="1" t="s">
        <v>1960</v>
      </c>
      <c r="Y561" s="1" t="n">
        <v>104221</v>
      </c>
      <c r="Z561" s="37" t="n">
        <f aca="false">(Y561/Q561)*100</f>
        <v>58.0644262696945</v>
      </c>
      <c r="AA561" s="1" t="s">
        <v>52</v>
      </c>
      <c r="AB561" s="1" t="s">
        <v>53</v>
      </c>
      <c r="AC561" s="1" t="s">
        <v>1837</v>
      </c>
      <c r="AD561" s="1" t="n">
        <v>66639</v>
      </c>
      <c r="AE561" s="37" t="n">
        <f aca="false">(AD561/Q561)*100</f>
        <v>37.1264457468857</v>
      </c>
      <c r="AF561" s="1" t="s">
        <v>197</v>
      </c>
      <c r="AG561" s="1" t="s">
        <v>197</v>
      </c>
      <c r="AH561" s="1" t="s">
        <v>2845</v>
      </c>
      <c r="AI561" s="1" t="n">
        <v>2437</v>
      </c>
      <c r="AJ561" s="37" t="n">
        <f aca="false">(AI561/Q561)*100</f>
        <v>1.35772067835892</v>
      </c>
      <c r="AK561" s="1" t="s">
        <v>1431</v>
      </c>
      <c r="AL561" s="1" t="s">
        <v>171</v>
      </c>
      <c r="AM561" s="1" t="s">
        <v>2846</v>
      </c>
      <c r="AN561" s="1" t="n">
        <v>2266</v>
      </c>
      <c r="AO561" s="37" t="n">
        <f aca="false">(AN561/Q561)*100</f>
        <v>1.26245180843714</v>
      </c>
      <c r="AP561" s="1" t="s">
        <v>179</v>
      </c>
      <c r="AQ561" s="1" t="s">
        <v>179</v>
      </c>
      <c r="AR561" s="1" t="s">
        <v>2847</v>
      </c>
      <c r="AS561" s="1" t="n">
        <v>2185</v>
      </c>
      <c r="AT561" s="37" t="n">
        <f aca="false">(AS561/Q561)*100</f>
        <v>1.21732444900051</v>
      </c>
    </row>
    <row r="562" customFormat="false" ht="12.8" hidden="false" customHeight="true" outlineLevel="0" collapsed="false">
      <c r="A562" s="35" t="n">
        <v>2011</v>
      </c>
      <c r="B562" s="36" t="n">
        <v>84</v>
      </c>
      <c r="C562" s="1" t="s">
        <v>600</v>
      </c>
      <c r="D562" s="1" t="s">
        <v>585</v>
      </c>
      <c r="E562" s="1" t="s">
        <v>586</v>
      </c>
      <c r="F562" s="1" t="s">
        <v>365</v>
      </c>
      <c r="G562" s="1" t="s">
        <v>77</v>
      </c>
      <c r="H562" s="1" t="s">
        <v>51</v>
      </c>
      <c r="I562" s="1" t="s">
        <v>51</v>
      </c>
      <c r="J562" s="1" t="s">
        <v>51</v>
      </c>
      <c r="K562" s="1" t="s">
        <v>51</v>
      </c>
      <c r="L562" s="1" t="s">
        <v>51</v>
      </c>
      <c r="M562" s="1" t="s">
        <v>68</v>
      </c>
      <c r="N562" s="1" t="s">
        <v>51</v>
      </c>
      <c r="O562" s="1" t="s">
        <v>51</v>
      </c>
      <c r="P562" s="1" t="n">
        <v>227342</v>
      </c>
      <c r="Q562" s="1" t="n">
        <v>187770</v>
      </c>
      <c r="R562" s="37" t="n">
        <f aca="false">(Q562/P562)*100</f>
        <v>82.5936254629589</v>
      </c>
      <c r="S562" s="1" t="n">
        <f aca="false">Y562-AD562</f>
        <v>46544</v>
      </c>
      <c r="T562" s="37" t="n">
        <f aca="false">(S562/Q562)*100</f>
        <v>24.7877722745913</v>
      </c>
      <c r="U562" s="37" t="n">
        <f aca="false">Z562+AE562</f>
        <v>94.6157533152261</v>
      </c>
      <c r="V562" s="1" t="s">
        <v>55</v>
      </c>
      <c r="W562" s="1" t="s">
        <v>68</v>
      </c>
      <c r="X562" s="1" t="s">
        <v>2848</v>
      </c>
      <c r="Y562" s="1" t="n">
        <v>112102</v>
      </c>
      <c r="Z562" s="37" t="n">
        <f aca="false">(Y562/Q562)*100</f>
        <v>59.7017627949087</v>
      </c>
      <c r="AA562" s="1" t="s">
        <v>52</v>
      </c>
      <c r="AB562" s="1" t="s">
        <v>56</v>
      </c>
      <c r="AC562" s="1" t="s">
        <v>2849</v>
      </c>
      <c r="AD562" s="1" t="n">
        <v>65558</v>
      </c>
      <c r="AE562" s="37" t="n">
        <f aca="false">(AD562/Q562)*100</f>
        <v>34.9139905203174</v>
      </c>
      <c r="AF562" s="1" t="s">
        <v>1431</v>
      </c>
      <c r="AG562" s="1" t="s">
        <v>171</v>
      </c>
      <c r="AH562" s="1" t="s">
        <v>2850</v>
      </c>
      <c r="AI562" s="1" t="n">
        <v>2139</v>
      </c>
      <c r="AJ562" s="37" t="n">
        <f aca="false">(AI562/Q562)*100</f>
        <v>1.13915961016137</v>
      </c>
      <c r="AK562" s="1" t="s">
        <v>179</v>
      </c>
      <c r="AL562" s="1" t="s">
        <v>179</v>
      </c>
      <c r="AM562" s="1" t="s">
        <v>2851</v>
      </c>
      <c r="AN562" s="1" t="n">
        <v>1863</v>
      </c>
      <c r="AO562" s="37" t="n">
        <f aca="false">(AN562/Q562)*100</f>
        <v>0.992171273366353</v>
      </c>
      <c r="AP562" s="1" t="s">
        <v>197</v>
      </c>
      <c r="AQ562" s="1" t="s">
        <v>197</v>
      </c>
      <c r="AR562" s="1" t="s">
        <v>2852</v>
      </c>
      <c r="AS562" s="1" t="n">
        <v>1840</v>
      </c>
      <c r="AT562" s="37" t="n">
        <f aca="false">(AS562/Q562)*100</f>
        <v>0.979922245300101</v>
      </c>
    </row>
    <row r="563" customFormat="false" ht="12.8" hidden="false" customHeight="true" outlineLevel="0" collapsed="false">
      <c r="A563" s="35" t="n">
        <v>2011</v>
      </c>
      <c r="B563" s="36" t="n">
        <v>85</v>
      </c>
      <c r="C563" s="1" t="s">
        <v>605</v>
      </c>
      <c r="D563" s="1" t="s">
        <v>585</v>
      </c>
      <c r="E563" s="1" t="s">
        <v>586</v>
      </c>
      <c r="F563" s="1" t="s">
        <v>365</v>
      </c>
      <c r="G563" s="1" t="s">
        <v>50</v>
      </c>
      <c r="H563" s="1" t="s">
        <v>51</v>
      </c>
      <c r="I563" s="1" t="s">
        <v>51</v>
      </c>
      <c r="J563" s="1" t="s">
        <v>51</v>
      </c>
      <c r="K563" s="1" t="s">
        <v>51</v>
      </c>
      <c r="L563" s="1" t="s">
        <v>68</v>
      </c>
      <c r="M563" s="1" t="s">
        <v>51</v>
      </c>
      <c r="N563" s="1" t="s">
        <v>51</v>
      </c>
      <c r="O563" s="1" t="s">
        <v>51</v>
      </c>
      <c r="P563" s="1" t="n">
        <v>212992</v>
      </c>
      <c r="Q563" s="1" t="n">
        <v>169607</v>
      </c>
      <c r="R563" s="37" t="n">
        <f aca="false">(Q563/P563)*100</f>
        <v>79.6306903545673</v>
      </c>
      <c r="S563" s="1" t="n">
        <f aca="false">Y563-AD563</f>
        <v>2594</v>
      </c>
      <c r="T563" s="37" t="n">
        <f aca="false">(S563/Q563)*100</f>
        <v>1.52941800751148</v>
      </c>
      <c r="U563" s="37" t="n">
        <f aca="false">Z563+AE563</f>
        <v>87.7027481177074</v>
      </c>
      <c r="V563" s="1" t="s">
        <v>55</v>
      </c>
      <c r="W563" s="1" t="s">
        <v>61</v>
      </c>
      <c r="X563" s="1" t="s">
        <v>1845</v>
      </c>
      <c r="Y563" s="1" t="n">
        <v>75672</v>
      </c>
      <c r="Z563" s="37" t="n">
        <f aca="false">(Y563/Q563)*100</f>
        <v>44.6160830626095</v>
      </c>
      <c r="AA563" s="1" t="s">
        <v>52</v>
      </c>
      <c r="AB563" s="1" t="s">
        <v>56</v>
      </c>
      <c r="AC563" s="1" t="s">
        <v>1846</v>
      </c>
      <c r="AD563" s="1" t="n">
        <v>73078</v>
      </c>
      <c r="AE563" s="37" t="n">
        <f aca="false">(AD563/Q563)*100</f>
        <v>43.086665055098</v>
      </c>
      <c r="AF563" s="1" t="s">
        <v>197</v>
      </c>
      <c r="AG563" s="1" t="s">
        <v>197</v>
      </c>
      <c r="AH563" s="1" t="s">
        <v>2853</v>
      </c>
      <c r="AI563" s="1" t="n">
        <v>6273</v>
      </c>
      <c r="AJ563" s="37" t="n">
        <f aca="false">(AI563/Q563)*100</f>
        <v>3.69855017776389</v>
      </c>
      <c r="AK563" s="37" t="s">
        <v>197</v>
      </c>
      <c r="AL563" s="1" t="s">
        <v>197</v>
      </c>
      <c r="AM563" s="1" t="s">
        <v>2854</v>
      </c>
      <c r="AN563" s="1" t="n">
        <v>2738</v>
      </c>
      <c r="AO563" s="37" t="n">
        <f aca="false">(AN563/Q563)*100</f>
        <v>1.61432016367249</v>
      </c>
      <c r="AP563" s="1" t="s">
        <v>179</v>
      </c>
      <c r="AQ563" s="1" t="s">
        <v>179</v>
      </c>
      <c r="AR563" s="1" t="s">
        <v>2855</v>
      </c>
      <c r="AS563" s="1" t="n">
        <v>2487</v>
      </c>
      <c r="AT563" s="37" t="n">
        <f aca="false">(AS563/Q563)*100</f>
        <v>1.4663309886974</v>
      </c>
    </row>
    <row r="564" customFormat="false" ht="12.8" hidden="false" customHeight="true" outlineLevel="0" collapsed="false">
      <c r="A564" s="35" t="n">
        <v>2011</v>
      </c>
      <c r="B564" s="36" t="n">
        <v>86</v>
      </c>
      <c r="C564" s="1" t="s">
        <v>611</v>
      </c>
      <c r="D564" s="1" t="s">
        <v>585</v>
      </c>
      <c r="E564" s="1" t="s">
        <v>586</v>
      </c>
      <c r="F564" s="1" t="s">
        <v>365</v>
      </c>
      <c r="G564" s="1" t="s">
        <v>77</v>
      </c>
      <c r="H564" s="1" t="s">
        <v>51</v>
      </c>
      <c r="I564" s="1" t="s">
        <v>51</v>
      </c>
      <c r="J564" s="1" t="s">
        <v>51</v>
      </c>
      <c r="K564" s="1" t="s">
        <v>68</v>
      </c>
      <c r="L564" s="1" t="s">
        <v>51</v>
      </c>
      <c r="M564" s="1" t="s">
        <v>68</v>
      </c>
      <c r="N564" s="1" t="s">
        <v>51</v>
      </c>
      <c r="O564" s="1" t="s">
        <v>51</v>
      </c>
      <c r="P564" s="1" t="n">
        <v>217074</v>
      </c>
      <c r="Q564" s="1" t="n">
        <v>185494</v>
      </c>
      <c r="R564" s="37" t="n">
        <f aca="false">(Q564/P564)*100</f>
        <v>85.4519656891198</v>
      </c>
      <c r="S564" s="1" t="n">
        <f aca="false">Y564-AD564</f>
        <v>34738</v>
      </c>
      <c r="T564" s="37" t="n">
        <f aca="false">(S564/Q564)*100</f>
        <v>18.727290370578</v>
      </c>
      <c r="U564" s="37" t="n">
        <f aca="false">Z564+AE564</f>
        <v>94.0375429933044</v>
      </c>
      <c r="V564" s="1" t="s">
        <v>55</v>
      </c>
      <c r="W564" s="1" t="s">
        <v>68</v>
      </c>
      <c r="X564" s="1" t="s">
        <v>1848</v>
      </c>
      <c r="Y564" s="1" t="n">
        <v>104586</v>
      </c>
      <c r="Z564" s="37" t="n">
        <f aca="false">(Y564/Q564)*100</f>
        <v>56.3824166819412</v>
      </c>
      <c r="AA564" s="1" t="s">
        <v>52</v>
      </c>
      <c r="AB564" s="1" t="s">
        <v>56</v>
      </c>
      <c r="AC564" s="1" t="s">
        <v>2856</v>
      </c>
      <c r="AD564" s="1" t="n">
        <v>69848</v>
      </c>
      <c r="AE564" s="37" t="n">
        <f aca="false">(AD564/Q564)*100</f>
        <v>37.6551263113632</v>
      </c>
      <c r="AF564" s="37" t="s">
        <v>179</v>
      </c>
      <c r="AG564" s="1" t="s">
        <v>179</v>
      </c>
      <c r="AH564" s="1" t="s">
        <v>1500</v>
      </c>
      <c r="AI564" s="1" t="n">
        <v>3638</v>
      </c>
      <c r="AJ564" s="37" t="n">
        <f aca="false">(AI564/Q564)*100</f>
        <v>1.96124942046643</v>
      </c>
      <c r="AK564" s="37" t="s">
        <v>197</v>
      </c>
      <c r="AL564" s="1" t="s">
        <v>197</v>
      </c>
      <c r="AM564" s="1" t="s">
        <v>2857</v>
      </c>
      <c r="AN564" s="1" t="n">
        <v>1924</v>
      </c>
      <c r="AO564" s="37" t="n">
        <f aca="false">(AN564/Q564)*100</f>
        <v>1.03723031472716</v>
      </c>
      <c r="AP564" s="1" t="s">
        <v>1431</v>
      </c>
      <c r="AQ564" s="1" t="s">
        <v>171</v>
      </c>
      <c r="AR564" s="1" t="s">
        <v>2858</v>
      </c>
      <c r="AS564" s="1" t="n">
        <v>1901</v>
      </c>
      <c r="AT564" s="37" t="n">
        <f aca="false">(AS564/Q564)*100</f>
        <v>1.02483099183801</v>
      </c>
    </row>
    <row r="565" customFormat="false" ht="12.8" hidden="false" customHeight="true" outlineLevel="0" collapsed="false">
      <c r="A565" s="35" t="n">
        <v>2011</v>
      </c>
      <c r="B565" s="36" t="n">
        <v>87</v>
      </c>
      <c r="C565" s="1" t="s">
        <v>616</v>
      </c>
      <c r="D565" s="1" t="s">
        <v>585</v>
      </c>
      <c r="E565" s="1" t="s">
        <v>586</v>
      </c>
      <c r="F565" s="1" t="s">
        <v>365</v>
      </c>
      <c r="G565" s="1" t="s">
        <v>50</v>
      </c>
      <c r="H565" s="1" t="s">
        <v>51</v>
      </c>
      <c r="I565" s="1" t="s">
        <v>51</v>
      </c>
      <c r="J565" s="1" t="s">
        <v>51</v>
      </c>
      <c r="K565" s="1" t="s">
        <v>51</v>
      </c>
      <c r="L565" s="1" t="s">
        <v>68</v>
      </c>
      <c r="M565" s="1" t="s">
        <v>68</v>
      </c>
      <c r="N565" s="1" t="s">
        <v>51</v>
      </c>
      <c r="O565" s="1" t="s">
        <v>51</v>
      </c>
      <c r="P565" s="1" t="n">
        <v>214637</v>
      </c>
      <c r="Q565" s="1" t="n">
        <v>184859</v>
      </c>
      <c r="R565" s="37" t="n">
        <f aca="false">(Q565/P565)*100</f>
        <v>86.1263435474778</v>
      </c>
      <c r="S565" s="1" t="n">
        <f aca="false">Y565-AD565</f>
        <v>35079</v>
      </c>
      <c r="T565" s="37" t="n">
        <f aca="false">(S565/Q565)*100</f>
        <v>18.9760844751946</v>
      </c>
      <c r="U565" s="37" t="n">
        <f aca="false">Z565+AE565</f>
        <v>95.1671273781639</v>
      </c>
      <c r="V565" s="1" t="s">
        <v>55</v>
      </c>
      <c r="W565" s="1" t="s">
        <v>68</v>
      </c>
      <c r="X565" s="1" t="s">
        <v>2859</v>
      </c>
      <c r="Y565" s="1" t="n">
        <v>105502</v>
      </c>
      <c r="Z565" s="37" t="n">
        <f aca="false">(Y565/Q565)*100</f>
        <v>57.0716059266793</v>
      </c>
      <c r="AA565" s="1" t="s">
        <v>52</v>
      </c>
      <c r="AB565" s="1" t="s">
        <v>53</v>
      </c>
      <c r="AC565" s="1" t="s">
        <v>2860</v>
      </c>
      <c r="AD565" s="1" t="n">
        <v>70423</v>
      </c>
      <c r="AE565" s="37" t="n">
        <f aca="false">(AD565/Q565)*100</f>
        <v>38.0955214514846</v>
      </c>
      <c r="AF565" s="1" t="s">
        <v>197</v>
      </c>
      <c r="AG565" s="1" t="s">
        <v>197</v>
      </c>
      <c r="AH565" s="1" t="s">
        <v>2861</v>
      </c>
      <c r="AI565" s="1" t="n">
        <v>1194</v>
      </c>
      <c r="AJ565" s="37" t="n">
        <f aca="false">(AI565/Q565)*100</f>
        <v>0.645897684180916</v>
      </c>
      <c r="AK565" s="1" t="s">
        <v>1431</v>
      </c>
      <c r="AL565" s="1" t="s">
        <v>171</v>
      </c>
      <c r="AM565" s="1" t="s">
        <v>2788</v>
      </c>
      <c r="AN565" s="1" t="n">
        <v>1127</v>
      </c>
      <c r="AO565" s="37" t="n">
        <f aca="false">(AN565/Q565)*100</f>
        <v>0.609653844281317</v>
      </c>
      <c r="AP565" s="37" t="s">
        <v>197</v>
      </c>
      <c r="AQ565" s="1" t="s">
        <v>197</v>
      </c>
      <c r="AR565" s="1" t="s">
        <v>2862</v>
      </c>
      <c r="AS565" s="1" t="n">
        <v>1103</v>
      </c>
      <c r="AT565" s="37" t="n">
        <f aca="false">(AS565/Q565)*100</f>
        <v>0.59667097625758</v>
      </c>
    </row>
    <row r="566" customFormat="false" ht="12.8" hidden="false" customHeight="true" outlineLevel="0" collapsed="false">
      <c r="A566" s="35" t="n">
        <v>2011</v>
      </c>
      <c r="B566" s="36" t="n">
        <v>88</v>
      </c>
      <c r="C566" s="1" t="s">
        <v>622</v>
      </c>
      <c r="D566" s="1" t="s">
        <v>585</v>
      </c>
      <c r="E566" s="1" t="s">
        <v>586</v>
      </c>
      <c r="F566" s="1" t="s">
        <v>365</v>
      </c>
      <c r="G566" s="1" t="s">
        <v>88</v>
      </c>
      <c r="H566" s="1" t="s">
        <v>51</v>
      </c>
      <c r="I566" s="1" t="s">
        <v>51</v>
      </c>
      <c r="J566" s="1" t="s">
        <v>51</v>
      </c>
      <c r="K566" s="1" t="s">
        <v>51</v>
      </c>
      <c r="L566" s="1" t="s">
        <v>51</v>
      </c>
      <c r="M566" s="1" t="s">
        <v>51</v>
      </c>
      <c r="N566" s="1" t="s">
        <v>51</v>
      </c>
      <c r="O566" s="1" t="s">
        <v>51</v>
      </c>
      <c r="P566" s="1" t="n">
        <v>212454</v>
      </c>
      <c r="Q566" s="1" t="n">
        <v>169785</v>
      </c>
      <c r="R566" s="37" t="n">
        <f aca="false">(Q566/P566)*100</f>
        <v>79.9161230195713</v>
      </c>
      <c r="S566" s="1" t="n">
        <f aca="false">Y566-AD566</f>
        <v>27661</v>
      </c>
      <c r="T566" s="37" t="n">
        <f aca="false">(S566/Q566)*100</f>
        <v>16.2917807815767</v>
      </c>
      <c r="U566" s="37" t="n">
        <f aca="false">Z566+AE566</f>
        <v>96.7158465117649</v>
      </c>
      <c r="V566" s="1" t="s">
        <v>55</v>
      </c>
      <c r="W566" s="1" t="s">
        <v>68</v>
      </c>
      <c r="X566" s="1" t="s">
        <v>1855</v>
      </c>
      <c r="Y566" s="1" t="n">
        <v>95935</v>
      </c>
      <c r="Z566" s="37" t="n">
        <f aca="false">(Y566/Q566)*100</f>
        <v>56.5038136466708</v>
      </c>
      <c r="AA566" s="1" t="s">
        <v>52</v>
      </c>
      <c r="AB566" s="1" t="s">
        <v>53</v>
      </c>
      <c r="AC566" s="1" t="s">
        <v>1667</v>
      </c>
      <c r="AD566" s="1" t="n">
        <v>68274</v>
      </c>
      <c r="AE566" s="37" t="n">
        <f aca="false">(AD566/Q566)*100</f>
        <v>40.2120328650941</v>
      </c>
      <c r="AF566" s="1" t="s">
        <v>1431</v>
      </c>
      <c r="AG566" s="1" t="s">
        <v>171</v>
      </c>
      <c r="AH566" s="1" t="s">
        <v>2863</v>
      </c>
      <c r="AI566" s="1" t="n">
        <v>1327</v>
      </c>
      <c r="AJ566" s="37" t="n">
        <f aca="false">(AI566/Q566)*100</f>
        <v>0.781576699944047</v>
      </c>
      <c r="AK566" s="37" t="s">
        <v>197</v>
      </c>
      <c r="AL566" s="1" t="s">
        <v>2864</v>
      </c>
      <c r="AM566" s="1" t="s">
        <v>2865</v>
      </c>
      <c r="AN566" s="1" t="n">
        <v>853</v>
      </c>
      <c r="AO566" s="37" t="n">
        <f aca="false">(AN566/Q566)*100</f>
        <v>0.502400094236829</v>
      </c>
      <c r="AP566" s="1" t="s">
        <v>179</v>
      </c>
      <c r="AQ566" s="1" t="s">
        <v>179</v>
      </c>
      <c r="AR566" s="1" t="s">
        <v>2866</v>
      </c>
      <c r="AS566" s="1" t="n">
        <v>796</v>
      </c>
      <c r="AT566" s="37" t="n">
        <f aca="false">(AS566/Q566)*100</f>
        <v>0.468828223930265</v>
      </c>
    </row>
    <row r="567" customFormat="false" ht="12.8" hidden="false" customHeight="true" outlineLevel="0" collapsed="false">
      <c r="A567" s="35" t="n">
        <v>2011</v>
      </c>
      <c r="B567" s="36" t="n">
        <v>89</v>
      </c>
      <c r="C567" s="1" t="s">
        <v>628</v>
      </c>
      <c r="D567" s="1" t="s">
        <v>585</v>
      </c>
      <c r="E567" s="1" t="s">
        <v>586</v>
      </c>
      <c r="F567" s="1" t="s">
        <v>365</v>
      </c>
      <c r="G567" s="1" t="s">
        <v>88</v>
      </c>
      <c r="H567" s="1" t="s">
        <v>51</v>
      </c>
      <c r="I567" s="1" t="s">
        <v>51</v>
      </c>
      <c r="J567" s="1" t="s">
        <v>51</v>
      </c>
      <c r="K567" s="1" t="s">
        <v>51</v>
      </c>
      <c r="L567" s="1" t="s">
        <v>51</v>
      </c>
      <c r="M567" s="1" t="s">
        <v>51</v>
      </c>
      <c r="N567" s="1" t="s">
        <v>51</v>
      </c>
      <c r="O567" s="1" t="s">
        <v>51</v>
      </c>
      <c r="P567" s="1" t="n">
        <v>219327</v>
      </c>
      <c r="Q567" s="1" t="n">
        <v>163459</v>
      </c>
      <c r="R567" s="37" t="n">
        <f aca="false">(Q567/P567)*100</f>
        <v>74.5275319500107</v>
      </c>
      <c r="S567" s="1" t="n">
        <f aca="false">Y567-AD567</f>
        <v>29365</v>
      </c>
      <c r="T567" s="37" t="n">
        <f aca="false">(S567/Q567)*100</f>
        <v>17.9647495702286</v>
      </c>
      <c r="U567" s="37" t="n">
        <f aca="false">Z567+AE567</f>
        <v>90.8772230345224</v>
      </c>
      <c r="V567" s="1" t="s">
        <v>55</v>
      </c>
      <c r="W567" s="1" t="s">
        <v>61</v>
      </c>
      <c r="X567" s="1" t="s">
        <v>2867</v>
      </c>
      <c r="Y567" s="1" t="n">
        <v>88956</v>
      </c>
      <c r="Z567" s="37" t="n">
        <f aca="false">(Y567/Q567)*100</f>
        <v>54.4209863023755</v>
      </c>
      <c r="AA567" s="1" t="s">
        <v>52</v>
      </c>
      <c r="AB567" s="1" t="s">
        <v>66</v>
      </c>
      <c r="AC567" s="1" t="s">
        <v>2868</v>
      </c>
      <c r="AD567" s="1" t="n">
        <v>59591</v>
      </c>
      <c r="AE567" s="37" t="n">
        <f aca="false">(AD567/Q567)*100</f>
        <v>36.4562367321469</v>
      </c>
      <c r="AF567" s="1" t="s">
        <v>197</v>
      </c>
      <c r="AG567" s="1" t="s">
        <v>2685</v>
      </c>
      <c r="AH567" s="1" t="s">
        <v>2869</v>
      </c>
      <c r="AI567" s="1" t="n">
        <v>4517</v>
      </c>
      <c r="AJ567" s="37" t="n">
        <f aca="false">(AI567/Q567)*100</f>
        <v>2.76338409019999</v>
      </c>
      <c r="AK567" s="1" t="s">
        <v>1431</v>
      </c>
      <c r="AL567" s="1" t="s">
        <v>171</v>
      </c>
      <c r="AM567" s="1" t="s">
        <v>2870</v>
      </c>
      <c r="AN567" s="1" t="n">
        <v>4133</v>
      </c>
      <c r="AO567" s="37" t="n">
        <f aca="false">(AN567/Q567)*100</f>
        <v>2.52846279495164</v>
      </c>
      <c r="AP567" s="1" t="s">
        <v>179</v>
      </c>
      <c r="AQ567" s="1" t="s">
        <v>179</v>
      </c>
      <c r="AR567" s="1" t="s">
        <v>2779</v>
      </c>
      <c r="AS567" s="1" t="n">
        <v>1965</v>
      </c>
      <c r="AT567" s="37" t="n">
        <f aca="false">(AS567/Q567)*100</f>
        <v>1.20213631552866</v>
      </c>
    </row>
    <row r="568" customFormat="false" ht="12.8" hidden="false" customHeight="true" outlineLevel="0" collapsed="false">
      <c r="A568" s="35" t="n">
        <v>2011</v>
      </c>
      <c r="B568" s="36" t="n">
        <v>90</v>
      </c>
      <c r="C568" s="1" t="s">
        <v>632</v>
      </c>
      <c r="D568" s="1" t="s">
        <v>585</v>
      </c>
      <c r="E568" s="1" t="s">
        <v>586</v>
      </c>
      <c r="F568" s="1" t="s">
        <v>365</v>
      </c>
      <c r="G568" s="1" t="s">
        <v>88</v>
      </c>
      <c r="H568" s="1" t="s">
        <v>51</v>
      </c>
      <c r="I568" s="1" t="s">
        <v>51</v>
      </c>
      <c r="J568" s="1" t="s">
        <v>51</v>
      </c>
      <c r="K568" s="1" t="s">
        <v>51</v>
      </c>
      <c r="L568" s="1" t="s">
        <v>51</v>
      </c>
      <c r="M568" s="1" t="s">
        <v>68</v>
      </c>
      <c r="N568" s="1" t="s">
        <v>51</v>
      </c>
      <c r="O568" s="1" t="s">
        <v>51</v>
      </c>
      <c r="P568" s="1" t="n">
        <v>219949</v>
      </c>
      <c r="Q568" s="1" t="n">
        <v>173464</v>
      </c>
      <c r="R568" s="37" t="n">
        <f aca="false">(Q568/P568)*100</f>
        <v>78.8655551968866</v>
      </c>
      <c r="S568" s="1" t="n">
        <f aca="false">Y568-AD568</f>
        <v>60215</v>
      </c>
      <c r="T568" s="37" t="n">
        <f aca="false">(S568/Q568)*100</f>
        <v>34.7132546234377</v>
      </c>
      <c r="U568" s="37" t="n">
        <f aca="false">Z568+AE568</f>
        <v>95.2168749711756</v>
      </c>
      <c r="V568" s="1" t="s">
        <v>55</v>
      </c>
      <c r="W568" s="1" t="s">
        <v>68</v>
      </c>
      <c r="X568" s="1" t="s">
        <v>2871</v>
      </c>
      <c r="Y568" s="1" t="n">
        <v>112691</v>
      </c>
      <c r="Z568" s="37" t="n">
        <f aca="false">(Y568/Q568)*100</f>
        <v>64.9650647973067</v>
      </c>
      <c r="AA568" s="1" t="s">
        <v>52</v>
      </c>
      <c r="AB568" s="1" t="s">
        <v>53</v>
      </c>
      <c r="AC568" s="1" t="s">
        <v>2872</v>
      </c>
      <c r="AD568" s="1" t="n">
        <v>52476</v>
      </c>
      <c r="AE568" s="37" t="n">
        <f aca="false">(AD568/Q568)*100</f>
        <v>30.2518101738689</v>
      </c>
      <c r="AF568" s="1" t="s">
        <v>1431</v>
      </c>
      <c r="AG568" s="1" t="s">
        <v>171</v>
      </c>
      <c r="AH568" s="1" t="s">
        <v>1849</v>
      </c>
      <c r="AI568" s="1" t="n">
        <v>2377</v>
      </c>
      <c r="AJ568" s="37" t="n">
        <f aca="false">(AI568/Q568)*100</f>
        <v>1.37031314854956</v>
      </c>
      <c r="AK568" s="37" t="s">
        <v>197</v>
      </c>
      <c r="AL568" s="1" t="s">
        <v>2873</v>
      </c>
      <c r="AM568" s="1" t="s">
        <v>2874</v>
      </c>
      <c r="AN568" s="1" t="n">
        <v>2325</v>
      </c>
      <c r="AO568" s="37" t="n">
        <f aca="false">(AN568/Q568)*100</f>
        <v>1.34033574689849</v>
      </c>
      <c r="AP568" s="1" t="s">
        <v>179</v>
      </c>
      <c r="AQ568" s="1" t="s">
        <v>179</v>
      </c>
      <c r="AR568" s="1" t="s">
        <v>2875</v>
      </c>
      <c r="AS568" s="1" t="n">
        <v>622</v>
      </c>
      <c r="AT568" s="37" t="n">
        <f aca="false">(AS568/Q568)*100</f>
        <v>0.358575842826177</v>
      </c>
    </row>
    <row r="569" customFormat="false" ht="12.8" hidden="false" customHeight="true" outlineLevel="0" collapsed="false">
      <c r="A569" s="35" t="n">
        <v>2011</v>
      </c>
      <c r="B569" s="36" t="n">
        <v>91</v>
      </c>
      <c r="C569" s="1" t="s">
        <v>638</v>
      </c>
      <c r="D569" s="1" t="s">
        <v>585</v>
      </c>
      <c r="E569" s="1" t="s">
        <v>586</v>
      </c>
      <c r="F569" s="1" t="s">
        <v>365</v>
      </c>
      <c r="G569" s="1" t="s">
        <v>50</v>
      </c>
      <c r="H569" s="1" t="s">
        <v>51</v>
      </c>
      <c r="I569" s="1" t="s">
        <v>51</v>
      </c>
      <c r="J569" s="1" t="s">
        <v>51</v>
      </c>
      <c r="K569" s="1" t="s">
        <v>51</v>
      </c>
      <c r="L569" s="1" t="s">
        <v>51</v>
      </c>
      <c r="M569" s="1" t="s">
        <v>68</v>
      </c>
      <c r="N569" s="1" t="s">
        <v>51</v>
      </c>
      <c r="O569" s="1" t="s">
        <v>51</v>
      </c>
      <c r="P569" s="1" t="n">
        <v>201660</v>
      </c>
      <c r="Q569" s="1" t="n">
        <v>179729</v>
      </c>
      <c r="R569" s="37" t="n">
        <f aca="false">(Q569/P569)*100</f>
        <v>89.1247644550233</v>
      </c>
      <c r="S569" s="1" t="n">
        <f aca="false">Y569-AD569</f>
        <v>26498</v>
      </c>
      <c r="T569" s="37" t="n">
        <f aca="false">(S569/Q569)*100</f>
        <v>14.7433079803482</v>
      </c>
      <c r="U569" s="37" t="n">
        <f aca="false">Z569+AE569</f>
        <v>96.7078212197253</v>
      </c>
      <c r="V569" s="1" t="s">
        <v>55</v>
      </c>
      <c r="W569" s="1" t="s">
        <v>68</v>
      </c>
      <c r="X569" s="1" t="s">
        <v>2876</v>
      </c>
      <c r="Y569" s="1" t="n">
        <v>100155</v>
      </c>
      <c r="Z569" s="37" t="n">
        <f aca="false">(Y569/Q569)*100</f>
        <v>55.7255646000367</v>
      </c>
      <c r="AA569" s="1" t="s">
        <v>52</v>
      </c>
      <c r="AB569" s="1" t="s">
        <v>53</v>
      </c>
      <c r="AC569" s="1" t="s">
        <v>1865</v>
      </c>
      <c r="AD569" s="1" t="n">
        <v>73657</v>
      </c>
      <c r="AE569" s="37" t="n">
        <f aca="false">(AD569/Q569)*100</f>
        <v>40.9822566196885</v>
      </c>
      <c r="AF569" s="1" t="s">
        <v>197</v>
      </c>
      <c r="AG569" s="1" t="s">
        <v>197</v>
      </c>
      <c r="AH569" s="1" t="s">
        <v>2877</v>
      </c>
      <c r="AI569" s="1" t="n">
        <v>1558</v>
      </c>
      <c r="AJ569" s="37" t="n">
        <f aca="false">(AI569/Q569)*100</f>
        <v>0.866860662441787</v>
      </c>
      <c r="AK569" s="37" t="s">
        <v>197</v>
      </c>
      <c r="AL569" s="1" t="s">
        <v>197</v>
      </c>
      <c r="AM569" s="1" t="s">
        <v>2878</v>
      </c>
      <c r="AN569" s="1" t="n">
        <v>1355</v>
      </c>
      <c r="AO569" s="37" t="n">
        <f aca="false">(AN569/Q569)*100</f>
        <v>0.753912835435572</v>
      </c>
      <c r="AP569" s="37" t="s">
        <v>197</v>
      </c>
      <c r="AQ569" s="1" t="s">
        <v>197</v>
      </c>
      <c r="AR569" s="1" t="s">
        <v>2879</v>
      </c>
      <c r="AS569" s="1" t="n">
        <v>724</v>
      </c>
      <c r="AT569" s="37" t="n">
        <f aca="false">(AS569/Q569)*100</f>
        <v>0.402828703214284</v>
      </c>
    </row>
    <row r="570" customFormat="false" ht="12.8" hidden="false" customHeight="true" outlineLevel="0" collapsed="false">
      <c r="A570" s="35" t="n">
        <v>2011</v>
      </c>
      <c r="B570" s="36" t="n">
        <v>92</v>
      </c>
      <c r="C570" s="1" t="s">
        <v>643</v>
      </c>
      <c r="D570" s="1" t="s">
        <v>644</v>
      </c>
      <c r="E570" s="1" t="s">
        <v>586</v>
      </c>
      <c r="F570" s="1" t="s">
        <v>645</v>
      </c>
      <c r="G570" s="1" t="s">
        <v>77</v>
      </c>
      <c r="H570" s="1" t="s">
        <v>65</v>
      </c>
      <c r="I570" s="1" t="s">
        <v>51</v>
      </c>
      <c r="J570" s="1" t="s">
        <v>51</v>
      </c>
      <c r="K570" s="1" t="s">
        <v>51</v>
      </c>
      <c r="L570" s="1" t="s">
        <v>51</v>
      </c>
      <c r="M570" s="1" t="s">
        <v>51</v>
      </c>
      <c r="N570" s="1" t="s">
        <v>51</v>
      </c>
      <c r="O570" s="1" t="s">
        <v>51</v>
      </c>
      <c r="P570" s="1" t="n">
        <v>194596</v>
      </c>
      <c r="Q570" s="1" t="n">
        <v>162217</v>
      </c>
      <c r="R570" s="37" t="n">
        <f aca="false">(Q570/P570)*100</f>
        <v>83.360911837859</v>
      </c>
      <c r="S570" s="1" t="n">
        <f aca="false">Y570-AD570</f>
        <v>24717</v>
      </c>
      <c r="T570" s="37" t="n">
        <f aca="false">(S570/Q570)*100</f>
        <v>15.2369973553943</v>
      </c>
      <c r="U570" s="37" t="n">
        <f aca="false">Z570+AE570</f>
        <v>95.9548012846989</v>
      </c>
      <c r="V570" s="1" t="s">
        <v>55</v>
      </c>
      <c r="W570" s="1" t="s">
        <v>68</v>
      </c>
      <c r="X570" s="1" t="s">
        <v>1957</v>
      </c>
      <c r="Y570" s="1" t="n">
        <v>90186</v>
      </c>
      <c r="Z570" s="37" t="n">
        <f aca="false">(Y570/Q570)*100</f>
        <v>55.5958993200466</v>
      </c>
      <c r="AA570" s="1" t="s">
        <v>52</v>
      </c>
      <c r="AB570" s="1" t="s">
        <v>53</v>
      </c>
      <c r="AC570" s="1" t="s">
        <v>1869</v>
      </c>
      <c r="AD570" s="1" t="n">
        <v>65469</v>
      </c>
      <c r="AE570" s="37" t="n">
        <f aca="false">(AD570/Q570)*100</f>
        <v>40.3589019646523</v>
      </c>
      <c r="AF570" s="1" t="s">
        <v>1431</v>
      </c>
      <c r="AG570" s="1" t="s">
        <v>171</v>
      </c>
      <c r="AH570" s="1" t="s">
        <v>2880</v>
      </c>
      <c r="AI570" s="1" t="n">
        <v>1730</v>
      </c>
      <c r="AJ570" s="37" t="n">
        <f aca="false">(AI570/Q570)*100</f>
        <v>1.0664726878194</v>
      </c>
      <c r="AK570" s="1" t="s">
        <v>179</v>
      </c>
      <c r="AL570" s="1" t="s">
        <v>179</v>
      </c>
      <c r="AM570" s="1" t="s">
        <v>2881</v>
      </c>
      <c r="AN570" s="1" t="n">
        <v>1704</v>
      </c>
      <c r="AO570" s="37" t="n">
        <f aca="false">(AN570/Q570)*100</f>
        <v>1.05044477459206</v>
      </c>
      <c r="AP570" s="37" t="s">
        <v>197</v>
      </c>
      <c r="AQ570" s="1" t="s">
        <v>197</v>
      </c>
      <c r="AR570" s="1" t="s">
        <v>2882</v>
      </c>
      <c r="AS570" s="1" t="n">
        <v>1700</v>
      </c>
      <c r="AT570" s="37" t="n">
        <f aca="false">(AS570/Q570)*100</f>
        <v>1.04797894178785</v>
      </c>
    </row>
    <row r="571" customFormat="false" ht="12.8" hidden="false" customHeight="true" outlineLevel="0" collapsed="false">
      <c r="A571" s="35" t="n">
        <v>2011</v>
      </c>
      <c r="B571" s="36" t="n">
        <v>93</v>
      </c>
      <c r="C571" s="1" t="s">
        <v>650</v>
      </c>
      <c r="D571" s="1" t="s">
        <v>644</v>
      </c>
      <c r="E571" s="1" t="s">
        <v>586</v>
      </c>
      <c r="F571" s="1" t="s">
        <v>645</v>
      </c>
      <c r="G571" s="1" t="s">
        <v>50</v>
      </c>
      <c r="H571" s="1" t="s">
        <v>595</v>
      </c>
      <c r="I571" s="1" t="s">
        <v>51</v>
      </c>
      <c r="J571" s="1" t="s">
        <v>51</v>
      </c>
      <c r="K571" s="1" t="s">
        <v>51</v>
      </c>
      <c r="L571" s="1" t="s">
        <v>51</v>
      </c>
      <c r="M571" s="1" t="s">
        <v>51</v>
      </c>
      <c r="N571" s="1" t="s">
        <v>68</v>
      </c>
      <c r="O571" s="1" t="s">
        <v>51</v>
      </c>
      <c r="P571" s="1" t="n">
        <v>197693</v>
      </c>
      <c r="Q571" s="1" t="n">
        <v>161295</v>
      </c>
      <c r="R571" s="37" t="n">
        <f aca="false">(Q571/P571)*100</f>
        <v>81.5886247869171</v>
      </c>
      <c r="S571" s="1" t="n">
        <f aca="false">Y571-AD571</f>
        <v>8505</v>
      </c>
      <c r="T571" s="37" t="n">
        <f aca="false">(S571/Q571)*100</f>
        <v>5.27294708453455</v>
      </c>
      <c r="U571" s="37" t="n">
        <f aca="false">Z571+AE571</f>
        <v>89.7541771288633</v>
      </c>
      <c r="V571" s="1" t="s">
        <v>55</v>
      </c>
      <c r="W571" s="1" t="s">
        <v>61</v>
      </c>
      <c r="X571" s="1" t="s">
        <v>2883</v>
      </c>
      <c r="Y571" s="1" t="n">
        <v>76637</v>
      </c>
      <c r="Z571" s="37" t="n">
        <f aca="false">(Y571/Q571)*100</f>
        <v>47.5135621066989</v>
      </c>
      <c r="AA571" s="1" t="s">
        <v>52</v>
      </c>
      <c r="AB571" s="1" t="s">
        <v>53</v>
      </c>
      <c r="AC571" s="1" t="s">
        <v>1873</v>
      </c>
      <c r="AD571" s="1" t="n">
        <v>68132</v>
      </c>
      <c r="AE571" s="37" t="n">
        <f aca="false">(AD571/Q571)*100</f>
        <v>42.2406150221644</v>
      </c>
      <c r="AF571" s="1" t="s">
        <v>197</v>
      </c>
      <c r="AG571" s="1" t="s">
        <v>197</v>
      </c>
      <c r="AH571" s="1" t="s">
        <v>2884</v>
      </c>
      <c r="AI571" s="1" t="n">
        <v>5208</v>
      </c>
      <c r="AJ571" s="37" t="n">
        <f aca="false">(AI571/Q571)*100</f>
        <v>3.22886636287548</v>
      </c>
      <c r="AK571" s="37" t="s">
        <v>197</v>
      </c>
      <c r="AL571" s="1" t="s">
        <v>197</v>
      </c>
      <c r="AM571" s="1" t="s">
        <v>2885</v>
      </c>
      <c r="AN571" s="1" t="n">
        <v>3745</v>
      </c>
      <c r="AO571" s="37" t="n">
        <f aca="false">(AN571/Q571)*100</f>
        <v>2.32183266685266</v>
      </c>
      <c r="AP571" s="1" t="s">
        <v>179</v>
      </c>
      <c r="AQ571" s="1" t="s">
        <v>179</v>
      </c>
      <c r="AR571" s="1" t="s">
        <v>2886</v>
      </c>
      <c r="AS571" s="1" t="n">
        <v>3392</v>
      </c>
      <c r="AT571" s="37" t="n">
        <f aca="false">(AS571/Q571)*100</f>
        <v>2.10297901360861</v>
      </c>
    </row>
    <row r="572" customFormat="false" ht="12.8" hidden="false" customHeight="true" outlineLevel="0" collapsed="false">
      <c r="A572" s="35" t="n">
        <v>2011</v>
      </c>
      <c r="B572" s="36" t="n">
        <v>94</v>
      </c>
      <c r="C572" s="1" t="s">
        <v>644</v>
      </c>
      <c r="D572" s="1" t="s">
        <v>644</v>
      </c>
      <c r="E572" s="1" t="s">
        <v>586</v>
      </c>
      <c r="F572" s="1" t="s">
        <v>645</v>
      </c>
      <c r="G572" s="1" t="s">
        <v>77</v>
      </c>
      <c r="H572" s="1" t="s">
        <v>51</v>
      </c>
      <c r="I572" s="1" t="s">
        <v>51</v>
      </c>
      <c r="J572" s="1" t="s">
        <v>51</v>
      </c>
      <c r="K572" s="1" t="s">
        <v>51</v>
      </c>
      <c r="L572" s="1" t="s">
        <v>68</v>
      </c>
      <c r="M572" s="1" t="s">
        <v>51</v>
      </c>
      <c r="N572" s="1" t="s">
        <v>51</v>
      </c>
      <c r="O572" s="1" t="s">
        <v>51</v>
      </c>
      <c r="P572" s="1" t="n">
        <v>206748</v>
      </c>
      <c r="Q572" s="1" t="n">
        <v>169649</v>
      </c>
      <c r="R572" s="37" t="n">
        <f aca="false">(Q572/P572)*100</f>
        <v>82.0559328264361</v>
      </c>
      <c r="S572" s="1" t="n">
        <f aca="false">Y572-AD572</f>
        <v>35855</v>
      </c>
      <c r="T572" s="37" t="n">
        <f aca="false">(S572/Q572)*100</f>
        <v>21.1348136446428</v>
      </c>
      <c r="U572" s="37" t="n">
        <f aca="false">Z572+AE572</f>
        <v>91.5437167327836</v>
      </c>
      <c r="V572" s="1" t="s">
        <v>55</v>
      </c>
      <c r="W572" s="1" t="s">
        <v>68</v>
      </c>
      <c r="X572" s="1" t="s">
        <v>1876</v>
      </c>
      <c r="Y572" s="1" t="n">
        <v>95579</v>
      </c>
      <c r="Z572" s="37" t="n">
        <f aca="false">(Y572/Q572)*100</f>
        <v>56.3392651887132</v>
      </c>
      <c r="AA572" s="1" t="s">
        <v>52</v>
      </c>
      <c r="AB572" s="1" t="s">
        <v>2887</v>
      </c>
      <c r="AC572" s="1" t="s">
        <v>2888</v>
      </c>
      <c r="AD572" s="1" t="n">
        <v>59724</v>
      </c>
      <c r="AE572" s="37" t="n">
        <f aca="false">(AD572/Q572)*100</f>
        <v>35.2044515440704</v>
      </c>
      <c r="AF572" s="37" t="s">
        <v>179</v>
      </c>
      <c r="AG572" s="1" t="s">
        <v>179</v>
      </c>
      <c r="AH572" s="1" t="s">
        <v>2889</v>
      </c>
      <c r="AI572" s="1" t="n">
        <v>2996</v>
      </c>
      <c r="AJ572" s="37" t="n">
        <f aca="false">(AI572/Q572)*100</f>
        <v>1.76599921013386</v>
      </c>
      <c r="AK572" s="1" t="s">
        <v>1431</v>
      </c>
      <c r="AL572" s="1" t="s">
        <v>171</v>
      </c>
      <c r="AM572" s="1" t="s">
        <v>2890</v>
      </c>
      <c r="AN572" s="1" t="n">
        <v>2168</v>
      </c>
      <c r="AO572" s="37" t="n">
        <f aca="false">(AN572/Q572)*100</f>
        <v>1.27793267275374</v>
      </c>
      <c r="AP572" s="37" t="s">
        <v>197</v>
      </c>
      <c r="AQ572" s="1" t="s">
        <v>197</v>
      </c>
      <c r="AR572" s="1" t="s">
        <v>2891</v>
      </c>
      <c r="AS572" s="1" t="n">
        <v>1333</v>
      </c>
      <c r="AT572" s="37" t="n">
        <f aca="false">(AS572/Q572)*100</f>
        <v>0.785739968994807</v>
      </c>
    </row>
    <row r="573" customFormat="false" ht="12.8" hidden="false" customHeight="true" outlineLevel="0" collapsed="false">
      <c r="A573" s="35" t="n">
        <v>2011</v>
      </c>
      <c r="B573" s="36" t="n">
        <v>95</v>
      </c>
      <c r="C573" s="1" t="s">
        <v>658</v>
      </c>
      <c r="D573" s="1" t="s">
        <v>644</v>
      </c>
      <c r="E573" s="1" t="s">
        <v>586</v>
      </c>
      <c r="F573" s="1" t="s">
        <v>645</v>
      </c>
      <c r="G573" s="1" t="s">
        <v>50</v>
      </c>
      <c r="H573" s="1" t="s">
        <v>51</v>
      </c>
      <c r="I573" s="1" t="s">
        <v>51</v>
      </c>
      <c r="J573" s="1" t="s">
        <v>51</v>
      </c>
      <c r="K573" s="1" t="s">
        <v>51</v>
      </c>
      <c r="L573" s="1" t="s">
        <v>51</v>
      </c>
      <c r="M573" s="1" t="s">
        <v>51</v>
      </c>
      <c r="N573" s="1" t="s">
        <v>51</v>
      </c>
      <c r="O573" s="1" t="s">
        <v>51</v>
      </c>
      <c r="P573" s="1" t="n">
        <v>186699</v>
      </c>
      <c r="Q573" s="1" t="n">
        <v>151705</v>
      </c>
      <c r="R573" s="37" t="n">
        <f aca="false">(Q573/P573)*100</f>
        <v>81.2564609344453</v>
      </c>
      <c r="S573" s="1" t="n">
        <f aca="false">Y573-AD573</f>
        <v>31018</v>
      </c>
      <c r="T573" s="37" t="n">
        <f aca="false">(S573/Q573)*100</f>
        <v>20.4462608351735</v>
      </c>
      <c r="U573" s="37" t="n">
        <f aca="false">Z573+AE573</f>
        <v>88.5573975808312</v>
      </c>
      <c r="V573" s="1" t="s">
        <v>55</v>
      </c>
      <c r="W573" s="1" t="s">
        <v>68</v>
      </c>
      <c r="X573" s="1" t="s">
        <v>1911</v>
      </c>
      <c r="Y573" s="1" t="n">
        <v>82682</v>
      </c>
      <c r="Z573" s="37" t="n">
        <f aca="false">(Y573/Q573)*100</f>
        <v>54.5018292080024</v>
      </c>
      <c r="AA573" s="1" t="s">
        <v>52</v>
      </c>
      <c r="AB573" s="1" t="s">
        <v>56</v>
      </c>
      <c r="AC573" s="1" t="s">
        <v>2892</v>
      </c>
      <c r="AD573" s="1" t="n">
        <v>51664</v>
      </c>
      <c r="AE573" s="37" t="n">
        <f aca="false">(AD573/Q573)*100</f>
        <v>34.0555683728288</v>
      </c>
      <c r="AF573" s="1" t="s">
        <v>197</v>
      </c>
      <c r="AG573" s="1" t="s">
        <v>197</v>
      </c>
      <c r="AH573" s="1" t="s">
        <v>2893</v>
      </c>
      <c r="AI573" s="1" t="n">
        <v>6233</v>
      </c>
      <c r="AJ573" s="37" t="n">
        <f aca="false">(AI573/Q573)*100</f>
        <v>4.10863188424904</v>
      </c>
      <c r="AK573" s="1" t="s">
        <v>1431</v>
      </c>
      <c r="AL573" s="1" t="s">
        <v>171</v>
      </c>
      <c r="AM573" s="1" t="s">
        <v>2019</v>
      </c>
      <c r="AN573" s="1" t="n">
        <v>2140</v>
      </c>
      <c r="AO573" s="37" t="n">
        <f aca="false">(AN573/Q573)*100</f>
        <v>1.41063247750569</v>
      </c>
      <c r="AP573" s="37" t="s">
        <v>197</v>
      </c>
      <c r="AQ573" s="1" t="s">
        <v>197</v>
      </c>
      <c r="AR573" s="1" t="s">
        <v>2894</v>
      </c>
      <c r="AS573" s="1" t="n">
        <v>2012</v>
      </c>
      <c r="AT573" s="37" t="n">
        <f aca="false">(AS573/Q573)*100</f>
        <v>1.32625819847731</v>
      </c>
    </row>
    <row r="574" customFormat="false" ht="12.8" hidden="false" customHeight="true" outlineLevel="0" collapsed="false">
      <c r="A574" s="35" t="n">
        <v>2011</v>
      </c>
      <c r="B574" s="36" t="n">
        <v>96</v>
      </c>
      <c r="C574" s="1" t="s">
        <v>663</v>
      </c>
      <c r="D574" s="1" t="s">
        <v>644</v>
      </c>
      <c r="E574" s="1" t="s">
        <v>586</v>
      </c>
      <c r="F574" s="1" t="s">
        <v>645</v>
      </c>
      <c r="G574" s="1" t="s">
        <v>77</v>
      </c>
      <c r="H574" s="1" t="s">
        <v>51</v>
      </c>
      <c r="I574" s="1" t="s">
        <v>316</v>
      </c>
      <c r="J574" s="1" t="s">
        <v>51</v>
      </c>
      <c r="K574" s="1" t="s">
        <v>51</v>
      </c>
      <c r="L574" s="1" t="s">
        <v>68</v>
      </c>
      <c r="M574" s="1" t="s">
        <v>51</v>
      </c>
      <c r="N574" s="1" t="s">
        <v>51</v>
      </c>
      <c r="O574" s="1" t="s">
        <v>51</v>
      </c>
      <c r="P574" s="1" t="n">
        <v>182669</v>
      </c>
      <c r="Q574" s="1" t="n">
        <v>149845</v>
      </c>
      <c r="R574" s="37" t="n">
        <f aca="false">(Q574/P574)*100</f>
        <v>82.0308864667787</v>
      </c>
      <c r="S574" s="1" t="n">
        <f aca="false">Y574-AD574</f>
        <v>23945</v>
      </c>
      <c r="T574" s="37" t="n">
        <f aca="false">(S574/Q574)*100</f>
        <v>15.9798458407021</v>
      </c>
      <c r="U574" s="37" t="n">
        <f aca="false">Z574+AE574</f>
        <v>88.2652073809603</v>
      </c>
      <c r="V574" s="1" t="s">
        <v>55</v>
      </c>
      <c r="W574" s="1" t="s">
        <v>61</v>
      </c>
      <c r="X574" s="1" t="s">
        <v>2895</v>
      </c>
      <c r="Y574" s="1" t="n">
        <v>78103</v>
      </c>
      <c r="Z574" s="37" t="n">
        <f aca="false">(Y574/Q574)*100</f>
        <v>52.1225266108312</v>
      </c>
      <c r="AA574" s="1" t="s">
        <v>52</v>
      </c>
      <c r="AB574" s="1" t="s">
        <v>66</v>
      </c>
      <c r="AC574" s="1" t="s">
        <v>2896</v>
      </c>
      <c r="AD574" s="1" t="n">
        <v>54158</v>
      </c>
      <c r="AE574" s="37" t="n">
        <f aca="false">(AD574/Q574)*100</f>
        <v>36.1426807701291</v>
      </c>
      <c r="AF574" s="1" t="s">
        <v>197</v>
      </c>
      <c r="AG574" s="1" t="s">
        <v>197</v>
      </c>
      <c r="AH574" s="1" t="s">
        <v>2897</v>
      </c>
      <c r="AI574" s="1" t="n">
        <v>3809</v>
      </c>
      <c r="AJ574" s="37" t="n">
        <f aca="false">(AI574/Q574)*100</f>
        <v>2.54196002535954</v>
      </c>
      <c r="AK574" s="1" t="s">
        <v>197</v>
      </c>
      <c r="AL574" s="1" t="s">
        <v>197</v>
      </c>
      <c r="AM574" s="1" t="s">
        <v>934</v>
      </c>
      <c r="AN574" s="1" t="n">
        <v>3311</v>
      </c>
      <c r="AO574" s="37" t="n">
        <f aca="false">(AN574/Q574)*100</f>
        <v>2.20961660382395</v>
      </c>
      <c r="AP574" s="1" t="s">
        <v>197</v>
      </c>
      <c r="AQ574" s="1" t="s">
        <v>197</v>
      </c>
      <c r="AR574" s="1" t="s">
        <v>2898</v>
      </c>
      <c r="AS574" s="1" t="n">
        <v>2776</v>
      </c>
      <c r="AT574" s="37" t="n">
        <f aca="false">(AS574/Q574)*100</f>
        <v>1.85258100036705</v>
      </c>
    </row>
    <row r="575" customFormat="false" ht="12.8" hidden="false" customHeight="true" outlineLevel="0" collapsed="false">
      <c r="A575" s="35" t="n">
        <v>2011</v>
      </c>
      <c r="B575" s="36" t="n">
        <v>97</v>
      </c>
      <c r="C575" s="1" t="s">
        <v>669</v>
      </c>
      <c r="D575" s="1" t="s">
        <v>644</v>
      </c>
      <c r="E575" s="1" t="s">
        <v>586</v>
      </c>
      <c r="F575" s="1" t="s">
        <v>645</v>
      </c>
      <c r="G575" s="1" t="s">
        <v>77</v>
      </c>
      <c r="H575" s="1" t="s">
        <v>51</v>
      </c>
      <c r="I575" s="1" t="s">
        <v>51</v>
      </c>
      <c r="J575" s="1" t="s">
        <v>51</v>
      </c>
      <c r="K575" s="1" t="s">
        <v>68</v>
      </c>
      <c r="L575" s="1" t="s">
        <v>51</v>
      </c>
      <c r="M575" s="1" t="s">
        <v>68</v>
      </c>
      <c r="N575" s="1" t="s">
        <v>51</v>
      </c>
      <c r="O575" s="1" t="s">
        <v>51</v>
      </c>
      <c r="P575" s="1" t="n">
        <v>186437</v>
      </c>
      <c r="Q575" s="1" t="n">
        <v>160955</v>
      </c>
      <c r="R575" s="37" t="n">
        <f aca="false">(Q575/P575)*100</f>
        <v>86.3321121880314</v>
      </c>
      <c r="S575" s="1" t="n">
        <f aca="false">Y575-AD575</f>
        <v>26887</v>
      </c>
      <c r="T575" s="37" t="n">
        <f aca="false">(S575/Q575)*100</f>
        <v>16.7046690068653</v>
      </c>
      <c r="U575" s="37" t="n">
        <f aca="false">Z575+AE575</f>
        <v>96.4660930073623</v>
      </c>
      <c r="V575" s="1" t="s">
        <v>55</v>
      </c>
      <c r="W575" s="1" t="s">
        <v>68</v>
      </c>
      <c r="X575" s="1" t="s">
        <v>670</v>
      </c>
      <c r="Y575" s="1" t="n">
        <v>91077</v>
      </c>
      <c r="Z575" s="37" t="n">
        <f aca="false">(Y575/Q575)*100</f>
        <v>56.5853810071138</v>
      </c>
      <c r="AA575" s="1" t="s">
        <v>52</v>
      </c>
      <c r="AB575" s="1" t="s">
        <v>53</v>
      </c>
      <c r="AC575" s="1" t="s">
        <v>2899</v>
      </c>
      <c r="AD575" s="1" t="n">
        <v>64190</v>
      </c>
      <c r="AE575" s="37" t="n">
        <f aca="false">(AD575/Q575)*100</f>
        <v>39.8807120002485</v>
      </c>
      <c r="AF575" s="1" t="s">
        <v>1431</v>
      </c>
      <c r="AG575" s="1" t="s">
        <v>171</v>
      </c>
      <c r="AH575" s="1" t="s">
        <v>2900</v>
      </c>
      <c r="AI575" s="1" t="n">
        <v>1600</v>
      </c>
      <c r="AJ575" s="37" t="n">
        <f aca="false">(AI575/Q575)*100</f>
        <v>0.994066664595695</v>
      </c>
      <c r="AK575" s="1" t="s">
        <v>197</v>
      </c>
      <c r="AL575" s="1" t="s">
        <v>197</v>
      </c>
      <c r="AM575" s="1" t="s">
        <v>2901</v>
      </c>
      <c r="AN575" s="1" t="n">
        <v>1179</v>
      </c>
      <c r="AO575" s="37" t="n">
        <f aca="false">(AN575/Q575)*100</f>
        <v>0.732502873473952</v>
      </c>
      <c r="AP575" s="1" t="s">
        <v>197</v>
      </c>
      <c r="AQ575" s="1" t="s">
        <v>197</v>
      </c>
      <c r="AR575" s="1" t="s">
        <v>2902</v>
      </c>
      <c r="AS575" s="1" t="n">
        <v>1126</v>
      </c>
      <c r="AT575" s="37" t="n">
        <f aca="false">(AS575/Q575)*100</f>
        <v>0.69957441520922</v>
      </c>
    </row>
    <row r="576" customFormat="false" ht="12.8" hidden="false" customHeight="true" outlineLevel="0" collapsed="false">
      <c r="A576" s="35" t="n">
        <v>2011</v>
      </c>
      <c r="B576" s="36" t="n">
        <v>98</v>
      </c>
      <c r="C576" s="1" t="s">
        <v>675</v>
      </c>
      <c r="D576" s="1" t="s">
        <v>676</v>
      </c>
      <c r="E576" s="1" t="s">
        <v>586</v>
      </c>
      <c r="F576" s="1" t="s">
        <v>645</v>
      </c>
      <c r="G576" s="1" t="s">
        <v>88</v>
      </c>
      <c r="H576" s="1" t="s">
        <v>51</v>
      </c>
      <c r="I576" s="1" t="s">
        <v>316</v>
      </c>
      <c r="J576" s="1" t="s">
        <v>51</v>
      </c>
      <c r="K576" s="1" t="s">
        <v>51</v>
      </c>
      <c r="L576" s="1" t="s">
        <v>51</v>
      </c>
      <c r="M576" s="1" t="s">
        <v>51</v>
      </c>
      <c r="N576" s="1" t="s">
        <v>51</v>
      </c>
      <c r="O576" s="1" t="s">
        <v>51</v>
      </c>
      <c r="P576" s="1" t="n">
        <v>175395</v>
      </c>
      <c r="Q576" s="1" t="n">
        <v>136071</v>
      </c>
      <c r="R576" s="37" t="n">
        <f aca="false">(Q576/P576)*100</f>
        <v>77.579748567519</v>
      </c>
      <c r="S576" s="1" t="n">
        <f aca="false">Y576-AD576</f>
        <v>10644</v>
      </c>
      <c r="T576" s="37" t="n">
        <f aca="false">(S576/Q576)*100</f>
        <v>7.82238684216328</v>
      </c>
      <c r="U576" s="37" t="n">
        <f aca="false">Z576+AE576</f>
        <v>93.8392456879129</v>
      </c>
      <c r="V576" s="1" t="s">
        <v>55</v>
      </c>
      <c r="W576" s="1" t="s">
        <v>61</v>
      </c>
      <c r="X576" s="1" t="s">
        <v>2903</v>
      </c>
      <c r="Y576" s="1" t="n">
        <v>69166</v>
      </c>
      <c r="Z576" s="37" t="n">
        <f aca="false">(Y576/Q576)*100</f>
        <v>50.8308162650381</v>
      </c>
      <c r="AA576" s="1" t="s">
        <v>52</v>
      </c>
      <c r="AB576" s="1" t="s">
        <v>53</v>
      </c>
      <c r="AC576" s="1" t="s">
        <v>683</v>
      </c>
      <c r="AD576" s="1" t="n">
        <v>58522</v>
      </c>
      <c r="AE576" s="37" t="n">
        <f aca="false">(AD576/Q576)*100</f>
        <v>43.0084294228748</v>
      </c>
      <c r="AF576" s="1" t="s">
        <v>1431</v>
      </c>
      <c r="AG576" s="1" t="s">
        <v>171</v>
      </c>
      <c r="AH576" s="1" t="s">
        <v>1897</v>
      </c>
      <c r="AI576" s="1" t="n">
        <v>3244</v>
      </c>
      <c r="AJ576" s="37" t="n">
        <f aca="false">(AI576/Q576)*100</f>
        <v>2.38404950356799</v>
      </c>
      <c r="AK576" s="1" t="s">
        <v>197</v>
      </c>
      <c r="AL576" s="1" t="s">
        <v>197</v>
      </c>
      <c r="AM576" s="1" t="s">
        <v>2904</v>
      </c>
      <c r="AN576" s="1" t="n">
        <v>2439</v>
      </c>
      <c r="AO576" s="37" t="n">
        <f aca="false">(AN576/Q576)*100</f>
        <v>1.79244659038296</v>
      </c>
      <c r="AP576" s="1" t="s">
        <v>63</v>
      </c>
      <c r="AQ576" s="1" t="s">
        <v>63</v>
      </c>
      <c r="AR576" s="1" t="s">
        <v>63</v>
      </c>
      <c r="AS576" s="1" t="n">
        <v>2700</v>
      </c>
      <c r="AT576" s="37" t="n">
        <f aca="false">(AS576/Q576)*100</f>
        <v>1.98425821813612</v>
      </c>
    </row>
    <row r="577" customFormat="false" ht="12.8" hidden="false" customHeight="true" outlineLevel="0" collapsed="false">
      <c r="A577" s="35" t="n">
        <v>2011</v>
      </c>
      <c r="B577" s="36" t="n">
        <v>99</v>
      </c>
      <c r="C577" s="1" t="s">
        <v>682</v>
      </c>
      <c r="D577" s="1" t="s">
        <v>676</v>
      </c>
      <c r="E577" s="1" t="s">
        <v>586</v>
      </c>
      <c r="F577" s="1" t="s">
        <v>645</v>
      </c>
      <c r="G577" s="1" t="s">
        <v>88</v>
      </c>
      <c r="H577" s="1" t="s">
        <v>51</v>
      </c>
      <c r="I577" s="1" t="s">
        <v>51</v>
      </c>
      <c r="J577" s="1" t="s">
        <v>51</v>
      </c>
      <c r="K577" s="1" t="s">
        <v>51</v>
      </c>
      <c r="L577" s="1" t="s">
        <v>51</v>
      </c>
      <c r="M577" s="1" t="s">
        <v>51</v>
      </c>
      <c r="N577" s="1" t="s">
        <v>51</v>
      </c>
      <c r="O577" s="1" t="s">
        <v>51</v>
      </c>
      <c r="P577" s="1" t="n">
        <v>193170</v>
      </c>
      <c r="Q577" s="1" t="n">
        <v>153133</v>
      </c>
      <c r="R577" s="37" t="n">
        <f aca="false">(Q577/P577)*100</f>
        <v>79.2736967438008</v>
      </c>
      <c r="S577" s="1" t="n">
        <f aca="false">Y577-AD577</f>
        <v>37868</v>
      </c>
      <c r="T577" s="37" t="n">
        <f aca="false">(S577/Q577)*100</f>
        <v>24.7288304937538</v>
      </c>
      <c r="U577" s="37" t="n">
        <f aca="false">Z577+AE577</f>
        <v>93.8465255692764</v>
      </c>
      <c r="V577" s="1" t="s">
        <v>55</v>
      </c>
      <c r="W577" s="1" t="s">
        <v>68</v>
      </c>
      <c r="X577" s="1" t="s">
        <v>2905</v>
      </c>
      <c r="Y577" s="1" t="n">
        <v>90789</v>
      </c>
      <c r="Z577" s="37" t="n">
        <f aca="false">(Y577/Q577)*100</f>
        <v>59.2876780315151</v>
      </c>
      <c r="AA577" s="1" t="s">
        <v>52</v>
      </c>
      <c r="AB577" s="1" t="s">
        <v>66</v>
      </c>
      <c r="AC577" s="1" t="s">
        <v>2906</v>
      </c>
      <c r="AD577" s="1" t="n">
        <v>52921</v>
      </c>
      <c r="AE577" s="37" t="n">
        <f aca="false">(AD577/Q577)*100</f>
        <v>34.5588475377613</v>
      </c>
      <c r="AF577" s="1" t="s">
        <v>1431</v>
      </c>
      <c r="AG577" s="1" t="s">
        <v>171</v>
      </c>
      <c r="AH577" s="1" t="s">
        <v>1902</v>
      </c>
      <c r="AI577" s="1" t="n">
        <v>3516</v>
      </c>
      <c r="AJ577" s="37" t="n">
        <f aca="false">(AI577/Q577)*100</f>
        <v>2.29604330875775</v>
      </c>
      <c r="AK577" s="1" t="s">
        <v>197</v>
      </c>
      <c r="AL577" s="1" t="s">
        <v>197</v>
      </c>
      <c r="AM577" s="1" t="s">
        <v>2907</v>
      </c>
      <c r="AN577" s="1" t="n">
        <v>1371</v>
      </c>
      <c r="AO577" s="37" t="n">
        <f aca="false">(AN577/Q577)*100</f>
        <v>0.895300163909804</v>
      </c>
      <c r="AP577" s="1" t="s">
        <v>197</v>
      </c>
      <c r="AQ577" s="1" t="s">
        <v>197</v>
      </c>
      <c r="AR577" s="1" t="s">
        <v>2908</v>
      </c>
      <c r="AS577" s="1" t="n">
        <v>1183</v>
      </c>
      <c r="AT577" s="37" t="n">
        <f aca="false">(AS577/Q577)*100</f>
        <v>0.772531067764623</v>
      </c>
    </row>
    <row r="578" customFormat="false" ht="12.8" hidden="false" customHeight="true" outlineLevel="0" collapsed="false">
      <c r="A578" s="35" t="n">
        <v>2011</v>
      </c>
      <c r="B578" s="36" t="n">
        <v>100</v>
      </c>
      <c r="C578" s="1" t="s">
        <v>687</v>
      </c>
      <c r="D578" s="1" t="s">
        <v>676</v>
      </c>
      <c r="E578" s="1" t="s">
        <v>586</v>
      </c>
      <c r="F578" s="1" t="s">
        <v>645</v>
      </c>
      <c r="G578" s="1" t="s">
        <v>50</v>
      </c>
      <c r="H578" s="1" t="s">
        <v>51</v>
      </c>
      <c r="I578" s="1" t="s">
        <v>526</v>
      </c>
      <c r="J578" s="1" t="s">
        <v>51</v>
      </c>
      <c r="K578" s="1" t="s">
        <v>51</v>
      </c>
      <c r="L578" s="1" t="s">
        <v>51</v>
      </c>
      <c r="M578" s="1" t="s">
        <v>51</v>
      </c>
      <c r="N578" s="1" t="s">
        <v>51</v>
      </c>
      <c r="O578" s="1" t="s">
        <v>51</v>
      </c>
      <c r="P578" s="1" t="n">
        <v>187832</v>
      </c>
      <c r="Q578" s="1" t="n">
        <v>153092</v>
      </c>
      <c r="R578" s="37" t="n">
        <f aca="false">(Q578/P578)*100</f>
        <v>81.5047489245709</v>
      </c>
      <c r="S578" s="1" t="n">
        <f aca="false">Y578-AD578</f>
        <v>40162</v>
      </c>
      <c r="T578" s="37" t="n">
        <f aca="false">(S578/Q578)*100</f>
        <v>26.233898570794</v>
      </c>
      <c r="U578" s="37" t="n">
        <f aca="false">Z578+AE578</f>
        <v>88.3442635800695</v>
      </c>
      <c r="V578" s="1" t="s">
        <v>55</v>
      </c>
      <c r="W578" s="1" t="s">
        <v>68</v>
      </c>
      <c r="X578" s="1" t="s">
        <v>2909</v>
      </c>
      <c r="Y578" s="1" t="n">
        <v>87705</v>
      </c>
      <c r="Z578" s="37" t="n">
        <f aca="false">(Y578/Q578)*100</f>
        <v>57.2890810754318</v>
      </c>
      <c r="AA578" s="1" t="s">
        <v>52</v>
      </c>
      <c r="AB578" s="1" t="s">
        <v>66</v>
      </c>
      <c r="AC578" s="1" t="s">
        <v>2910</v>
      </c>
      <c r="AD578" s="1" t="n">
        <v>47543</v>
      </c>
      <c r="AE578" s="37" t="n">
        <f aca="false">(AD578/Q578)*100</f>
        <v>31.0551825046377</v>
      </c>
      <c r="AF578" s="1" t="s">
        <v>1431</v>
      </c>
      <c r="AG578" s="1" t="s">
        <v>171</v>
      </c>
      <c r="AH578" s="1" t="s">
        <v>2911</v>
      </c>
      <c r="AI578" s="1" t="n">
        <v>8376</v>
      </c>
      <c r="AJ578" s="37" t="n">
        <f aca="false">(AI578/Q578)*100</f>
        <v>5.47121992004808</v>
      </c>
      <c r="AK578" s="1" t="s">
        <v>85</v>
      </c>
      <c r="AL578" s="1" t="s">
        <v>85</v>
      </c>
      <c r="AM578" s="1" t="s">
        <v>2912</v>
      </c>
      <c r="AN578" s="1" t="n">
        <v>1992</v>
      </c>
      <c r="AO578" s="37" t="n">
        <f aca="false">(AN578/Q578)*100</f>
        <v>1.30117837640112</v>
      </c>
      <c r="AP578" s="37" t="s">
        <v>197</v>
      </c>
      <c r="AQ578" s="1" t="s">
        <v>197</v>
      </c>
      <c r="AR578" s="1" t="s">
        <v>2913</v>
      </c>
      <c r="AS578" s="1" t="n">
        <v>1555</v>
      </c>
      <c r="AT578" s="37" t="n">
        <f aca="false">(AS578/Q578)*100</f>
        <v>1.01572910406814</v>
      </c>
    </row>
    <row r="579" customFormat="false" ht="12.8" hidden="false" customHeight="true" outlineLevel="0" collapsed="false">
      <c r="A579" s="35" t="n">
        <v>2011</v>
      </c>
      <c r="B579" s="36" t="n">
        <v>101</v>
      </c>
      <c r="C579" s="1" t="s">
        <v>692</v>
      </c>
      <c r="D579" s="1" t="s">
        <v>693</v>
      </c>
      <c r="E579" s="1" t="s">
        <v>586</v>
      </c>
      <c r="F579" s="1" t="s">
        <v>694</v>
      </c>
      <c r="G579" s="1" t="s">
        <v>77</v>
      </c>
      <c r="H579" s="1" t="s">
        <v>65</v>
      </c>
      <c r="I579" s="1" t="s">
        <v>51</v>
      </c>
      <c r="J579" s="1" t="s">
        <v>51</v>
      </c>
      <c r="K579" s="1" t="s">
        <v>51</v>
      </c>
      <c r="L579" s="1" t="s">
        <v>51</v>
      </c>
      <c r="M579" s="1" t="s">
        <v>51</v>
      </c>
      <c r="N579" s="1" t="s">
        <v>51</v>
      </c>
      <c r="O579" s="1" t="s">
        <v>51</v>
      </c>
      <c r="P579" s="1" t="n">
        <v>205145</v>
      </c>
      <c r="Q579" s="1" t="n">
        <v>162248</v>
      </c>
      <c r="R579" s="37" t="n">
        <f aca="false">(Q579/P579)*100</f>
        <v>79.0894245533647</v>
      </c>
      <c r="S579" s="1" t="n">
        <f aca="false">Y579-AD579</f>
        <v>15025</v>
      </c>
      <c r="T579" s="37" t="n">
        <f aca="false">(S579/Q579)*100</f>
        <v>9.2605147675164</v>
      </c>
      <c r="U579" s="37" t="n">
        <f aca="false">Z579+AE579</f>
        <v>94.1071692717322</v>
      </c>
      <c r="V579" s="1" t="s">
        <v>55</v>
      </c>
      <c r="W579" s="1" t="s">
        <v>68</v>
      </c>
      <c r="X579" s="1" t="s">
        <v>1873</v>
      </c>
      <c r="Y579" s="1" t="n">
        <v>83856</v>
      </c>
      <c r="Z579" s="37" t="n">
        <f aca="false">(Y579/Q579)*100</f>
        <v>51.6838420196243</v>
      </c>
      <c r="AA579" s="1" t="s">
        <v>52</v>
      </c>
      <c r="AB579" s="1" t="s">
        <v>53</v>
      </c>
      <c r="AC579" s="1" t="s">
        <v>2914</v>
      </c>
      <c r="AD579" s="1" t="n">
        <v>68831</v>
      </c>
      <c r="AE579" s="37" t="n">
        <f aca="false">(AD579/Q579)*100</f>
        <v>42.4233272521079</v>
      </c>
      <c r="AF579" s="1" t="s">
        <v>1431</v>
      </c>
      <c r="AG579" s="1" t="s">
        <v>171</v>
      </c>
      <c r="AH579" s="1" t="s">
        <v>2915</v>
      </c>
      <c r="AI579" s="1" t="n">
        <v>3353</v>
      </c>
      <c r="AJ579" s="37" t="n">
        <f aca="false">(AI579/Q579)*100</f>
        <v>2.06658941866772</v>
      </c>
      <c r="AK579" s="37" t="s">
        <v>197</v>
      </c>
      <c r="AL579" s="1" t="s">
        <v>197</v>
      </c>
      <c r="AM579" s="1" t="s">
        <v>1458</v>
      </c>
      <c r="AN579" s="1" t="n">
        <v>2882</v>
      </c>
      <c r="AO579" s="37" t="n">
        <f aca="false">(AN579/Q579)*100</f>
        <v>1.77629308219516</v>
      </c>
      <c r="AP579" s="1" t="s">
        <v>85</v>
      </c>
      <c r="AQ579" s="1" t="s">
        <v>85</v>
      </c>
      <c r="AR579" s="1" t="s">
        <v>2276</v>
      </c>
      <c r="AS579" s="1" t="n">
        <v>1378</v>
      </c>
      <c r="AT579" s="37" t="n">
        <f aca="false">(AS579/Q579)*100</f>
        <v>0.84931709481781</v>
      </c>
    </row>
    <row r="580" customFormat="false" ht="12.8" hidden="false" customHeight="true" outlineLevel="0" collapsed="false">
      <c r="A580" s="35" t="n">
        <v>2011</v>
      </c>
      <c r="B580" s="36" t="n">
        <v>102</v>
      </c>
      <c r="C580" s="1" t="s">
        <v>699</v>
      </c>
      <c r="D580" s="1" t="s">
        <v>693</v>
      </c>
      <c r="E580" s="1" t="s">
        <v>586</v>
      </c>
      <c r="F580" s="1" t="s">
        <v>694</v>
      </c>
      <c r="G580" s="1" t="s">
        <v>77</v>
      </c>
      <c r="H580" s="1" t="s">
        <v>51</v>
      </c>
      <c r="I580" s="1" t="s">
        <v>51</v>
      </c>
      <c r="J580" s="1" t="s">
        <v>51</v>
      </c>
      <c r="K580" s="1" t="s">
        <v>51</v>
      </c>
      <c r="L580" s="1" t="s">
        <v>51</v>
      </c>
      <c r="M580" s="1" t="s">
        <v>51</v>
      </c>
      <c r="N580" s="1" t="s">
        <v>68</v>
      </c>
      <c r="O580" s="1" t="s">
        <v>126</v>
      </c>
      <c r="P580" s="1" t="n">
        <v>193597</v>
      </c>
      <c r="Q580" s="1" t="n">
        <v>158338</v>
      </c>
      <c r="R580" s="37" t="n">
        <f aca="false">(Q580/P580)*100</f>
        <v>81.7874243919069</v>
      </c>
      <c r="S580" s="1" t="n">
        <f aca="false">Y580-AD580</f>
        <v>41765</v>
      </c>
      <c r="T580" s="37" t="n">
        <f aca="false">(S580/Q580)*100</f>
        <v>26.3771173060162</v>
      </c>
      <c r="U580" s="37" t="n">
        <f aca="false">Z580+AE580</f>
        <v>94.888782225366</v>
      </c>
      <c r="V580" s="1" t="s">
        <v>55</v>
      </c>
      <c r="W580" s="1" t="s">
        <v>68</v>
      </c>
      <c r="X580" s="1" t="s">
        <v>2916</v>
      </c>
      <c r="Y580" s="1" t="n">
        <v>96005</v>
      </c>
      <c r="Z580" s="37" t="n">
        <f aca="false">(Y580/Q580)*100</f>
        <v>60.6329497656911</v>
      </c>
      <c r="AA580" s="1" t="s">
        <v>52</v>
      </c>
      <c r="AB580" s="1" t="s">
        <v>66</v>
      </c>
      <c r="AC580" s="1" t="s">
        <v>2917</v>
      </c>
      <c r="AD580" s="1" t="n">
        <v>54240</v>
      </c>
      <c r="AE580" s="37" t="n">
        <f aca="false">(AD580/Q580)*100</f>
        <v>34.2558324596749</v>
      </c>
      <c r="AF580" s="1" t="s">
        <v>1431</v>
      </c>
      <c r="AG580" s="1" t="s">
        <v>171</v>
      </c>
      <c r="AH580" s="1" t="s">
        <v>2918</v>
      </c>
      <c r="AI580" s="1" t="n">
        <v>1884</v>
      </c>
      <c r="AJ580" s="37" t="n">
        <f aca="false">(AI580/Q580)*100</f>
        <v>1.18985966729402</v>
      </c>
      <c r="AK580" s="37" t="s">
        <v>197</v>
      </c>
      <c r="AL580" s="1" t="s">
        <v>197</v>
      </c>
      <c r="AM580" s="1" t="s">
        <v>2919</v>
      </c>
      <c r="AN580" s="1" t="n">
        <v>1802</v>
      </c>
      <c r="AO580" s="37" t="n">
        <f aca="false">(AN580/Q580)*100</f>
        <v>1.13807171999141</v>
      </c>
      <c r="AP580" s="37" t="s">
        <v>197</v>
      </c>
      <c r="AQ580" s="1" t="s">
        <v>197</v>
      </c>
      <c r="AR580" s="1" t="s">
        <v>2920</v>
      </c>
      <c r="AS580" s="1" t="n">
        <v>1165</v>
      </c>
      <c r="AT580" s="37" t="n">
        <f aca="false">(AS580/Q580)*100</f>
        <v>0.735767787896778</v>
      </c>
    </row>
    <row r="581" customFormat="false" ht="12.8" hidden="false" customHeight="true" outlineLevel="0" collapsed="false">
      <c r="A581" s="35" t="n">
        <v>2011</v>
      </c>
      <c r="B581" s="36" t="n">
        <v>103</v>
      </c>
      <c r="C581" s="1" t="s">
        <v>704</v>
      </c>
      <c r="D581" s="1" t="s">
        <v>676</v>
      </c>
      <c r="E581" s="1" t="s">
        <v>586</v>
      </c>
      <c r="F581" s="1" t="s">
        <v>645</v>
      </c>
      <c r="G581" s="1" t="s">
        <v>50</v>
      </c>
      <c r="H581" s="1" t="s">
        <v>51</v>
      </c>
      <c r="I581" s="1" t="s">
        <v>526</v>
      </c>
      <c r="J581" s="1" t="s">
        <v>51</v>
      </c>
      <c r="K581" s="1" t="s">
        <v>51</v>
      </c>
      <c r="L581" s="1" t="s">
        <v>51</v>
      </c>
      <c r="M581" s="1" t="s">
        <v>68</v>
      </c>
      <c r="N581" s="1" t="s">
        <v>68</v>
      </c>
      <c r="O581" s="1" t="s">
        <v>51</v>
      </c>
      <c r="P581" s="1" t="n">
        <v>178269</v>
      </c>
      <c r="Q581" s="1" t="n">
        <v>149561</v>
      </c>
      <c r="R581" s="37" t="n">
        <f aca="false">(Q581/P581)*100</f>
        <v>83.896246683383</v>
      </c>
      <c r="S581" s="1" t="n">
        <f aca="false">Y581-AD581</f>
        <v>42167</v>
      </c>
      <c r="T581" s="37" t="n">
        <f aca="false">(S581/Q581)*100</f>
        <v>28.1938473265089</v>
      </c>
      <c r="U581" s="37" t="n">
        <f aca="false">Z581+AE581</f>
        <v>92.1048936554316</v>
      </c>
      <c r="V581" s="1" t="s">
        <v>55</v>
      </c>
      <c r="W581" s="1" t="s">
        <v>68</v>
      </c>
      <c r="X581" s="1" t="s">
        <v>1915</v>
      </c>
      <c r="Y581" s="1" t="n">
        <v>89960</v>
      </c>
      <c r="Z581" s="37" t="n">
        <f aca="false">(Y581/Q581)*100</f>
        <v>60.1493704909702</v>
      </c>
      <c r="AA581" s="1" t="s">
        <v>52</v>
      </c>
      <c r="AB581" s="1" t="s">
        <v>2887</v>
      </c>
      <c r="AC581" s="1" t="s">
        <v>2921</v>
      </c>
      <c r="AD581" s="1" t="n">
        <v>47793</v>
      </c>
      <c r="AE581" s="37" t="n">
        <f aca="false">(AD581/Q581)*100</f>
        <v>31.9555231644613</v>
      </c>
      <c r="AF581" s="1" t="s">
        <v>85</v>
      </c>
      <c r="AG581" s="1" t="s">
        <v>85</v>
      </c>
      <c r="AH581" s="1" t="s">
        <v>2922</v>
      </c>
      <c r="AI581" s="1" t="n">
        <v>2033</v>
      </c>
      <c r="AJ581" s="37" t="n">
        <f aca="false">(AI581/Q581)*100</f>
        <v>1.35931158523947</v>
      </c>
      <c r="AK581" s="37" t="s">
        <v>197</v>
      </c>
      <c r="AL581" s="1" t="s">
        <v>197</v>
      </c>
      <c r="AM581" s="1" t="s">
        <v>2923</v>
      </c>
      <c r="AN581" s="1" t="n">
        <v>1464</v>
      </c>
      <c r="AO581" s="37" t="n">
        <f aca="false">(AN581/Q581)*100</f>
        <v>0.978864811013566</v>
      </c>
      <c r="AP581" s="1" t="s">
        <v>1431</v>
      </c>
      <c r="AQ581" s="1" t="s">
        <v>2924</v>
      </c>
      <c r="AR581" s="1" t="s">
        <v>1576</v>
      </c>
      <c r="AS581" s="1" t="n">
        <v>1371</v>
      </c>
      <c r="AT581" s="37" t="n">
        <f aca="false">(AS581/Q581)*100</f>
        <v>0.916682825068032</v>
      </c>
    </row>
    <row r="582" customFormat="false" ht="12.8" hidden="false" customHeight="true" outlineLevel="0" collapsed="false">
      <c r="A582" s="35" t="n">
        <v>2011</v>
      </c>
      <c r="B582" s="36" t="n">
        <v>104</v>
      </c>
      <c r="C582" s="1" t="s">
        <v>710</v>
      </c>
      <c r="D582" s="1" t="s">
        <v>676</v>
      </c>
      <c r="E582" s="1" t="s">
        <v>586</v>
      </c>
      <c r="F582" s="1" t="s">
        <v>645</v>
      </c>
      <c r="G582" s="1" t="s">
        <v>77</v>
      </c>
      <c r="H582" s="1" t="s">
        <v>51</v>
      </c>
      <c r="I582" s="1" t="s">
        <v>51</v>
      </c>
      <c r="J582" s="1" t="s">
        <v>51</v>
      </c>
      <c r="K582" s="1" t="s">
        <v>68</v>
      </c>
      <c r="L582" s="1" t="s">
        <v>51</v>
      </c>
      <c r="M582" s="1" t="s">
        <v>68</v>
      </c>
      <c r="N582" s="1" t="s">
        <v>51</v>
      </c>
      <c r="O582" s="1" t="s">
        <v>51</v>
      </c>
      <c r="P582" s="1" t="n">
        <v>196163</v>
      </c>
      <c r="Q582" s="1" t="n">
        <v>160496</v>
      </c>
      <c r="R582" s="37" t="n">
        <f aca="false">(Q582/P582)*100</f>
        <v>81.81767203805</v>
      </c>
      <c r="S582" s="1" t="n">
        <f aca="false">Y582-AD582</f>
        <v>28041</v>
      </c>
      <c r="T582" s="37" t="n">
        <f aca="false">(S582/Q582)*100</f>
        <v>17.4714634632639</v>
      </c>
      <c r="U582" s="37" t="n">
        <f aca="false">Z582+AE582</f>
        <v>91.0932359684977</v>
      </c>
      <c r="V582" s="1" t="s">
        <v>55</v>
      </c>
      <c r="W582" s="1" t="s">
        <v>68</v>
      </c>
      <c r="X582" s="1" t="s">
        <v>2925</v>
      </c>
      <c r="Y582" s="1" t="n">
        <v>87121</v>
      </c>
      <c r="Z582" s="37" t="n">
        <f aca="false">(Y582/Q582)*100</f>
        <v>54.2823497158808</v>
      </c>
      <c r="AA582" s="1" t="s">
        <v>52</v>
      </c>
      <c r="AB582" s="1" t="s">
        <v>56</v>
      </c>
      <c r="AC582" s="1" t="s">
        <v>2926</v>
      </c>
      <c r="AD582" s="1" t="n">
        <v>59080</v>
      </c>
      <c r="AE582" s="37" t="n">
        <f aca="false">(AD582/Q582)*100</f>
        <v>36.8108862526169</v>
      </c>
      <c r="AF582" s="1" t="s">
        <v>1431</v>
      </c>
      <c r="AG582" s="1" t="s">
        <v>171</v>
      </c>
      <c r="AH582" s="1" t="s">
        <v>2927</v>
      </c>
      <c r="AI582" s="1" t="n">
        <v>3432</v>
      </c>
      <c r="AJ582" s="37" t="n">
        <f aca="false">(AI582/Q582)*100</f>
        <v>2.13837104974579</v>
      </c>
      <c r="AK582" s="37" t="s">
        <v>197</v>
      </c>
      <c r="AL582" s="1" t="s">
        <v>2512</v>
      </c>
      <c r="AM582" s="1" t="s">
        <v>2928</v>
      </c>
      <c r="AN582" s="1" t="n">
        <v>1534</v>
      </c>
      <c r="AO582" s="37" t="n">
        <f aca="false">(AN582/Q582)*100</f>
        <v>0.955787060113648</v>
      </c>
      <c r="AP582" s="37" t="s">
        <v>197</v>
      </c>
      <c r="AQ582" s="1" t="s">
        <v>197</v>
      </c>
      <c r="AR582" s="1" t="s">
        <v>2907</v>
      </c>
      <c r="AS582" s="1" t="n">
        <v>1325</v>
      </c>
      <c r="AT582" s="37" t="n">
        <f aca="false">(AS582/Q582)*100</f>
        <v>0.825565746186821</v>
      </c>
    </row>
    <row r="583" customFormat="false" ht="12.8" hidden="false" customHeight="true" outlineLevel="0" collapsed="false">
      <c r="A583" s="35" t="n">
        <v>2011</v>
      </c>
      <c r="B583" s="36" t="n">
        <v>105</v>
      </c>
      <c r="C583" s="1" t="s">
        <v>715</v>
      </c>
      <c r="D583" s="1" t="s">
        <v>676</v>
      </c>
      <c r="E583" s="1" t="s">
        <v>586</v>
      </c>
      <c r="F583" s="1" t="s">
        <v>645</v>
      </c>
      <c r="G583" s="1" t="s">
        <v>50</v>
      </c>
      <c r="H583" s="1" t="s">
        <v>51</v>
      </c>
      <c r="I583" s="1" t="s">
        <v>51</v>
      </c>
      <c r="J583" s="1" t="s">
        <v>51</v>
      </c>
      <c r="K583" s="1" t="s">
        <v>51</v>
      </c>
      <c r="L583" s="1" t="s">
        <v>51</v>
      </c>
      <c r="M583" s="1" t="s">
        <v>51</v>
      </c>
      <c r="N583" s="1" t="s">
        <v>68</v>
      </c>
      <c r="O583" s="1" t="s">
        <v>51</v>
      </c>
      <c r="P583" s="1" t="n">
        <v>173681</v>
      </c>
      <c r="Q583" s="1" t="n">
        <v>142922</v>
      </c>
      <c r="R583" s="37" t="n">
        <f aca="false">(Q583/P583)*100</f>
        <v>82.289945359596</v>
      </c>
      <c r="S583" s="1" t="n">
        <f aca="false">Y583-AD583</f>
        <v>25254</v>
      </c>
      <c r="T583" s="37" t="n">
        <f aca="false">(S583/Q583)*100</f>
        <v>17.6697779208239</v>
      </c>
      <c r="U583" s="37" t="n">
        <f aca="false">Z583+AE583</f>
        <v>92.1747526622913</v>
      </c>
      <c r="V583" s="1" t="s">
        <v>55</v>
      </c>
      <c r="W583" s="1" t="s">
        <v>68</v>
      </c>
      <c r="X583" s="1" t="s">
        <v>2929</v>
      </c>
      <c r="Y583" s="1" t="n">
        <v>78496</v>
      </c>
      <c r="Z583" s="37" t="n">
        <f aca="false">(Y583/Q583)*100</f>
        <v>54.9222652915576</v>
      </c>
      <c r="AA583" s="1" t="s">
        <v>52</v>
      </c>
      <c r="AB583" s="1" t="s">
        <v>53</v>
      </c>
      <c r="AC583" s="1" t="s">
        <v>2930</v>
      </c>
      <c r="AD583" s="1" t="n">
        <v>53242</v>
      </c>
      <c r="AE583" s="37" t="n">
        <f aca="false">(AD583/Q583)*100</f>
        <v>37.2524873707337</v>
      </c>
      <c r="AF583" s="1" t="s">
        <v>197</v>
      </c>
      <c r="AG583" s="1" t="s">
        <v>197</v>
      </c>
      <c r="AH583" s="1" t="s">
        <v>2931</v>
      </c>
      <c r="AI583" s="1" t="n">
        <v>2269</v>
      </c>
      <c r="AJ583" s="37" t="n">
        <f aca="false">(AI583/Q583)*100</f>
        <v>1.58757923902548</v>
      </c>
      <c r="AK583" s="1" t="s">
        <v>1431</v>
      </c>
      <c r="AL583" s="1" t="s">
        <v>171</v>
      </c>
      <c r="AM583" s="1" t="s">
        <v>2932</v>
      </c>
      <c r="AN583" s="1" t="n">
        <v>1988</v>
      </c>
      <c r="AO583" s="37" t="n">
        <f aca="false">(AN583/Q583)*100</f>
        <v>1.39096850030086</v>
      </c>
      <c r="AP583" s="37" t="s">
        <v>197</v>
      </c>
      <c r="AQ583" s="1" t="s">
        <v>197</v>
      </c>
      <c r="AR583" s="1" t="s">
        <v>2933</v>
      </c>
      <c r="AS583" s="1" t="n">
        <v>1528</v>
      </c>
      <c r="AT583" s="37" t="n">
        <f aca="false">(AS583/Q583)*100</f>
        <v>1.06911462196163</v>
      </c>
    </row>
    <row r="584" customFormat="false" ht="12.8" hidden="false" customHeight="true" outlineLevel="0" collapsed="false">
      <c r="A584" s="35" t="n">
        <v>2011</v>
      </c>
      <c r="B584" s="36" t="n">
        <v>106</v>
      </c>
      <c r="C584" s="1" t="s">
        <v>722</v>
      </c>
      <c r="D584" s="1" t="s">
        <v>676</v>
      </c>
      <c r="E584" s="1" t="s">
        <v>586</v>
      </c>
      <c r="F584" s="1" t="s">
        <v>645</v>
      </c>
      <c r="G584" s="1" t="s">
        <v>77</v>
      </c>
      <c r="H584" s="1" t="s">
        <v>51</v>
      </c>
      <c r="I584" s="1" t="s">
        <v>51</v>
      </c>
      <c r="J584" s="1" t="s">
        <v>51</v>
      </c>
      <c r="K584" s="1" t="s">
        <v>68</v>
      </c>
      <c r="L584" s="1" t="s">
        <v>51</v>
      </c>
      <c r="M584" s="1" t="s">
        <v>68</v>
      </c>
      <c r="N584" s="1" t="s">
        <v>68</v>
      </c>
      <c r="O584" s="1" t="s">
        <v>51</v>
      </c>
      <c r="P584" s="1" t="n">
        <v>209023</v>
      </c>
      <c r="Q584" s="1" t="n">
        <v>174184</v>
      </c>
      <c r="R584" s="37" t="n">
        <f aca="false">(Q584/P584)*100</f>
        <v>83.3324562368735</v>
      </c>
      <c r="S584" s="1" t="n">
        <f aca="false">Y584-AD584</f>
        <v>41912</v>
      </c>
      <c r="T584" s="37" t="n">
        <f aca="false">(S584/Q584)*100</f>
        <v>24.0619115418179</v>
      </c>
      <c r="U584" s="37" t="n">
        <f aca="false">Z584+AE584</f>
        <v>84.8711707160244</v>
      </c>
      <c r="V584" s="1" t="s">
        <v>55</v>
      </c>
      <c r="W584" s="1" t="s">
        <v>68</v>
      </c>
      <c r="X584" s="1" t="s">
        <v>1930</v>
      </c>
      <c r="Y584" s="1" t="n">
        <v>94872</v>
      </c>
      <c r="Z584" s="37" t="n">
        <f aca="false">(Y584/Q584)*100</f>
        <v>54.4665411289211</v>
      </c>
      <c r="AA584" s="1" t="s">
        <v>52</v>
      </c>
      <c r="AB584" s="1" t="s">
        <v>2887</v>
      </c>
      <c r="AC584" s="1" t="s">
        <v>1933</v>
      </c>
      <c r="AD584" s="1" t="n">
        <v>52960</v>
      </c>
      <c r="AE584" s="37" t="n">
        <f aca="false">(AD584/Q584)*100</f>
        <v>30.4046295871033</v>
      </c>
      <c r="AF584" s="1" t="s">
        <v>197</v>
      </c>
      <c r="AG584" s="1" t="s">
        <v>197</v>
      </c>
      <c r="AH584" s="1" t="s">
        <v>2934</v>
      </c>
      <c r="AI584" s="1" t="n">
        <v>10095</v>
      </c>
      <c r="AJ584" s="37" t="n">
        <f aca="false">(AI584/Q584)*100</f>
        <v>5.79559546226978</v>
      </c>
      <c r="AK584" s="1" t="s">
        <v>1431</v>
      </c>
      <c r="AL584" s="1" t="s">
        <v>171</v>
      </c>
      <c r="AM584" s="1" t="s">
        <v>2935</v>
      </c>
      <c r="AN584" s="1" t="n">
        <v>3408</v>
      </c>
      <c r="AO584" s="37" t="n">
        <f aca="false">(AN584/Q584)*100</f>
        <v>1.95655169246314</v>
      </c>
      <c r="AP584" s="37" t="s">
        <v>197</v>
      </c>
      <c r="AQ584" s="1" t="s">
        <v>197</v>
      </c>
      <c r="AR584" s="1" t="s">
        <v>2936</v>
      </c>
      <c r="AS584" s="1" t="n">
        <v>2349</v>
      </c>
      <c r="AT584" s="37" t="n">
        <f aca="false">(AS584/Q584)*100</f>
        <v>1.34857392182979</v>
      </c>
    </row>
    <row r="585" customFormat="false" ht="12.8" hidden="false" customHeight="true" outlineLevel="0" collapsed="false">
      <c r="A585" s="35" t="n">
        <v>2011</v>
      </c>
      <c r="B585" s="36" t="n">
        <v>107</v>
      </c>
      <c r="C585" s="1" t="s">
        <v>728</v>
      </c>
      <c r="D585" s="1" t="s">
        <v>676</v>
      </c>
      <c r="E585" s="1" t="s">
        <v>586</v>
      </c>
      <c r="F585" s="1" t="s">
        <v>645</v>
      </c>
      <c r="G585" s="1" t="s">
        <v>50</v>
      </c>
      <c r="H585" s="1" t="s">
        <v>65</v>
      </c>
      <c r="I585" s="1" t="s">
        <v>51</v>
      </c>
      <c r="J585" s="1" t="s">
        <v>51</v>
      </c>
      <c r="K585" s="1" t="s">
        <v>51</v>
      </c>
      <c r="L585" s="1" t="s">
        <v>68</v>
      </c>
      <c r="M585" s="1" t="s">
        <v>51</v>
      </c>
      <c r="N585" s="1" t="s">
        <v>68</v>
      </c>
      <c r="O585" s="1" t="s">
        <v>51</v>
      </c>
      <c r="P585" s="1" t="n">
        <v>199502</v>
      </c>
      <c r="Q585" s="1" t="n">
        <v>163511</v>
      </c>
      <c r="R585" s="37" t="n">
        <f aca="false">(Q585/P585)*100</f>
        <v>81.9595793525879</v>
      </c>
      <c r="S585" s="1" t="n">
        <f aca="false">Y585-AD585</f>
        <v>19403</v>
      </c>
      <c r="T585" s="37" t="n">
        <f aca="false">(S585/Q585)*100</f>
        <v>11.8664799310138</v>
      </c>
      <c r="U585" s="37" t="n">
        <f aca="false">Z585+AE585</f>
        <v>89.5211942927387</v>
      </c>
      <c r="V585" s="1" t="s">
        <v>55</v>
      </c>
      <c r="W585" s="1" t="s">
        <v>392</v>
      </c>
      <c r="X585" s="1" t="s">
        <v>1937</v>
      </c>
      <c r="Y585" s="1" t="n">
        <v>82890</v>
      </c>
      <c r="Z585" s="37" t="n">
        <f aca="false">(Y585/Q585)*100</f>
        <v>50.6938371118763</v>
      </c>
      <c r="AA585" s="1" t="s">
        <v>52</v>
      </c>
      <c r="AB585" s="1" t="s">
        <v>53</v>
      </c>
      <c r="AC585" s="1" t="s">
        <v>2937</v>
      </c>
      <c r="AD585" s="1" t="n">
        <v>63487</v>
      </c>
      <c r="AE585" s="37" t="n">
        <f aca="false">(AD585/Q585)*100</f>
        <v>38.8273571808625</v>
      </c>
      <c r="AF585" s="1" t="s">
        <v>1431</v>
      </c>
      <c r="AG585" s="1" t="s">
        <v>171</v>
      </c>
      <c r="AH585" s="1" t="s">
        <v>2938</v>
      </c>
      <c r="AI585" s="1" t="n">
        <v>4440</v>
      </c>
      <c r="AJ585" s="37" t="n">
        <f aca="false">(AI585/Q585)*100</f>
        <v>2.71541364189565</v>
      </c>
      <c r="AK585" s="37" t="s">
        <v>197</v>
      </c>
      <c r="AL585" s="1" t="s">
        <v>197</v>
      </c>
      <c r="AM585" s="1" t="s">
        <v>2939</v>
      </c>
      <c r="AN585" s="1" t="n">
        <v>2848</v>
      </c>
      <c r="AO585" s="37" t="n">
        <f aca="false">(AN585/Q585)*100</f>
        <v>1.7417788405673</v>
      </c>
      <c r="AP585" s="1" t="s">
        <v>85</v>
      </c>
      <c r="AQ585" s="1" t="s">
        <v>85</v>
      </c>
      <c r="AR585" s="1" t="s">
        <v>2940</v>
      </c>
      <c r="AS585" s="1" t="n">
        <v>2287</v>
      </c>
      <c r="AT585" s="37" t="n">
        <f aca="false">(AS585/Q585)*100</f>
        <v>1.39868265743589</v>
      </c>
    </row>
    <row r="586" customFormat="false" ht="12.8" hidden="false" customHeight="true" outlineLevel="0" collapsed="false">
      <c r="A586" s="35" t="n">
        <v>2011</v>
      </c>
      <c r="B586" s="36" t="n">
        <v>108</v>
      </c>
      <c r="C586" s="1" t="s">
        <v>734</v>
      </c>
      <c r="D586" s="1" t="s">
        <v>735</v>
      </c>
      <c r="E586" s="1" t="s">
        <v>586</v>
      </c>
      <c r="F586" s="1" t="s">
        <v>736</v>
      </c>
      <c r="G586" s="1" t="s">
        <v>77</v>
      </c>
      <c r="H586" s="1" t="s">
        <v>51</v>
      </c>
      <c r="I586" s="1" t="s">
        <v>316</v>
      </c>
      <c r="J586" s="1" t="s">
        <v>51</v>
      </c>
      <c r="K586" s="1" t="s">
        <v>51</v>
      </c>
      <c r="L586" s="1" t="s">
        <v>51</v>
      </c>
      <c r="M586" s="1" t="s">
        <v>51</v>
      </c>
      <c r="N586" s="1" t="s">
        <v>66</v>
      </c>
      <c r="O586" s="1" t="s">
        <v>51</v>
      </c>
      <c r="P586" s="1" t="n">
        <v>172086</v>
      </c>
      <c r="Q586" s="1" t="n">
        <v>122675</v>
      </c>
      <c r="R586" s="37" t="n">
        <f aca="false">(Q586/P586)*100</f>
        <v>71.2870309031531</v>
      </c>
      <c r="S586" s="1" t="n">
        <f aca="false">Y586-AD586</f>
        <v>7545</v>
      </c>
      <c r="T586" s="37" t="n">
        <f aca="false">(S586/Q586)*100</f>
        <v>6.15039739148156</v>
      </c>
      <c r="U586" s="37" t="n">
        <f aca="false">Z586+AE586</f>
        <v>94.2857142857143</v>
      </c>
      <c r="V586" s="1" t="s">
        <v>55</v>
      </c>
      <c r="W586" s="1" t="s">
        <v>68</v>
      </c>
      <c r="X586" s="1" t="s">
        <v>2941</v>
      </c>
      <c r="Y586" s="1" t="n">
        <v>61605</v>
      </c>
      <c r="Z586" s="37" t="n">
        <f aca="false">(Y586/Q586)*100</f>
        <v>50.2180558385979</v>
      </c>
      <c r="AA586" s="1" t="s">
        <v>52</v>
      </c>
      <c r="AB586" s="1" t="s">
        <v>66</v>
      </c>
      <c r="AC586" s="1" t="s">
        <v>1939</v>
      </c>
      <c r="AD586" s="1" t="n">
        <v>54060</v>
      </c>
      <c r="AE586" s="37" t="n">
        <f aca="false">(AD586/Q586)*100</f>
        <v>44.0676584471164</v>
      </c>
      <c r="AF586" s="1" t="s">
        <v>1431</v>
      </c>
      <c r="AG586" s="1" t="s">
        <v>171</v>
      </c>
      <c r="AH586" s="1" t="s">
        <v>1950</v>
      </c>
      <c r="AI586" s="1" t="n">
        <v>2716</v>
      </c>
      <c r="AJ586" s="37" t="n">
        <f aca="false">(AI586/Q586)*100</f>
        <v>2.21398002853067</v>
      </c>
      <c r="AK586" s="37" t="s">
        <v>197</v>
      </c>
      <c r="AL586" s="1" t="s">
        <v>197</v>
      </c>
      <c r="AM586" s="1" t="s">
        <v>2942</v>
      </c>
      <c r="AN586" s="1" t="n">
        <v>1743</v>
      </c>
      <c r="AO586" s="37" t="n">
        <f aca="false">(AN586/Q586)*100</f>
        <v>1.42082738944365</v>
      </c>
      <c r="AP586" s="37" t="s">
        <v>197</v>
      </c>
      <c r="AQ586" s="1" t="s">
        <v>197</v>
      </c>
      <c r="AR586" s="1" t="s">
        <v>2943</v>
      </c>
      <c r="AS586" s="1" t="n">
        <v>590</v>
      </c>
      <c r="AT586" s="37" t="n">
        <f aca="false">(AS586/Q586)*100</f>
        <v>0.480945587935602</v>
      </c>
    </row>
    <row r="587" customFormat="false" ht="12.8" hidden="false" customHeight="true" outlineLevel="0" collapsed="false">
      <c r="A587" s="35" t="n">
        <v>2011</v>
      </c>
      <c r="B587" s="36" t="n">
        <v>109</v>
      </c>
      <c r="C587" s="1" t="s">
        <v>741</v>
      </c>
      <c r="D587" s="1" t="s">
        <v>735</v>
      </c>
      <c r="E587" s="1" t="s">
        <v>586</v>
      </c>
      <c r="F587" s="1" t="s">
        <v>736</v>
      </c>
      <c r="G587" s="1" t="s">
        <v>77</v>
      </c>
      <c r="H587" s="1" t="s">
        <v>65</v>
      </c>
      <c r="I587" s="1" t="s">
        <v>316</v>
      </c>
      <c r="J587" s="1" t="s">
        <v>51</v>
      </c>
      <c r="K587" s="1" t="s">
        <v>51</v>
      </c>
      <c r="L587" s="1" t="s">
        <v>51</v>
      </c>
      <c r="M587" s="1" t="s">
        <v>51</v>
      </c>
      <c r="N587" s="1" t="s">
        <v>51</v>
      </c>
      <c r="O587" s="1" t="s">
        <v>51</v>
      </c>
      <c r="P587" s="1" t="n">
        <v>159402</v>
      </c>
      <c r="Q587" s="1" t="n">
        <v>113985</v>
      </c>
      <c r="R587" s="37" t="n">
        <f aca="false">(Q587/P587)*100</f>
        <v>71.5078857228893</v>
      </c>
      <c r="S587" s="1" t="n">
        <f aca="false">Y587-AD587</f>
        <v>27374</v>
      </c>
      <c r="T587" s="37" t="n">
        <f aca="false">(S587/Q587)*100</f>
        <v>24.0154406281528</v>
      </c>
      <c r="U587" s="37" t="n">
        <f aca="false">Z587+AE587</f>
        <v>93.3175417818134</v>
      </c>
      <c r="V587" s="1" t="s">
        <v>52</v>
      </c>
      <c r="W587" s="1" t="s">
        <v>53</v>
      </c>
      <c r="X587" s="1" t="s">
        <v>1943</v>
      </c>
      <c r="Y587" s="1" t="n">
        <v>66871</v>
      </c>
      <c r="Z587" s="37" t="n">
        <f aca="false">(Y587/Q587)*100</f>
        <v>58.6664912049831</v>
      </c>
      <c r="AA587" s="1" t="s">
        <v>55</v>
      </c>
      <c r="AB587" s="1" t="s">
        <v>61</v>
      </c>
      <c r="AC587" s="1" t="s">
        <v>2371</v>
      </c>
      <c r="AD587" s="1" t="n">
        <v>39497</v>
      </c>
      <c r="AE587" s="37" t="n">
        <f aca="false">(AD587/Q587)*100</f>
        <v>34.6510505768303</v>
      </c>
      <c r="AF587" s="1" t="s">
        <v>1431</v>
      </c>
      <c r="AG587" s="1" t="s">
        <v>171</v>
      </c>
      <c r="AH587" s="1" t="s">
        <v>2944</v>
      </c>
      <c r="AI587" s="1" t="n">
        <v>3741</v>
      </c>
      <c r="AJ587" s="37" t="n">
        <f aca="false">(AI587/Q587)*100</f>
        <v>3.28201079089354</v>
      </c>
      <c r="AK587" s="37" t="s">
        <v>197</v>
      </c>
      <c r="AL587" s="1" t="s">
        <v>197</v>
      </c>
      <c r="AM587" s="1" t="s">
        <v>2945</v>
      </c>
      <c r="AN587" s="1" t="n">
        <v>2288</v>
      </c>
      <c r="AO587" s="37" t="n">
        <f aca="false">(AN587/Q587)*100</f>
        <v>2.00728165986753</v>
      </c>
      <c r="AP587" s="37" t="s">
        <v>197</v>
      </c>
      <c r="AQ587" s="1" t="s">
        <v>197</v>
      </c>
      <c r="AR587" s="1" t="s">
        <v>2946</v>
      </c>
      <c r="AS587" s="1" t="n">
        <v>1588</v>
      </c>
      <c r="AT587" s="37" t="n">
        <f aca="false">(AS587/Q587)*100</f>
        <v>1.39316576742554</v>
      </c>
    </row>
    <row r="588" customFormat="false" ht="12.8" hidden="false" customHeight="true" outlineLevel="0" collapsed="false">
      <c r="A588" s="35" t="n">
        <v>2011</v>
      </c>
      <c r="B588" s="36" t="n">
        <v>110</v>
      </c>
      <c r="C588" s="1" t="s">
        <v>746</v>
      </c>
      <c r="D588" s="1" t="s">
        <v>735</v>
      </c>
      <c r="E588" s="1" t="s">
        <v>586</v>
      </c>
      <c r="F588" s="1" t="s">
        <v>736</v>
      </c>
      <c r="G588" s="1" t="s">
        <v>77</v>
      </c>
      <c r="H588" s="1" t="s">
        <v>51</v>
      </c>
      <c r="I588" s="1" t="s">
        <v>51</v>
      </c>
      <c r="J588" s="1" t="s">
        <v>51</v>
      </c>
      <c r="K588" s="1" t="s">
        <v>51</v>
      </c>
      <c r="L588" s="1" t="s">
        <v>51</v>
      </c>
      <c r="M588" s="1" t="s">
        <v>51</v>
      </c>
      <c r="N588" s="1" t="s">
        <v>53</v>
      </c>
      <c r="O588" s="1" t="s">
        <v>51</v>
      </c>
      <c r="P588" s="1" t="n">
        <v>165620</v>
      </c>
      <c r="Q588" s="1" t="n">
        <v>121015</v>
      </c>
      <c r="R588" s="37" t="n">
        <f aca="false">(Q588/P588)*100</f>
        <v>73.0678661997343</v>
      </c>
      <c r="S588" s="1" t="n">
        <f aca="false">Y588-AD588</f>
        <v>9292</v>
      </c>
      <c r="T588" s="37" t="n">
        <f aca="false">(S588/Q588)*100</f>
        <v>7.67838697682106</v>
      </c>
      <c r="U588" s="37" t="n">
        <f aca="false">Z588+AE588</f>
        <v>93.6346733875966</v>
      </c>
      <c r="V588" s="1" t="s">
        <v>52</v>
      </c>
      <c r="W588" s="1" t="s">
        <v>53</v>
      </c>
      <c r="X588" s="1" t="s">
        <v>2947</v>
      </c>
      <c r="Y588" s="1" t="n">
        <v>61302</v>
      </c>
      <c r="Z588" s="37" t="n">
        <f aca="false">(Y588/Q588)*100</f>
        <v>50.6565301822088</v>
      </c>
      <c r="AA588" s="1" t="s">
        <v>55</v>
      </c>
      <c r="AB588" s="1" t="s">
        <v>392</v>
      </c>
      <c r="AC588" s="1" t="s">
        <v>2948</v>
      </c>
      <c r="AD588" s="1" t="n">
        <v>52010</v>
      </c>
      <c r="AE588" s="37" t="n">
        <f aca="false">(AD588/Q588)*100</f>
        <v>42.9781432053878</v>
      </c>
      <c r="AF588" s="1" t="s">
        <v>1431</v>
      </c>
      <c r="AG588" s="1" t="s">
        <v>171</v>
      </c>
      <c r="AH588" s="1" t="s">
        <v>2949</v>
      </c>
      <c r="AI588" s="1" t="n">
        <v>3040</v>
      </c>
      <c r="AJ588" s="37" t="n">
        <f aca="false">(AI588/Q588)*100</f>
        <v>2.51208527868446</v>
      </c>
      <c r="AK588" s="37" t="s">
        <v>197</v>
      </c>
      <c r="AL588" s="1" t="s">
        <v>197</v>
      </c>
      <c r="AM588" s="1" t="s">
        <v>808</v>
      </c>
      <c r="AN588" s="1" t="n">
        <v>1231</v>
      </c>
      <c r="AO588" s="37" t="n">
        <f aca="false">(AN588/Q588)*100</f>
        <v>1.01722926909887</v>
      </c>
      <c r="AP588" s="37" t="s">
        <v>197</v>
      </c>
      <c r="AQ588" s="1" t="s">
        <v>197</v>
      </c>
      <c r="AR588" s="1" t="s">
        <v>2950</v>
      </c>
      <c r="AS588" s="1" t="n">
        <v>871</v>
      </c>
      <c r="AT588" s="37" t="n">
        <f aca="false">(AS588/Q588)*100</f>
        <v>0.719745486096765</v>
      </c>
    </row>
    <row r="589" customFormat="false" ht="12.8" hidden="false" customHeight="true" outlineLevel="0" collapsed="false">
      <c r="A589" s="35" t="n">
        <v>2011</v>
      </c>
      <c r="B589" s="36" t="n">
        <v>111</v>
      </c>
      <c r="C589" s="1" t="s">
        <v>752</v>
      </c>
      <c r="D589" s="1" t="s">
        <v>753</v>
      </c>
      <c r="E589" s="1" t="s">
        <v>586</v>
      </c>
      <c r="F589" s="1" t="s">
        <v>754</v>
      </c>
      <c r="G589" s="1" t="s">
        <v>77</v>
      </c>
      <c r="H589" s="1" t="s">
        <v>51</v>
      </c>
      <c r="I589" s="1" t="s">
        <v>51</v>
      </c>
      <c r="J589" s="1" t="s">
        <v>51</v>
      </c>
      <c r="K589" s="1" t="s">
        <v>51</v>
      </c>
      <c r="L589" s="1" t="s">
        <v>68</v>
      </c>
      <c r="M589" s="1" t="s">
        <v>68</v>
      </c>
      <c r="N589" s="1" t="s">
        <v>51</v>
      </c>
      <c r="O589" s="1" t="s">
        <v>51</v>
      </c>
      <c r="P589" s="1" t="n">
        <v>211799</v>
      </c>
      <c r="Q589" s="1" t="n">
        <v>171836</v>
      </c>
      <c r="R589" s="37" t="n">
        <f aca="false">(Q589/P589)*100</f>
        <v>81.1316389595796</v>
      </c>
      <c r="S589" s="1" t="n">
        <f aca="false">Y589-AD589</f>
        <v>25775</v>
      </c>
      <c r="T589" s="37" t="n">
        <f aca="false">(S589/Q589)*100</f>
        <v>14.9997672199074</v>
      </c>
      <c r="U589" s="37" t="n">
        <f aca="false">Z589+AE589</f>
        <v>94.0577061849671</v>
      </c>
      <c r="V589" s="1" t="s">
        <v>55</v>
      </c>
      <c r="W589" s="1" t="s">
        <v>68</v>
      </c>
      <c r="X589" s="1" t="s">
        <v>1952</v>
      </c>
      <c r="Y589" s="1" t="n">
        <v>93700</v>
      </c>
      <c r="Z589" s="37" t="n">
        <f aca="false">(Y589/Q589)*100</f>
        <v>54.5287367024372</v>
      </c>
      <c r="AA589" s="1" t="s">
        <v>52</v>
      </c>
      <c r="AB589" s="1" t="s">
        <v>53</v>
      </c>
      <c r="AC589" s="1" t="s">
        <v>2951</v>
      </c>
      <c r="AD589" s="1" t="n">
        <v>67925</v>
      </c>
      <c r="AE589" s="37" t="n">
        <f aca="false">(AD589/Q589)*100</f>
        <v>39.5289694825299</v>
      </c>
      <c r="AF589" s="1" t="s">
        <v>1431</v>
      </c>
      <c r="AG589" s="1" t="s">
        <v>171</v>
      </c>
      <c r="AH589" s="1" t="s">
        <v>2952</v>
      </c>
      <c r="AI589" s="1" t="n">
        <v>5647</v>
      </c>
      <c r="AJ589" s="37" t="n">
        <f aca="false">(AI589/Q589)*100</f>
        <v>3.28627295793664</v>
      </c>
      <c r="AK589" s="37" t="s">
        <v>197</v>
      </c>
      <c r="AL589" s="1" t="s">
        <v>2953</v>
      </c>
      <c r="AM589" s="1" t="s">
        <v>2954</v>
      </c>
      <c r="AN589" s="1" t="n">
        <v>1433</v>
      </c>
      <c r="AO589" s="37" t="n">
        <f aca="false">(AN589/Q589)*100</f>
        <v>0.833934681906003</v>
      </c>
      <c r="AP589" s="37" t="s">
        <v>197</v>
      </c>
      <c r="AQ589" s="1" t="s">
        <v>197</v>
      </c>
      <c r="AR589" s="1" t="s">
        <v>2955</v>
      </c>
      <c r="AS589" s="1" t="n">
        <v>1382</v>
      </c>
      <c r="AT589" s="37" t="n">
        <f aca="false">(AS589/Q589)*100</f>
        <v>0.804255220093578</v>
      </c>
    </row>
    <row r="590" customFormat="false" ht="12.8" hidden="false" customHeight="true" outlineLevel="0" collapsed="false">
      <c r="A590" s="35" t="n">
        <v>2011</v>
      </c>
      <c r="B590" s="36" t="n">
        <v>112</v>
      </c>
      <c r="C590" s="1" t="s">
        <v>759</v>
      </c>
      <c r="D590" s="1" t="s">
        <v>693</v>
      </c>
      <c r="E590" s="1" t="s">
        <v>586</v>
      </c>
      <c r="F590" s="1" t="s">
        <v>694</v>
      </c>
      <c r="G590" s="1" t="s">
        <v>77</v>
      </c>
      <c r="H590" s="1" t="s">
        <v>65</v>
      </c>
      <c r="I590" s="1" t="s">
        <v>51</v>
      </c>
      <c r="J590" s="1" t="s">
        <v>51</v>
      </c>
      <c r="K590" s="1" t="s">
        <v>51</v>
      </c>
      <c r="L590" s="1" t="s">
        <v>51</v>
      </c>
      <c r="M590" s="1" t="s">
        <v>68</v>
      </c>
      <c r="N590" s="1" t="s">
        <v>51</v>
      </c>
      <c r="O590" s="1" t="s">
        <v>51</v>
      </c>
      <c r="P590" s="1" t="n">
        <v>192750</v>
      </c>
      <c r="Q590" s="1" t="n">
        <v>154654</v>
      </c>
      <c r="R590" s="37" t="n">
        <f aca="false">(Q590/P590)*100</f>
        <v>80.2355382619974</v>
      </c>
      <c r="S590" s="1" t="n">
        <f aca="false">Y590-AD590</f>
        <v>61411</v>
      </c>
      <c r="T590" s="37" t="n">
        <f aca="false">(S590/Q590)*100</f>
        <v>39.7086399317186</v>
      </c>
      <c r="U590" s="37" t="n">
        <f aca="false">Z590+AE590</f>
        <v>93.4945103262767</v>
      </c>
      <c r="V590" s="1" t="s">
        <v>55</v>
      </c>
      <c r="W590" s="1" t="s">
        <v>68</v>
      </c>
      <c r="X590" s="1" t="s">
        <v>2956</v>
      </c>
      <c r="Y590" s="1" t="n">
        <v>103002</v>
      </c>
      <c r="Z590" s="37" t="n">
        <f aca="false">(Y590/Q590)*100</f>
        <v>66.6015751289976</v>
      </c>
      <c r="AA590" s="1" t="s">
        <v>52</v>
      </c>
      <c r="AB590" s="1" t="s">
        <v>66</v>
      </c>
      <c r="AC590" s="1" t="s">
        <v>2957</v>
      </c>
      <c r="AD590" s="1" t="n">
        <v>41591</v>
      </c>
      <c r="AE590" s="37" t="n">
        <f aca="false">(AD590/Q590)*100</f>
        <v>26.8929351972791</v>
      </c>
      <c r="AF590" s="1" t="s">
        <v>1431</v>
      </c>
      <c r="AG590" s="1" t="s">
        <v>171</v>
      </c>
      <c r="AH590" s="1" t="s">
        <v>2958</v>
      </c>
      <c r="AI590" s="1" t="n">
        <v>5405</v>
      </c>
      <c r="AJ590" s="37" t="n">
        <f aca="false">(AI590/Q590)*100</f>
        <v>3.49489828908402</v>
      </c>
      <c r="AK590" s="37" t="s">
        <v>197</v>
      </c>
      <c r="AL590" s="1" t="s">
        <v>197</v>
      </c>
      <c r="AM590" s="1" t="s">
        <v>2959</v>
      </c>
      <c r="AN590" s="1" t="n">
        <v>2798</v>
      </c>
      <c r="AO590" s="37" t="n">
        <f aca="false">(AN590/Q590)*100</f>
        <v>1.80919989137041</v>
      </c>
      <c r="AP590" s="37" t="s">
        <v>197</v>
      </c>
      <c r="AQ590" s="1" t="s">
        <v>197</v>
      </c>
      <c r="AR590" s="1" t="s">
        <v>2960</v>
      </c>
      <c r="AS590" s="1" t="n">
        <v>1858</v>
      </c>
      <c r="AT590" s="37" t="n">
        <f aca="false">(AS590/Q590)*100</f>
        <v>1.20139149326885</v>
      </c>
    </row>
    <row r="591" customFormat="false" ht="12.8" hidden="false" customHeight="true" outlineLevel="0" collapsed="false">
      <c r="A591" s="35" t="n">
        <v>2011</v>
      </c>
      <c r="B591" s="36" t="n">
        <v>113</v>
      </c>
      <c r="C591" s="1" t="s">
        <v>765</v>
      </c>
      <c r="D591" s="1" t="s">
        <v>693</v>
      </c>
      <c r="E591" s="1" t="s">
        <v>586</v>
      </c>
      <c r="F591" s="1" t="s">
        <v>694</v>
      </c>
      <c r="G591" s="1" t="s">
        <v>88</v>
      </c>
      <c r="H591" s="1" t="s">
        <v>51</v>
      </c>
      <c r="I591" s="1" t="s">
        <v>51</v>
      </c>
      <c r="J591" s="1" t="s">
        <v>51</v>
      </c>
      <c r="K591" s="1" t="s">
        <v>51</v>
      </c>
      <c r="L591" s="1" t="s">
        <v>51</v>
      </c>
      <c r="M591" s="1" t="s">
        <v>68</v>
      </c>
      <c r="N591" s="1" t="s">
        <v>51</v>
      </c>
      <c r="O591" s="1" t="s">
        <v>51</v>
      </c>
      <c r="P591" s="1" t="n">
        <v>216324</v>
      </c>
      <c r="Q591" s="1" t="n">
        <v>160907</v>
      </c>
      <c r="R591" s="37" t="n">
        <f aca="false">(Q591/P591)*100</f>
        <v>74.382407869677</v>
      </c>
      <c r="S591" s="1" t="n">
        <f aca="false">Y591-AD591</f>
        <v>73271</v>
      </c>
      <c r="T591" s="37" t="n">
        <f aca="false">(S591/Q591)*100</f>
        <v>45.5362414313858</v>
      </c>
      <c r="U591" s="37" t="n">
        <f aca="false">Z591+AE591</f>
        <v>95.7130516385241</v>
      </c>
      <c r="V591" s="1" t="s">
        <v>55</v>
      </c>
      <c r="W591" s="1" t="s">
        <v>68</v>
      </c>
      <c r="X591" s="1" t="s">
        <v>2961</v>
      </c>
      <c r="Y591" s="1" t="n">
        <v>113640</v>
      </c>
      <c r="Z591" s="37" t="n">
        <f aca="false">(Y591/Q591)*100</f>
        <v>70.624646534955</v>
      </c>
      <c r="AA591" s="1" t="s">
        <v>52</v>
      </c>
      <c r="AB591" s="1" t="s">
        <v>53</v>
      </c>
      <c r="AC591" s="1" t="s">
        <v>2962</v>
      </c>
      <c r="AD591" s="1" t="n">
        <v>40369</v>
      </c>
      <c r="AE591" s="37" t="n">
        <f aca="false">(AD591/Q591)*100</f>
        <v>25.0884051035691</v>
      </c>
      <c r="AF591" s="1" t="s">
        <v>1431</v>
      </c>
      <c r="AG591" s="1" t="s">
        <v>171</v>
      </c>
      <c r="AH591" s="1" t="s">
        <v>2963</v>
      </c>
      <c r="AI591" s="1" t="n">
        <v>3009</v>
      </c>
      <c r="AJ591" s="37" t="n">
        <f aca="false">(AI591/Q591)*100</f>
        <v>1.87002429975079</v>
      </c>
      <c r="AK591" s="37" t="s">
        <v>197</v>
      </c>
      <c r="AL591" s="1" t="s">
        <v>197</v>
      </c>
      <c r="AM591" s="1" t="s">
        <v>2964</v>
      </c>
      <c r="AN591" s="1" t="n">
        <v>1595</v>
      </c>
      <c r="AO591" s="37" t="n">
        <f aca="false">(AN591/Q591)*100</f>
        <v>0.991255818578434</v>
      </c>
      <c r="AP591" s="37" t="s">
        <v>197</v>
      </c>
      <c r="AQ591" s="1" t="s">
        <v>197</v>
      </c>
      <c r="AR591" s="1" t="s">
        <v>1577</v>
      </c>
      <c r="AS591" s="1" t="n">
        <v>847</v>
      </c>
      <c r="AT591" s="37" t="n">
        <f aca="false">(AS591/Q591)*100</f>
        <v>0.526391020900272</v>
      </c>
    </row>
    <row r="592" customFormat="false" ht="12.8" hidden="false" customHeight="true" outlineLevel="0" collapsed="false">
      <c r="A592" s="35" t="n">
        <v>2011</v>
      </c>
      <c r="B592" s="36" t="n">
        <v>114</v>
      </c>
      <c r="C592" s="1" t="s">
        <v>772</v>
      </c>
      <c r="D592" s="1" t="s">
        <v>693</v>
      </c>
      <c r="E592" s="1" t="s">
        <v>586</v>
      </c>
      <c r="F592" s="1" t="s">
        <v>694</v>
      </c>
      <c r="G592" s="1" t="s">
        <v>88</v>
      </c>
      <c r="H592" s="1" t="s">
        <v>51</v>
      </c>
      <c r="I592" s="1" t="s">
        <v>51</v>
      </c>
      <c r="J592" s="1" t="s">
        <v>51</v>
      </c>
      <c r="K592" s="1" t="s">
        <v>51</v>
      </c>
      <c r="L592" s="1" t="s">
        <v>51</v>
      </c>
      <c r="M592" s="1" t="s">
        <v>51</v>
      </c>
      <c r="N592" s="1" t="s">
        <v>51</v>
      </c>
      <c r="O592" s="1" t="s">
        <v>51</v>
      </c>
      <c r="P592" s="1" t="n">
        <v>167927</v>
      </c>
      <c r="Q592" s="1" t="n">
        <v>122375</v>
      </c>
      <c r="R592" s="37" t="n">
        <f aca="false">(Q592/P592)*100</f>
        <v>72.8739273612939</v>
      </c>
      <c r="S592" s="1" t="n">
        <f aca="false">Y592-AD592</f>
        <v>38303</v>
      </c>
      <c r="T592" s="37" t="n">
        <f aca="false">(S592/Q592)*100</f>
        <v>31.2996935648621</v>
      </c>
      <c r="U592" s="37" t="n">
        <f aca="false">Z592+AE592</f>
        <v>91.9673135852911</v>
      </c>
      <c r="V592" s="1" t="s">
        <v>55</v>
      </c>
      <c r="W592" s="1" t="s">
        <v>422</v>
      </c>
      <c r="X592" s="1" t="s">
        <v>1969</v>
      </c>
      <c r="Y592" s="1" t="n">
        <v>75424</v>
      </c>
      <c r="Z592" s="37" t="n">
        <f aca="false">(Y592/Q592)*100</f>
        <v>61.6335035750766</v>
      </c>
      <c r="AA592" s="1" t="s">
        <v>52</v>
      </c>
      <c r="AB592" s="1" t="s">
        <v>66</v>
      </c>
      <c r="AC592" s="1" t="s">
        <v>2946</v>
      </c>
      <c r="AD592" s="1" t="n">
        <v>37121</v>
      </c>
      <c r="AE592" s="37" t="n">
        <f aca="false">(AD592/Q592)*100</f>
        <v>30.3338100102145</v>
      </c>
      <c r="AF592" s="1" t="s">
        <v>1431</v>
      </c>
      <c r="AG592" s="1" t="s">
        <v>171</v>
      </c>
      <c r="AH592" s="1" t="s">
        <v>2965</v>
      </c>
      <c r="AI592" s="1" t="n">
        <v>4397</v>
      </c>
      <c r="AJ592" s="37" t="n">
        <f aca="false">(AI592/Q592)*100</f>
        <v>3.59305413687436</v>
      </c>
      <c r="AK592" s="1" t="s">
        <v>352</v>
      </c>
      <c r="AL592" s="1" t="s">
        <v>352</v>
      </c>
      <c r="AM592" s="1" t="s">
        <v>2966</v>
      </c>
      <c r="AN592" s="1" t="n">
        <v>2645</v>
      </c>
      <c r="AO592" s="37" t="n">
        <f aca="false">(AN592/Q592)*100</f>
        <v>2.16138917262513</v>
      </c>
      <c r="AP592" s="37" t="s">
        <v>197</v>
      </c>
      <c r="AQ592" s="1" t="s">
        <v>197</v>
      </c>
      <c r="AR592" s="1" t="s">
        <v>2967</v>
      </c>
      <c r="AS592" s="1" t="n">
        <v>944</v>
      </c>
      <c r="AT592" s="37" t="n">
        <f aca="false">(AS592/Q592)*100</f>
        <v>0.771399387129724</v>
      </c>
    </row>
    <row r="593" customFormat="false" ht="12.8" hidden="false" customHeight="true" outlineLevel="0" collapsed="false">
      <c r="A593" s="35" t="n">
        <v>2011</v>
      </c>
      <c r="B593" s="36" t="n">
        <v>115</v>
      </c>
      <c r="C593" s="1" t="s">
        <v>777</v>
      </c>
      <c r="D593" s="1" t="s">
        <v>693</v>
      </c>
      <c r="E593" s="1" t="s">
        <v>586</v>
      </c>
      <c r="F593" s="1" t="s">
        <v>694</v>
      </c>
      <c r="G593" s="1" t="s">
        <v>77</v>
      </c>
      <c r="H593" s="1" t="s">
        <v>51</v>
      </c>
      <c r="I593" s="1" t="s">
        <v>51</v>
      </c>
      <c r="J593" s="1" t="s">
        <v>51</v>
      </c>
      <c r="K593" s="1" t="s">
        <v>51</v>
      </c>
      <c r="L593" s="1" t="s">
        <v>51</v>
      </c>
      <c r="M593" s="1" t="s">
        <v>68</v>
      </c>
      <c r="N593" s="1" t="s">
        <v>51</v>
      </c>
      <c r="O593" s="1" t="s">
        <v>51</v>
      </c>
      <c r="P593" s="1" t="n">
        <v>228611</v>
      </c>
      <c r="Q593" s="1" t="n">
        <v>176910</v>
      </c>
      <c r="R593" s="37" t="n">
        <f aca="false">(Q593/P593)*100</f>
        <v>77.384727769005</v>
      </c>
      <c r="S593" s="1" t="n">
        <f aca="false">Y593-AD593</f>
        <v>69776</v>
      </c>
      <c r="T593" s="37" t="n">
        <f aca="false">(S593/Q593)*100</f>
        <v>39.4415239387259</v>
      </c>
      <c r="U593" s="37" t="n">
        <f aca="false">Z593+AE593</f>
        <v>94.1179130631394</v>
      </c>
      <c r="V593" s="1" t="s">
        <v>55</v>
      </c>
      <c r="W593" s="1" t="s">
        <v>68</v>
      </c>
      <c r="X593" s="1" t="s">
        <v>2968</v>
      </c>
      <c r="Y593" s="1" t="n">
        <v>118140</v>
      </c>
      <c r="Z593" s="37" t="n">
        <f aca="false">(Y593/Q593)*100</f>
        <v>66.7797185009327</v>
      </c>
      <c r="AA593" s="1" t="s">
        <v>52</v>
      </c>
      <c r="AB593" s="1" t="s">
        <v>2887</v>
      </c>
      <c r="AC593" s="1" t="s">
        <v>2969</v>
      </c>
      <c r="AD593" s="1" t="n">
        <v>48364</v>
      </c>
      <c r="AE593" s="37" t="n">
        <f aca="false">(AD593/Q593)*100</f>
        <v>27.3381945622068</v>
      </c>
      <c r="AF593" s="1" t="s">
        <v>1431</v>
      </c>
      <c r="AG593" s="1" t="s">
        <v>171</v>
      </c>
      <c r="AH593" s="1" t="s">
        <v>2970</v>
      </c>
      <c r="AI593" s="1" t="n">
        <v>4423</v>
      </c>
      <c r="AJ593" s="37" t="n">
        <f aca="false">(AI593/Q593)*100</f>
        <v>2.50014131479283</v>
      </c>
      <c r="AK593" s="37" t="s">
        <v>197</v>
      </c>
      <c r="AL593" s="1" t="s">
        <v>197</v>
      </c>
      <c r="AM593" s="1" t="s">
        <v>2865</v>
      </c>
      <c r="AN593" s="1" t="n">
        <v>2693</v>
      </c>
      <c r="AO593" s="37" t="n">
        <f aca="false">(AN593/Q593)*100</f>
        <v>1.52224294839184</v>
      </c>
      <c r="AP593" s="37" t="s">
        <v>197</v>
      </c>
      <c r="AQ593" s="1" t="s">
        <v>197</v>
      </c>
      <c r="AR593" s="1" t="s">
        <v>2971</v>
      </c>
      <c r="AS593" s="1" t="n">
        <v>1819</v>
      </c>
      <c r="AT593" s="37" t="n">
        <f aca="false">(AS593/Q593)*100</f>
        <v>1.02820643264937</v>
      </c>
    </row>
    <row r="594" customFormat="false" ht="12.8" hidden="false" customHeight="true" outlineLevel="0" collapsed="false">
      <c r="A594" s="35" t="n">
        <v>2011</v>
      </c>
      <c r="B594" s="36" t="n">
        <v>116</v>
      </c>
      <c r="C594" s="1" t="s">
        <v>783</v>
      </c>
      <c r="D594" s="1" t="s">
        <v>753</v>
      </c>
      <c r="E594" s="1" t="s">
        <v>586</v>
      </c>
      <c r="F594" s="1" t="s">
        <v>754</v>
      </c>
      <c r="G594" s="1" t="s">
        <v>77</v>
      </c>
      <c r="H594" s="1" t="s">
        <v>51</v>
      </c>
      <c r="I594" s="1" t="s">
        <v>51</v>
      </c>
      <c r="J594" s="1" t="s">
        <v>51</v>
      </c>
      <c r="K594" s="1" t="s">
        <v>51</v>
      </c>
      <c r="L594" s="1" t="s">
        <v>51</v>
      </c>
      <c r="M594" s="1" t="s">
        <v>51</v>
      </c>
      <c r="N594" s="1" t="s">
        <v>51</v>
      </c>
      <c r="O594" s="1" t="s">
        <v>51</v>
      </c>
      <c r="P594" s="1" t="n">
        <v>211574</v>
      </c>
      <c r="Q594" s="1" t="n">
        <v>169588</v>
      </c>
      <c r="R594" s="37" t="n">
        <f aca="false">(Q594/P594)*100</f>
        <v>80.1554066189607</v>
      </c>
      <c r="S594" s="1" t="n">
        <f aca="false">Y594-AD594</f>
        <v>29532</v>
      </c>
      <c r="T594" s="37" t="n">
        <f aca="false">(S594/Q594)*100</f>
        <v>17.4139679694318</v>
      </c>
      <c r="U594" s="37" t="n">
        <f aca="false">Z594+AE594</f>
        <v>87.1689034601505</v>
      </c>
      <c r="V594" s="1" t="s">
        <v>55</v>
      </c>
      <c r="W594" s="1" t="s">
        <v>61</v>
      </c>
      <c r="X594" s="1" t="s">
        <v>1979</v>
      </c>
      <c r="Y594" s="1" t="n">
        <v>88680</v>
      </c>
      <c r="Z594" s="37" t="n">
        <f aca="false">(Y594/Q594)*100</f>
        <v>52.2914357147912</v>
      </c>
      <c r="AA594" s="1" t="s">
        <v>52</v>
      </c>
      <c r="AB594" s="1" t="s">
        <v>2887</v>
      </c>
      <c r="AC594" s="1" t="s">
        <v>2972</v>
      </c>
      <c r="AD594" s="1" t="n">
        <v>59148</v>
      </c>
      <c r="AE594" s="37" t="n">
        <f aca="false">(AD594/Q594)*100</f>
        <v>34.8774677453593</v>
      </c>
      <c r="AF594" s="1" t="s">
        <v>197</v>
      </c>
      <c r="AG594" s="1" t="s">
        <v>197</v>
      </c>
      <c r="AH594" s="1" t="s">
        <v>2973</v>
      </c>
      <c r="AI594" s="1" t="n">
        <v>7285</v>
      </c>
      <c r="AJ594" s="37" t="n">
        <f aca="false">(AI594/Q594)*100</f>
        <v>4.29570488477958</v>
      </c>
      <c r="AK594" s="1" t="s">
        <v>1431</v>
      </c>
      <c r="AL594" s="1" t="s">
        <v>171</v>
      </c>
      <c r="AM594" s="1" t="s">
        <v>2946</v>
      </c>
      <c r="AN594" s="1" t="n">
        <v>4353</v>
      </c>
      <c r="AO594" s="37" t="n">
        <f aca="false">(AN594/Q594)*100</f>
        <v>2.56680897233295</v>
      </c>
      <c r="AP594" s="1" t="s">
        <v>197</v>
      </c>
      <c r="AQ594" s="1" t="s">
        <v>197</v>
      </c>
      <c r="AR594" s="1" t="s">
        <v>2974</v>
      </c>
      <c r="AS594" s="1" t="n">
        <v>3053</v>
      </c>
      <c r="AT594" s="37" t="n">
        <f aca="false">(AS594/Q594)*100</f>
        <v>1.80024530037503</v>
      </c>
    </row>
    <row r="595" customFormat="false" ht="12.8" hidden="false" customHeight="true" outlineLevel="0" collapsed="false">
      <c r="A595" s="35" t="n">
        <v>2011</v>
      </c>
      <c r="B595" s="36" t="n">
        <v>117</v>
      </c>
      <c r="C595" s="1" t="s">
        <v>789</v>
      </c>
      <c r="D595" s="1" t="s">
        <v>753</v>
      </c>
      <c r="E595" s="1" t="s">
        <v>586</v>
      </c>
      <c r="F595" s="1" t="s">
        <v>754</v>
      </c>
      <c r="G595" s="1" t="s">
        <v>88</v>
      </c>
      <c r="H595" s="1" t="s">
        <v>51</v>
      </c>
      <c r="I595" s="1" t="s">
        <v>51</v>
      </c>
      <c r="J595" s="1" t="s">
        <v>51</v>
      </c>
      <c r="K595" s="1" t="s">
        <v>51</v>
      </c>
      <c r="L595" s="1" t="s">
        <v>51</v>
      </c>
      <c r="M595" s="1" t="s">
        <v>68</v>
      </c>
      <c r="N595" s="1" t="s">
        <v>51</v>
      </c>
      <c r="O595" s="1" t="s">
        <v>51</v>
      </c>
      <c r="P595" s="1" t="n">
        <v>294632</v>
      </c>
      <c r="Q595" s="1" t="n">
        <v>216785</v>
      </c>
      <c r="R595" s="37" t="n">
        <f aca="false">(Q595/P595)*100</f>
        <v>73.5782263976758</v>
      </c>
      <c r="S595" s="1" t="n">
        <f aca="false">Y595-AD595</f>
        <v>69260</v>
      </c>
      <c r="T595" s="37" t="n">
        <f aca="false">(S595/Q595)*100</f>
        <v>31.9487049380723</v>
      </c>
      <c r="U595" s="37" t="n">
        <f aca="false">Z595+AE595</f>
        <v>94.4973130059737</v>
      </c>
      <c r="V595" s="1" t="s">
        <v>55</v>
      </c>
      <c r="W595" s="1" t="s">
        <v>68</v>
      </c>
      <c r="X595" s="1" t="s">
        <v>1981</v>
      </c>
      <c r="Y595" s="1" t="n">
        <v>137058</v>
      </c>
      <c r="Z595" s="37" t="n">
        <f aca="false">(Y595/Q595)*100</f>
        <v>63.223008972023</v>
      </c>
      <c r="AA595" s="1" t="s">
        <v>52</v>
      </c>
      <c r="AB595" s="1" t="s">
        <v>53</v>
      </c>
      <c r="AC595" s="1" t="s">
        <v>2975</v>
      </c>
      <c r="AD595" s="1" t="n">
        <v>67798</v>
      </c>
      <c r="AE595" s="37" t="n">
        <f aca="false">(AD595/Q595)*100</f>
        <v>31.2743040339507</v>
      </c>
      <c r="AF595" s="1" t="s">
        <v>1431</v>
      </c>
      <c r="AG595" s="1" t="s">
        <v>171</v>
      </c>
      <c r="AH595" s="1" t="s">
        <v>1983</v>
      </c>
      <c r="AI595" s="1" t="n">
        <v>6175</v>
      </c>
      <c r="AJ595" s="37" t="n">
        <f aca="false">(AI595/Q595)*100</f>
        <v>2.84844431118389</v>
      </c>
      <c r="AK595" s="37" t="s">
        <v>197</v>
      </c>
      <c r="AL595" s="1" t="s">
        <v>197</v>
      </c>
      <c r="AM595" s="1" t="s">
        <v>2976</v>
      </c>
      <c r="AN595" s="1" t="n">
        <v>1749</v>
      </c>
      <c r="AO595" s="37" t="n">
        <f aca="false">(AN595/Q595)*100</f>
        <v>0.806790137694029</v>
      </c>
      <c r="AP595" s="37" t="s">
        <v>197</v>
      </c>
      <c r="AQ595" s="1" t="s">
        <v>197</v>
      </c>
      <c r="AR595" s="1" t="s">
        <v>2977</v>
      </c>
      <c r="AS595" s="1" t="n">
        <v>1436</v>
      </c>
      <c r="AT595" s="37" t="n">
        <f aca="false">(AS595/Q595)*100</f>
        <v>0.662407454390295</v>
      </c>
    </row>
    <row r="596" customFormat="false" ht="12.8" hidden="false" customHeight="true" outlineLevel="0" collapsed="false">
      <c r="A596" s="35" t="n">
        <v>2011</v>
      </c>
      <c r="B596" s="36" t="n">
        <v>118</v>
      </c>
      <c r="C596" s="1" t="s">
        <v>794</v>
      </c>
      <c r="D596" s="1" t="s">
        <v>753</v>
      </c>
      <c r="E596" s="1" t="s">
        <v>586</v>
      </c>
      <c r="F596" s="1" t="s">
        <v>754</v>
      </c>
      <c r="G596" s="1" t="s">
        <v>88</v>
      </c>
      <c r="H596" s="1" t="s">
        <v>51</v>
      </c>
      <c r="I596" s="1" t="s">
        <v>51</v>
      </c>
      <c r="J596" s="1" t="s">
        <v>51</v>
      </c>
      <c r="K596" s="1" t="s">
        <v>51</v>
      </c>
      <c r="L596" s="1" t="s">
        <v>51</v>
      </c>
      <c r="M596" s="1" t="s">
        <v>68</v>
      </c>
      <c r="N596" s="1" t="s">
        <v>51</v>
      </c>
      <c r="O596" s="1" t="s">
        <v>51</v>
      </c>
      <c r="P596" s="1" t="n">
        <v>221863</v>
      </c>
      <c r="Q596" s="1" t="n">
        <v>155282</v>
      </c>
      <c r="R596" s="37" t="n">
        <f aca="false">(Q596/P596)*100</f>
        <v>69.9900388978784</v>
      </c>
      <c r="S596" s="1" t="n">
        <f aca="false">Y596-AD596</f>
        <v>40098</v>
      </c>
      <c r="T596" s="37" t="n">
        <f aca="false">(S596/Q596)*100</f>
        <v>25.8226967710359</v>
      </c>
      <c r="U596" s="37" t="n">
        <f aca="false">Z596+AE596</f>
        <v>94.3148594170606</v>
      </c>
      <c r="V596" s="1" t="s">
        <v>55</v>
      </c>
      <c r="W596" s="1" t="s">
        <v>68</v>
      </c>
      <c r="X596" s="1" t="s">
        <v>2978</v>
      </c>
      <c r="Y596" s="1" t="n">
        <v>93276</v>
      </c>
      <c r="Z596" s="37" t="n">
        <f aca="false">(Y596/Q596)*100</f>
        <v>60.0687780940483</v>
      </c>
      <c r="AA596" s="1" t="s">
        <v>52</v>
      </c>
      <c r="AB596" s="1" t="s">
        <v>53</v>
      </c>
      <c r="AC596" s="1" t="s">
        <v>2979</v>
      </c>
      <c r="AD596" s="1" t="n">
        <v>53178</v>
      </c>
      <c r="AE596" s="37" t="n">
        <f aca="false">(AD596/Q596)*100</f>
        <v>34.2460813230123</v>
      </c>
      <c r="AF596" s="1" t="s">
        <v>1431</v>
      </c>
      <c r="AG596" s="1" t="s">
        <v>171</v>
      </c>
      <c r="AH596" s="1" t="s">
        <v>2980</v>
      </c>
      <c r="AI596" s="1" t="n">
        <v>4910</v>
      </c>
      <c r="AJ596" s="37" t="n">
        <f aca="false">(AI596/Q596)*100</f>
        <v>3.16198915521438</v>
      </c>
      <c r="AK596" s="37" t="s">
        <v>197</v>
      </c>
      <c r="AL596" s="1" t="s">
        <v>2512</v>
      </c>
      <c r="AM596" s="1" t="s">
        <v>2981</v>
      </c>
      <c r="AN596" s="1" t="n">
        <v>1887</v>
      </c>
      <c r="AO596" s="37" t="n">
        <f aca="false">(AN596/Q596)*100</f>
        <v>1.21520845944797</v>
      </c>
      <c r="AP596" s="37" t="s">
        <v>197</v>
      </c>
      <c r="AQ596" s="1" t="s">
        <v>2685</v>
      </c>
      <c r="AR596" s="1" t="s">
        <v>2982</v>
      </c>
      <c r="AS596" s="1" t="n">
        <v>975</v>
      </c>
      <c r="AT596" s="37" t="n">
        <f aca="false">(AS596/Q596)*100</f>
        <v>0.627889903530351</v>
      </c>
    </row>
    <row r="597" customFormat="false" ht="12.8" hidden="false" customHeight="true" outlineLevel="0" collapsed="false">
      <c r="A597" s="35" t="n">
        <v>2011</v>
      </c>
      <c r="B597" s="36" t="n">
        <v>119</v>
      </c>
      <c r="C597" s="1" t="s">
        <v>799</v>
      </c>
      <c r="D597" s="1" t="s">
        <v>753</v>
      </c>
      <c r="E597" s="1" t="s">
        <v>586</v>
      </c>
      <c r="F597" s="1" t="s">
        <v>754</v>
      </c>
      <c r="G597" s="1" t="s">
        <v>77</v>
      </c>
      <c r="H597" s="1" t="s">
        <v>51</v>
      </c>
      <c r="I597" s="1" t="s">
        <v>51</v>
      </c>
      <c r="J597" s="1" t="s">
        <v>51</v>
      </c>
      <c r="K597" s="1" t="s">
        <v>68</v>
      </c>
      <c r="L597" s="1" t="s">
        <v>51</v>
      </c>
      <c r="M597" s="1" t="s">
        <v>68</v>
      </c>
      <c r="N597" s="1" t="s">
        <v>51</v>
      </c>
      <c r="O597" s="1" t="s">
        <v>51</v>
      </c>
      <c r="P597" s="1" t="n">
        <v>213185</v>
      </c>
      <c r="Q597" s="1" t="n">
        <v>160248</v>
      </c>
      <c r="R597" s="37" t="n">
        <f aca="false">(Q597/P597)*100</f>
        <v>75.168515608509</v>
      </c>
      <c r="S597" s="1" t="n">
        <f aca="false">Y597-AD597</f>
        <v>53203</v>
      </c>
      <c r="T597" s="37" t="n">
        <f aca="false">(S597/Q597)*100</f>
        <v>33.2004143577455</v>
      </c>
      <c r="U597" s="37" t="n">
        <f aca="false">Z597+AE597</f>
        <v>91.4638560231641</v>
      </c>
      <c r="V597" s="1" t="s">
        <v>55</v>
      </c>
      <c r="W597" s="1" t="s">
        <v>68</v>
      </c>
      <c r="X597" s="1" t="s">
        <v>1988</v>
      </c>
      <c r="Y597" s="1" t="n">
        <v>99886</v>
      </c>
      <c r="Z597" s="37" t="n">
        <f aca="false">(Y597/Q597)*100</f>
        <v>62.3321351904548</v>
      </c>
      <c r="AA597" s="1" t="s">
        <v>52</v>
      </c>
      <c r="AB597" s="1" t="s">
        <v>66</v>
      </c>
      <c r="AC597" s="1" t="s">
        <v>2983</v>
      </c>
      <c r="AD597" s="1" t="n">
        <v>46683</v>
      </c>
      <c r="AE597" s="37" t="n">
        <f aca="false">(AD597/Q597)*100</f>
        <v>29.1317208327093</v>
      </c>
      <c r="AF597" s="1" t="s">
        <v>1431</v>
      </c>
      <c r="AG597" s="1" t="s">
        <v>171</v>
      </c>
      <c r="AH597" s="1" t="s">
        <v>2984</v>
      </c>
      <c r="AI597" s="1" t="n">
        <v>5581</v>
      </c>
      <c r="AJ597" s="37" t="n">
        <f aca="false">(AI597/Q597)*100</f>
        <v>3.48272677350107</v>
      </c>
      <c r="AK597" s="37" t="s">
        <v>352</v>
      </c>
      <c r="AL597" s="1" t="s">
        <v>352</v>
      </c>
      <c r="AM597" s="1" t="s">
        <v>2985</v>
      </c>
      <c r="AN597" s="1" t="n">
        <v>4519</v>
      </c>
      <c r="AO597" s="37" t="n">
        <f aca="false">(AN597/Q597)*100</f>
        <v>2.8200039938096</v>
      </c>
      <c r="AP597" s="37" t="s">
        <v>197</v>
      </c>
      <c r="AQ597" s="1" t="s">
        <v>2512</v>
      </c>
      <c r="AR597" s="1" t="s">
        <v>2986</v>
      </c>
      <c r="AS597" s="1" t="n">
        <v>932</v>
      </c>
      <c r="AT597" s="37" t="n">
        <f aca="false">(AS597/Q597)*100</f>
        <v>0.58159852229045</v>
      </c>
    </row>
    <row r="598" customFormat="false" ht="12.8" hidden="false" customHeight="true" outlineLevel="0" collapsed="false">
      <c r="A598" s="35" t="n">
        <v>2011</v>
      </c>
      <c r="B598" s="36" t="n">
        <v>120</v>
      </c>
      <c r="C598" s="1" t="s">
        <v>804</v>
      </c>
      <c r="D598" s="1" t="s">
        <v>753</v>
      </c>
      <c r="E598" s="1" t="s">
        <v>586</v>
      </c>
      <c r="F598" s="1" t="s">
        <v>754</v>
      </c>
      <c r="G598" s="1" t="s">
        <v>88</v>
      </c>
      <c r="H598" s="1" t="s">
        <v>51</v>
      </c>
      <c r="I598" s="1" t="s">
        <v>51</v>
      </c>
      <c r="J598" s="1" t="s">
        <v>51</v>
      </c>
      <c r="K598" s="1" t="s">
        <v>51</v>
      </c>
      <c r="L598" s="1" t="s">
        <v>51</v>
      </c>
      <c r="M598" s="1" t="s">
        <v>51</v>
      </c>
      <c r="N598" s="1" t="s">
        <v>51</v>
      </c>
      <c r="O598" s="1" t="s">
        <v>51</v>
      </c>
      <c r="P598" s="1" t="n">
        <v>200261</v>
      </c>
      <c r="Q598" s="1" t="n">
        <v>143369</v>
      </c>
      <c r="R598" s="37" t="n">
        <f aca="false">(Q598/P598)*100</f>
        <v>71.5910736488882</v>
      </c>
      <c r="S598" s="1" t="n">
        <f aca="false">Y598-AD598</f>
        <v>27796</v>
      </c>
      <c r="T598" s="37" t="n">
        <f aca="false">(S598/Q598)*100</f>
        <v>19.3877337499738</v>
      </c>
      <c r="U598" s="37" t="n">
        <f aca="false">Z598+AE598</f>
        <v>93.1010190487483</v>
      </c>
      <c r="V598" s="1" t="s">
        <v>55</v>
      </c>
      <c r="W598" s="1" t="s">
        <v>68</v>
      </c>
      <c r="X598" s="1" t="s">
        <v>2987</v>
      </c>
      <c r="Y598" s="1" t="n">
        <v>80637</v>
      </c>
      <c r="Z598" s="37" t="n">
        <f aca="false">(Y598/Q598)*100</f>
        <v>56.2443763993611</v>
      </c>
      <c r="AA598" s="1" t="s">
        <v>52</v>
      </c>
      <c r="AB598" s="41" t="s">
        <v>53</v>
      </c>
      <c r="AC598" s="1" t="s">
        <v>2988</v>
      </c>
      <c r="AD598" s="1" t="n">
        <v>52841</v>
      </c>
      <c r="AE598" s="37" t="n">
        <f aca="false">(AD598/Q598)*100</f>
        <v>36.8566426493873</v>
      </c>
      <c r="AF598" s="1" t="s">
        <v>1431</v>
      </c>
      <c r="AG598" s="1" t="s">
        <v>171</v>
      </c>
      <c r="AH598" s="1" t="s">
        <v>2989</v>
      </c>
      <c r="AI598" s="1" t="n">
        <v>5177</v>
      </c>
      <c r="AJ598" s="37" t="n">
        <f aca="false">(AI598/Q598)*100</f>
        <v>3.61096192342836</v>
      </c>
      <c r="AK598" s="37" t="s">
        <v>197</v>
      </c>
      <c r="AL598" s="1" t="s">
        <v>2512</v>
      </c>
      <c r="AM598" s="1" t="s">
        <v>2990</v>
      </c>
      <c r="AN598" s="1" t="n">
        <v>1765</v>
      </c>
      <c r="AO598" s="37" t="n">
        <f aca="false">(AN598/Q598)*100</f>
        <v>1.23108900808403</v>
      </c>
      <c r="AP598" s="1" t="s">
        <v>179</v>
      </c>
      <c r="AQ598" s="1" t="s">
        <v>179</v>
      </c>
      <c r="AR598" s="1" t="s">
        <v>2991</v>
      </c>
      <c r="AS598" s="1" t="n">
        <v>573</v>
      </c>
      <c r="AT598" s="37" t="n">
        <f aca="false">(AS598/Q598)*100</f>
        <v>0.399667989593287</v>
      </c>
    </row>
    <row r="599" customFormat="false" ht="12.8" hidden="false" customHeight="true" outlineLevel="0" collapsed="false">
      <c r="A599" s="35" t="n">
        <v>2011</v>
      </c>
      <c r="B599" s="36" t="n">
        <v>121</v>
      </c>
      <c r="C599" s="1" t="s">
        <v>809</v>
      </c>
      <c r="D599" s="1" t="s">
        <v>753</v>
      </c>
      <c r="E599" s="1" t="s">
        <v>586</v>
      </c>
      <c r="F599" s="1" t="s">
        <v>754</v>
      </c>
      <c r="G599" s="1" t="s">
        <v>88</v>
      </c>
      <c r="H599" s="1" t="s">
        <v>51</v>
      </c>
      <c r="I599" s="1" t="s">
        <v>51</v>
      </c>
      <c r="J599" s="1" t="s">
        <v>51</v>
      </c>
      <c r="K599" s="1" t="s">
        <v>51</v>
      </c>
      <c r="L599" s="1" t="s">
        <v>51</v>
      </c>
      <c r="M599" s="1" t="s">
        <v>51</v>
      </c>
      <c r="N599" s="1" t="s">
        <v>51</v>
      </c>
      <c r="O599" s="1" t="s">
        <v>51</v>
      </c>
      <c r="P599" s="1" t="n">
        <v>230350</v>
      </c>
      <c r="Q599" s="1" t="n">
        <v>159148</v>
      </c>
      <c r="R599" s="37" t="n">
        <f aca="false">(Q599/P599)*100</f>
        <v>69.0896461905796</v>
      </c>
      <c r="S599" s="1" t="n">
        <f aca="false">Y599-AD599</f>
        <v>34326</v>
      </c>
      <c r="T599" s="37" t="n">
        <f aca="false">(S599/Q599)*100</f>
        <v>21.5686028099631</v>
      </c>
      <c r="U599" s="37" t="n">
        <f aca="false">Z599+AE599</f>
        <v>90.8889838389424</v>
      </c>
      <c r="V599" s="1" t="s">
        <v>55</v>
      </c>
      <c r="W599" s="1" t="s">
        <v>68</v>
      </c>
      <c r="X599" s="1" t="s">
        <v>1965</v>
      </c>
      <c r="Y599" s="1" t="n">
        <v>89487</v>
      </c>
      <c r="Z599" s="37" t="n">
        <f aca="false">(Y599/Q599)*100</f>
        <v>56.2287933244527</v>
      </c>
      <c r="AA599" s="1" t="s">
        <v>52</v>
      </c>
      <c r="AB599" s="1" t="s">
        <v>66</v>
      </c>
      <c r="AC599" s="1" t="s">
        <v>2992</v>
      </c>
      <c r="AD599" s="1" t="n">
        <v>55161</v>
      </c>
      <c r="AE599" s="37" t="n">
        <f aca="false">(AD599/Q599)*100</f>
        <v>34.6601905144897</v>
      </c>
      <c r="AF599" s="1" t="s">
        <v>1431</v>
      </c>
      <c r="AG599" s="1" t="s">
        <v>171</v>
      </c>
      <c r="AH599" s="1" t="s">
        <v>1667</v>
      </c>
      <c r="AI599" s="1" t="n">
        <v>8142</v>
      </c>
      <c r="AJ599" s="37" t="n">
        <f aca="false">(AI599/Q599)*100</f>
        <v>5.1159926609194</v>
      </c>
      <c r="AK599" s="37" t="s">
        <v>197</v>
      </c>
      <c r="AL599" s="1" t="s">
        <v>2512</v>
      </c>
      <c r="AM599" s="1" t="s">
        <v>2993</v>
      </c>
      <c r="AN599" s="1" t="n">
        <v>1983</v>
      </c>
      <c r="AO599" s="37" t="n">
        <f aca="false">(AN599/Q599)*100</f>
        <v>1.2460100032674</v>
      </c>
      <c r="AP599" s="37" t="s">
        <v>197</v>
      </c>
      <c r="AQ599" s="1" t="s">
        <v>197</v>
      </c>
      <c r="AR599" s="1" t="s">
        <v>2994</v>
      </c>
      <c r="AS599" s="1" t="n">
        <v>1663</v>
      </c>
      <c r="AT599" s="37" t="n">
        <f aca="false">(AS599/Q599)*100</f>
        <v>1.04493930178199</v>
      </c>
    </row>
    <row r="600" customFormat="false" ht="12.8" hidden="false" customHeight="true" outlineLevel="0" collapsed="false">
      <c r="A600" s="35" t="n">
        <v>2011</v>
      </c>
      <c r="B600" s="36" t="n">
        <v>122</v>
      </c>
      <c r="C600" s="1" t="s">
        <v>814</v>
      </c>
      <c r="D600" s="1" t="s">
        <v>753</v>
      </c>
      <c r="E600" s="1" t="s">
        <v>586</v>
      </c>
      <c r="F600" s="1" t="s">
        <v>754</v>
      </c>
      <c r="G600" s="1" t="s">
        <v>50</v>
      </c>
      <c r="H600" s="1" t="s">
        <v>51</v>
      </c>
      <c r="I600" s="1" t="s">
        <v>51</v>
      </c>
      <c r="J600" s="1" t="s">
        <v>51</v>
      </c>
      <c r="K600" s="1" t="s">
        <v>68</v>
      </c>
      <c r="L600" s="43" t="s">
        <v>815</v>
      </c>
      <c r="M600" s="1" t="s">
        <v>68</v>
      </c>
      <c r="N600" s="1" t="s">
        <v>51</v>
      </c>
      <c r="O600" s="1" t="s">
        <v>51</v>
      </c>
      <c r="P600" s="1" t="n">
        <v>214627</v>
      </c>
      <c r="Q600" s="1" t="n">
        <v>167567</v>
      </c>
      <c r="R600" s="37" t="n">
        <f aca="false">(Q600/P600)*100</f>
        <v>78.0735881319685</v>
      </c>
      <c r="S600" s="1" t="n">
        <f aca="false">Y600-AD600</f>
        <v>30266</v>
      </c>
      <c r="T600" s="37" t="n">
        <f aca="false">(S600/Q600)*100</f>
        <v>18.0620289197754</v>
      </c>
      <c r="U600" s="37" t="n">
        <f aca="false">Z600+AE600</f>
        <v>94.2787064278766</v>
      </c>
      <c r="V600" s="1" t="s">
        <v>55</v>
      </c>
      <c r="W600" s="1" t="s">
        <v>68</v>
      </c>
      <c r="X600" s="1" t="s">
        <v>2995</v>
      </c>
      <c r="Y600" s="1" t="n">
        <v>94123</v>
      </c>
      <c r="Z600" s="37" t="n">
        <f aca="false">(Y600/Q600)*100</f>
        <v>56.170367673826</v>
      </c>
      <c r="AA600" s="1" t="s">
        <v>52</v>
      </c>
      <c r="AB600" s="1" t="s">
        <v>53</v>
      </c>
      <c r="AC600" s="1" t="s">
        <v>2996</v>
      </c>
      <c r="AD600" s="1" t="n">
        <v>63857</v>
      </c>
      <c r="AE600" s="37" t="n">
        <f aca="false">(AD600/Q600)*100</f>
        <v>38.1083387540506</v>
      </c>
      <c r="AF600" s="1" t="s">
        <v>1431</v>
      </c>
      <c r="AG600" s="1" t="s">
        <v>171</v>
      </c>
      <c r="AH600" s="1" t="s">
        <v>2997</v>
      </c>
      <c r="AI600" s="1" t="n">
        <v>4587</v>
      </c>
      <c r="AJ600" s="37" t="n">
        <f aca="false">(AI600/Q600)*100</f>
        <v>2.73741249768749</v>
      </c>
      <c r="AK600" s="37" t="s">
        <v>197</v>
      </c>
      <c r="AL600" s="1" t="s">
        <v>2512</v>
      </c>
      <c r="AM600" s="1" t="s">
        <v>2998</v>
      </c>
      <c r="AN600" s="1" t="n">
        <v>1737</v>
      </c>
      <c r="AO600" s="37" t="n">
        <f aca="false">(AN600/Q600)*100</f>
        <v>1.03660028525903</v>
      </c>
      <c r="AP600" s="37" t="s">
        <v>197</v>
      </c>
      <c r="AQ600" s="1" t="s">
        <v>197</v>
      </c>
      <c r="AR600" s="1" t="s">
        <v>2999</v>
      </c>
      <c r="AS600" s="1" t="n">
        <v>1592</v>
      </c>
      <c r="AT600" s="37" t="n">
        <f aca="false">(AS600/Q600)*100</f>
        <v>0.95006773410039</v>
      </c>
    </row>
    <row r="601" customFormat="false" ht="12.8" hidden="false" customHeight="true" outlineLevel="0" collapsed="false">
      <c r="A601" s="35" t="n">
        <v>2011</v>
      </c>
      <c r="B601" s="36" t="n">
        <v>123</v>
      </c>
      <c r="C601" s="1" t="s">
        <v>819</v>
      </c>
      <c r="D601" s="1" t="s">
        <v>753</v>
      </c>
      <c r="E601" s="1" t="s">
        <v>586</v>
      </c>
      <c r="F601" s="1" t="s">
        <v>754</v>
      </c>
      <c r="G601" s="1" t="s">
        <v>77</v>
      </c>
      <c r="H601" s="1" t="s">
        <v>51</v>
      </c>
      <c r="I601" s="1" t="s">
        <v>51</v>
      </c>
      <c r="J601" s="1" t="s">
        <v>51</v>
      </c>
      <c r="K601" s="1" t="s">
        <v>68</v>
      </c>
      <c r="L601" s="1" t="s">
        <v>51</v>
      </c>
      <c r="M601" s="1" t="s">
        <v>68</v>
      </c>
      <c r="N601" s="1" t="s">
        <v>68</v>
      </c>
      <c r="O601" s="1" t="s">
        <v>51</v>
      </c>
      <c r="P601" s="1" t="n">
        <v>177052</v>
      </c>
      <c r="Q601" s="1" t="n">
        <v>141747</v>
      </c>
      <c r="R601" s="37" t="n">
        <f aca="false">(Q601/P601)*100</f>
        <v>80.0595305334026</v>
      </c>
      <c r="S601" s="1" t="n">
        <f aca="false">Y601-AD601</f>
        <v>30308</v>
      </c>
      <c r="T601" s="37" t="n">
        <f aca="false">(S601/Q601)*100</f>
        <v>21.3817576386096</v>
      </c>
      <c r="U601" s="37" t="n">
        <f aca="false">Z601+AE601</f>
        <v>93.535665657827</v>
      </c>
      <c r="V601" s="1" t="s">
        <v>55</v>
      </c>
      <c r="W601" s="1" t="s">
        <v>68</v>
      </c>
      <c r="X601" s="1" t="s">
        <v>3000</v>
      </c>
      <c r="Y601" s="1" t="n">
        <v>81446</v>
      </c>
      <c r="Z601" s="37" t="n">
        <f aca="false">(Y601/Q601)*100</f>
        <v>57.4587116482183</v>
      </c>
      <c r="AA601" s="1" t="s">
        <v>52</v>
      </c>
      <c r="AB601" s="1" t="s">
        <v>2887</v>
      </c>
      <c r="AC601" s="1" t="s">
        <v>3001</v>
      </c>
      <c r="AD601" s="1" t="n">
        <v>51138</v>
      </c>
      <c r="AE601" s="37" t="n">
        <f aca="false">(AD601/Q601)*100</f>
        <v>36.0769540096087</v>
      </c>
      <c r="AF601" s="1" t="s">
        <v>1431</v>
      </c>
      <c r="AG601" s="1" t="s">
        <v>171</v>
      </c>
      <c r="AH601" s="1" t="s">
        <v>3002</v>
      </c>
      <c r="AI601" s="1" t="n">
        <v>3909</v>
      </c>
      <c r="AJ601" s="37" t="n">
        <f aca="false">(AI601/Q601)*100</f>
        <v>2.75773032233486</v>
      </c>
      <c r="AK601" s="1" t="s">
        <v>85</v>
      </c>
      <c r="AL601" s="1" t="s">
        <v>85</v>
      </c>
      <c r="AM601" s="1" t="s">
        <v>3003</v>
      </c>
      <c r="AN601" s="1" t="n">
        <v>1528</v>
      </c>
      <c r="AO601" s="37" t="n">
        <f aca="false">(AN601/Q601)*100</f>
        <v>1.07797695894798</v>
      </c>
      <c r="AP601" s="1" t="s">
        <v>197</v>
      </c>
      <c r="AQ601" s="1" t="s">
        <v>197</v>
      </c>
      <c r="AR601" s="1" t="s">
        <v>3004</v>
      </c>
      <c r="AS601" s="1" t="n">
        <v>1449</v>
      </c>
      <c r="AT601" s="37" t="n">
        <f aca="false">(AS601/Q601)*100</f>
        <v>1.02224385701285</v>
      </c>
    </row>
    <row r="602" customFormat="false" ht="12.8" hidden="false" customHeight="true" outlineLevel="0" collapsed="false">
      <c r="A602" s="35" t="n">
        <v>2011</v>
      </c>
      <c r="B602" s="36" t="n">
        <v>124</v>
      </c>
      <c r="C602" s="1" t="s">
        <v>824</v>
      </c>
      <c r="D602" s="1" t="s">
        <v>753</v>
      </c>
      <c r="E602" s="1" t="s">
        <v>586</v>
      </c>
      <c r="F602" s="1" t="s">
        <v>754</v>
      </c>
      <c r="G602" s="1" t="s">
        <v>77</v>
      </c>
      <c r="H602" s="1" t="s">
        <v>65</v>
      </c>
      <c r="I602" s="1" t="s">
        <v>51</v>
      </c>
      <c r="J602" s="1" t="s">
        <v>51</v>
      </c>
      <c r="K602" s="1" t="s">
        <v>51</v>
      </c>
      <c r="L602" s="1" t="s">
        <v>51</v>
      </c>
      <c r="M602" s="1" t="s">
        <v>51</v>
      </c>
      <c r="N602" s="1" t="s">
        <v>51</v>
      </c>
      <c r="O602" s="1" t="s">
        <v>51</v>
      </c>
      <c r="P602" s="1" t="n">
        <v>162159</v>
      </c>
      <c r="Q602" s="1" t="n">
        <v>124440</v>
      </c>
      <c r="R602" s="37" t="n">
        <f aca="false">(Q602/P602)*100</f>
        <v>76.7394964201802</v>
      </c>
      <c r="S602" s="1" t="n">
        <f aca="false">Y602-AD602</f>
        <v>3421</v>
      </c>
      <c r="T602" s="37" t="n">
        <f aca="false">(S602/Q602)*100</f>
        <v>2.74911603985857</v>
      </c>
      <c r="U602" s="37" t="n">
        <f aca="false">Z602+AE602</f>
        <v>95.564930890389</v>
      </c>
      <c r="V602" s="1" t="s">
        <v>55</v>
      </c>
      <c r="W602" s="1" t="s">
        <v>392</v>
      </c>
      <c r="X602" s="1" t="s">
        <v>3005</v>
      </c>
      <c r="Y602" s="1" t="n">
        <v>61171</v>
      </c>
      <c r="Z602" s="37" t="n">
        <f aca="false">(Y602/Q602)*100</f>
        <v>49.1570234651238</v>
      </c>
      <c r="AA602" s="1" t="s">
        <v>52</v>
      </c>
      <c r="AB602" s="1" t="s">
        <v>66</v>
      </c>
      <c r="AC602" s="1" t="s">
        <v>3006</v>
      </c>
      <c r="AD602" s="1" t="n">
        <v>57750</v>
      </c>
      <c r="AE602" s="37" t="n">
        <f aca="false">(AD602/Q602)*100</f>
        <v>46.4079074252652</v>
      </c>
      <c r="AF602" s="1" t="s">
        <v>1431</v>
      </c>
      <c r="AG602" s="1" t="s">
        <v>171</v>
      </c>
      <c r="AH602" s="1" t="s">
        <v>2012</v>
      </c>
      <c r="AI602" s="1" t="n">
        <v>2273</v>
      </c>
      <c r="AJ602" s="37" t="n">
        <f aca="false">(AI602/Q602)*100</f>
        <v>1.82658309225329</v>
      </c>
      <c r="AK602" s="37" t="s">
        <v>197</v>
      </c>
      <c r="AL602" s="1" t="s">
        <v>197</v>
      </c>
      <c r="AM602" s="1" t="s">
        <v>3007</v>
      </c>
      <c r="AN602" s="1" t="n">
        <v>1912</v>
      </c>
      <c r="AO602" s="37" t="n">
        <f aca="false">(AN602/Q602)*100</f>
        <v>1.53648344583735</v>
      </c>
      <c r="AP602" s="37" t="s">
        <v>197</v>
      </c>
      <c r="AQ602" s="1" t="s">
        <v>197</v>
      </c>
      <c r="AR602" s="1" t="s">
        <v>1959</v>
      </c>
      <c r="AS602" s="1" t="n">
        <v>787</v>
      </c>
      <c r="AT602" s="37" t="n">
        <f aca="false">(AS602/Q602)*100</f>
        <v>0.632433301189328</v>
      </c>
    </row>
    <row r="603" customFormat="false" ht="12.8" hidden="false" customHeight="true" outlineLevel="0" collapsed="false">
      <c r="A603" s="35" t="n">
        <v>2011</v>
      </c>
      <c r="B603" s="36" t="n">
        <v>125</v>
      </c>
      <c r="C603" s="1" t="s">
        <v>829</v>
      </c>
      <c r="D603" s="1" t="s">
        <v>693</v>
      </c>
      <c r="E603" s="1" t="s">
        <v>586</v>
      </c>
      <c r="F603" s="1" t="s">
        <v>694</v>
      </c>
      <c r="G603" s="1" t="s">
        <v>77</v>
      </c>
      <c r="H603" s="1" t="s">
        <v>51</v>
      </c>
      <c r="I603" s="1" t="s">
        <v>51</v>
      </c>
      <c r="J603" s="1" t="s">
        <v>51</v>
      </c>
      <c r="K603" s="1" t="s">
        <v>51</v>
      </c>
      <c r="L603" s="1" t="s">
        <v>51</v>
      </c>
      <c r="M603" s="1" t="s">
        <v>68</v>
      </c>
      <c r="N603" s="1" t="s">
        <v>51</v>
      </c>
      <c r="O603" s="1" t="s">
        <v>51</v>
      </c>
      <c r="P603" s="1" t="n">
        <v>200450</v>
      </c>
      <c r="Q603" s="1" t="n">
        <v>156845</v>
      </c>
      <c r="R603" s="37" t="n">
        <f aca="false">(Q603/P603)*100</f>
        <v>78.2464454976303</v>
      </c>
      <c r="S603" s="1" t="n">
        <f aca="false">Y603-AD603</f>
        <v>44560</v>
      </c>
      <c r="T603" s="37" t="n">
        <f aca="false">(S603/Q603)*100</f>
        <v>28.4102139054481</v>
      </c>
      <c r="U603" s="37" t="n">
        <f aca="false">Z603+AE603</f>
        <v>93.3367337180019</v>
      </c>
      <c r="V603" s="1" t="s">
        <v>55</v>
      </c>
      <c r="W603" s="1" t="s">
        <v>68</v>
      </c>
      <c r="X603" s="1" t="s">
        <v>3008</v>
      </c>
      <c r="Y603" s="1" t="n">
        <v>95477</v>
      </c>
      <c r="Z603" s="37" t="n">
        <f aca="false">(Y603/Q603)*100</f>
        <v>60.873473811725</v>
      </c>
      <c r="AA603" s="1" t="s">
        <v>52</v>
      </c>
      <c r="AB603" s="1" t="s">
        <v>2887</v>
      </c>
      <c r="AC603" s="1" t="s">
        <v>3009</v>
      </c>
      <c r="AD603" s="1" t="n">
        <v>50917</v>
      </c>
      <c r="AE603" s="37" t="n">
        <f aca="false">(AD603/Q603)*100</f>
        <v>32.4632599062769</v>
      </c>
      <c r="AF603" s="1" t="s">
        <v>1431</v>
      </c>
      <c r="AG603" s="1" t="s">
        <v>171</v>
      </c>
      <c r="AH603" s="1" t="s">
        <v>3010</v>
      </c>
      <c r="AI603" s="1" t="n">
        <v>3817</v>
      </c>
      <c r="AJ603" s="37" t="n">
        <f aca="false">(AI603/Q603)*100</f>
        <v>2.43361280244828</v>
      </c>
      <c r="AK603" s="37" t="s">
        <v>197</v>
      </c>
      <c r="AL603" s="1" t="s">
        <v>197</v>
      </c>
      <c r="AM603" s="1" t="s">
        <v>3011</v>
      </c>
      <c r="AN603" s="1" t="n">
        <v>2403</v>
      </c>
      <c r="AO603" s="37" t="n">
        <f aca="false">(AN603/Q603)*100</f>
        <v>1.53208581720807</v>
      </c>
      <c r="AP603" s="37" t="s">
        <v>197</v>
      </c>
      <c r="AQ603" s="1" t="s">
        <v>197</v>
      </c>
      <c r="AR603" s="1" t="s">
        <v>3012</v>
      </c>
      <c r="AS603" s="1" t="n">
        <v>1870</v>
      </c>
      <c r="AT603" s="37" t="n">
        <f aca="false">(AS603/Q603)*100</f>
        <v>1.19225987439829</v>
      </c>
    </row>
    <row r="604" customFormat="false" ht="12.8" hidden="false" customHeight="true" outlineLevel="0" collapsed="false">
      <c r="A604" s="35" t="n">
        <v>2011</v>
      </c>
      <c r="B604" s="36" t="n">
        <v>126</v>
      </c>
      <c r="C604" s="1" t="s">
        <v>834</v>
      </c>
      <c r="D604" s="1" t="s">
        <v>693</v>
      </c>
      <c r="E604" s="1" t="s">
        <v>586</v>
      </c>
      <c r="F604" s="1" t="s">
        <v>694</v>
      </c>
      <c r="G604" s="1" t="s">
        <v>50</v>
      </c>
      <c r="H604" s="1" t="s">
        <v>51</v>
      </c>
      <c r="I604" s="1" t="s">
        <v>51</v>
      </c>
      <c r="J604" s="1" t="s">
        <v>51</v>
      </c>
      <c r="K604" s="1" t="s">
        <v>51</v>
      </c>
      <c r="L604" s="1" t="s">
        <v>51</v>
      </c>
      <c r="M604" s="1" t="s">
        <v>51</v>
      </c>
      <c r="N604" s="1" t="s">
        <v>51</v>
      </c>
      <c r="O604" s="1" t="s">
        <v>51</v>
      </c>
      <c r="P604" s="1" t="n">
        <v>176351</v>
      </c>
      <c r="Q604" s="1" t="n">
        <v>143703</v>
      </c>
      <c r="R604" s="37" t="n">
        <f aca="false">(Q604/P604)*100</f>
        <v>81.4869209701108</v>
      </c>
      <c r="S604" s="1" t="n">
        <f aca="false">Y604-AD604</f>
        <v>19669</v>
      </c>
      <c r="T604" s="37" t="n">
        <f aca="false">(S604/Q604)*100</f>
        <v>13.6872577468807</v>
      </c>
      <c r="U604" s="37" t="n">
        <f aca="false">Z604+AE604</f>
        <v>95.7356492209627</v>
      </c>
      <c r="V604" s="1" t="s">
        <v>55</v>
      </c>
      <c r="W604" s="1" t="s">
        <v>68</v>
      </c>
      <c r="X604" s="1" t="s">
        <v>837</v>
      </c>
      <c r="Y604" s="1" t="n">
        <v>78622</v>
      </c>
      <c r="Z604" s="37" t="n">
        <f aca="false">(Y604/Q604)*100</f>
        <v>54.7114534839217</v>
      </c>
      <c r="AA604" s="1" t="s">
        <v>52</v>
      </c>
      <c r="AB604" s="1" t="s">
        <v>53</v>
      </c>
      <c r="AC604" s="1" t="s">
        <v>3013</v>
      </c>
      <c r="AD604" s="1" t="n">
        <v>58953</v>
      </c>
      <c r="AE604" s="37" t="n">
        <f aca="false">(AD604/Q604)*100</f>
        <v>41.024195737041</v>
      </c>
      <c r="AF604" s="1" t="s">
        <v>197</v>
      </c>
      <c r="AG604" s="1" t="s">
        <v>197</v>
      </c>
      <c r="AH604" s="1" t="s">
        <v>3014</v>
      </c>
      <c r="AI604" s="1" t="n">
        <v>1742</v>
      </c>
      <c r="AJ604" s="37" t="n">
        <f aca="false">(AI604/Q604)*100</f>
        <v>1.21222243098613</v>
      </c>
      <c r="AK604" s="1" t="s">
        <v>1431</v>
      </c>
      <c r="AL604" s="1" t="s">
        <v>171</v>
      </c>
      <c r="AM604" s="1" t="s">
        <v>3015</v>
      </c>
      <c r="AN604" s="1" t="n">
        <v>1166</v>
      </c>
      <c r="AO604" s="37" t="n">
        <f aca="false">(AN604/Q604)*100</f>
        <v>0.811395725906905</v>
      </c>
      <c r="AP604" s="37" t="s">
        <v>197</v>
      </c>
      <c r="AQ604" s="1" t="s">
        <v>197</v>
      </c>
      <c r="AR604" s="1" t="s">
        <v>3016</v>
      </c>
      <c r="AS604" s="1" t="n">
        <v>946</v>
      </c>
      <c r="AT604" s="37" t="n">
        <f aca="false">(AS604/Q604)*100</f>
        <v>0.658302192716923</v>
      </c>
    </row>
    <row r="605" customFormat="false" ht="12.8" hidden="false" customHeight="true" outlineLevel="0" collapsed="false">
      <c r="A605" s="35" t="n">
        <v>2011</v>
      </c>
      <c r="B605" s="36" t="n">
        <v>127</v>
      </c>
      <c r="C605" s="1" t="s">
        <v>236</v>
      </c>
      <c r="D605" s="1" t="s">
        <v>840</v>
      </c>
      <c r="E605" s="1" t="s">
        <v>586</v>
      </c>
      <c r="F605" s="1" t="s">
        <v>694</v>
      </c>
      <c r="G605" s="1" t="s">
        <v>77</v>
      </c>
      <c r="H605" s="1" t="s">
        <v>51</v>
      </c>
      <c r="I605" s="1" t="s">
        <v>51</v>
      </c>
      <c r="J605" s="1" t="s">
        <v>51</v>
      </c>
      <c r="K605" s="1" t="s">
        <v>51</v>
      </c>
      <c r="L605" s="1" t="s">
        <v>51</v>
      </c>
      <c r="M605" s="1" t="s">
        <v>51</v>
      </c>
      <c r="N605" s="1" t="s">
        <v>51</v>
      </c>
      <c r="O605" s="1" t="s">
        <v>51</v>
      </c>
      <c r="P605" s="1" t="n">
        <v>209823</v>
      </c>
      <c r="Q605" s="1" t="n">
        <v>169884</v>
      </c>
      <c r="R605" s="37" t="n">
        <f aca="false">(Q605/P605)*100</f>
        <v>80.9653851103073</v>
      </c>
      <c r="S605" s="1" t="n">
        <f aca="false">Y605-AD605</f>
        <v>1754</v>
      </c>
      <c r="T605" s="37" t="n">
        <f aca="false">(S605/Q605)*100</f>
        <v>1.0324692142874</v>
      </c>
      <c r="U605" s="37" t="n">
        <f aca="false">Z605+AE605</f>
        <v>95.5640319276683</v>
      </c>
      <c r="V605" s="1" t="s">
        <v>55</v>
      </c>
      <c r="W605" s="1" t="s">
        <v>68</v>
      </c>
      <c r="X605" s="1" t="s">
        <v>3017</v>
      </c>
      <c r="Y605" s="1" t="n">
        <v>82051</v>
      </c>
      <c r="Z605" s="37" t="n">
        <f aca="false">(Y605/Q605)*100</f>
        <v>48.2982505709779</v>
      </c>
      <c r="AA605" s="1" t="s">
        <v>52</v>
      </c>
      <c r="AB605" s="1" t="s">
        <v>53</v>
      </c>
      <c r="AC605" s="1" t="s">
        <v>2023</v>
      </c>
      <c r="AD605" s="1" t="n">
        <v>80297</v>
      </c>
      <c r="AE605" s="37" t="n">
        <f aca="false">(AD605/Q605)*100</f>
        <v>47.2657813566905</v>
      </c>
      <c r="AF605" s="1" t="s">
        <v>1431</v>
      </c>
      <c r="AG605" s="1" t="s">
        <v>171</v>
      </c>
      <c r="AH605" s="1" t="s">
        <v>3018</v>
      </c>
      <c r="AI605" s="1" t="n">
        <v>1745</v>
      </c>
      <c r="AJ605" s="37" t="n">
        <f aca="false">(AI605/Q605)*100</f>
        <v>1.02717148171694</v>
      </c>
      <c r="AK605" s="37" t="s">
        <v>197</v>
      </c>
      <c r="AL605" s="1" t="s">
        <v>197</v>
      </c>
      <c r="AM605" s="1" t="s">
        <v>3019</v>
      </c>
      <c r="AN605" s="1" t="n">
        <v>1442</v>
      </c>
      <c r="AO605" s="37" t="n">
        <f aca="false">(AN605/Q605)*100</f>
        <v>0.848814485178121</v>
      </c>
      <c r="AP605" s="37" t="s">
        <v>197</v>
      </c>
      <c r="AQ605" s="1" t="s">
        <v>197</v>
      </c>
      <c r="AR605" s="1" t="s">
        <v>2007</v>
      </c>
      <c r="AS605" s="1" t="n">
        <v>1066</v>
      </c>
      <c r="AT605" s="37" t="n">
        <f aca="false">(AS605/Q605)*100</f>
        <v>0.627486991123355</v>
      </c>
    </row>
    <row r="606" customFormat="false" ht="12.8" hidden="false" customHeight="true" outlineLevel="0" collapsed="false">
      <c r="A606" s="35" t="n">
        <v>2011</v>
      </c>
      <c r="B606" s="36" t="n">
        <v>128</v>
      </c>
      <c r="C606" s="1" t="s">
        <v>846</v>
      </c>
      <c r="D606" s="1" t="s">
        <v>840</v>
      </c>
      <c r="E606" s="1" t="s">
        <v>586</v>
      </c>
      <c r="F606" s="1" t="s">
        <v>694</v>
      </c>
      <c r="G606" s="1" t="s">
        <v>77</v>
      </c>
      <c r="H606" s="1" t="s">
        <v>51</v>
      </c>
      <c r="I606" s="1" t="s">
        <v>51</v>
      </c>
      <c r="J606" s="1" t="s">
        <v>51</v>
      </c>
      <c r="K606" s="1" t="s">
        <v>53</v>
      </c>
      <c r="L606" s="1" t="s">
        <v>51</v>
      </c>
      <c r="M606" s="1" t="s">
        <v>53</v>
      </c>
      <c r="N606" s="1" t="s">
        <v>51</v>
      </c>
      <c r="O606" s="1" t="s">
        <v>51</v>
      </c>
      <c r="P606" s="1" t="n">
        <v>195975</v>
      </c>
      <c r="Q606" s="1" t="n">
        <v>168785</v>
      </c>
      <c r="R606" s="37" t="n">
        <f aca="false">(Q606/P606)*100</f>
        <v>86.125781349662</v>
      </c>
      <c r="S606" s="1" t="n">
        <f aca="false">Y606-AD606</f>
        <v>14933</v>
      </c>
      <c r="T606" s="37" t="n">
        <f aca="false">(S606/Q606)*100</f>
        <v>8.84735017922209</v>
      </c>
      <c r="U606" s="37" t="n">
        <f aca="false">Z606+AE606</f>
        <v>95.1227893473946</v>
      </c>
      <c r="V606" s="1" t="s">
        <v>52</v>
      </c>
      <c r="W606" s="1" t="s">
        <v>53</v>
      </c>
      <c r="X606" s="1" t="s">
        <v>2027</v>
      </c>
      <c r="Y606" s="1" t="n">
        <v>87743</v>
      </c>
      <c r="Z606" s="37" t="n">
        <f aca="false">(Y606/Q606)*100</f>
        <v>51.9850697633084</v>
      </c>
      <c r="AA606" s="1" t="s">
        <v>55</v>
      </c>
      <c r="AB606" s="1" t="s">
        <v>68</v>
      </c>
      <c r="AC606" s="1" t="s">
        <v>3020</v>
      </c>
      <c r="AD606" s="1" t="n">
        <v>72810</v>
      </c>
      <c r="AE606" s="37" t="n">
        <f aca="false">(AD606/Q606)*100</f>
        <v>43.1377195840863</v>
      </c>
      <c r="AF606" s="1" t="s">
        <v>197</v>
      </c>
      <c r="AG606" s="1" t="s">
        <v>197</v>
      </c>
      <c r="AH606" s="1" t="s">
        <v>3021</v>
      </c>
      <c r="AI606" s="1" t="n">
        <v>3092</v>
      </c>
      <c r="AJ606" s="37" t="n">
        <f aca="false">(AI606/Q606)*100</f>
        <v>1.83191634327695</v>
      </c>
      <c r="AK606" s="1" t="s">
        <v>1431</v>
      </c>
      <c r="AL606" s="1" t="s">
        <v>171</v>
      </c>
      <c r="AM606" s="1" t="s">
        <v>2030</v>
      </c>
      <c r="AN606" s="1" t="n">
        <v>1708</v>
      </c>
      <c r="AO606" s="37" t="n">
        <f aca="false">(AN606/Q606)*100</f>
        <v>1.01193826465622</v>
      </c>
      <c r="AP606" s="1" t="s">
        <v>85</v>
      </c>
      <c r="AQ606" s="1" t="s">
        <v>85</v>
      </c>
      <c r="AR606" s="1" t="s">
        <v>3022</v>
      </c>
      <c r="AS606" s="1" t="n">
        <v>744</v>
      </c>
      <c r="AT606" s="37" t="n">
        <f aca="false">(AS606/Q606)*100</f>
        <v>0.440797464229641</v>
      </c>
    </row>
    <row r="607" customFormat="false" ht="12.8" hidden="false" customHeight="true" outlineLevel="0" collapsed="false">
      <c r="A607" s="35" t="n">
        <v>2011</v>
      </c>
      <c r="B607" s="36" t="n">
        <v>129</v>
      </c>
      <c r="C607" s="1" t="s">
        <v>851</v>
      </c>
      <c r="D607" s="1" t="s">
        <v>840</v>
      </c>
      <c r="E607" s="1" t="s">
        <v>586</v>
      </c>
      <c r="F607" s="1" t="s">
        <v>694</v>
      </c>
      <c r="G607" s="1" t="s">
        <v>50</v>
      </c>
      <c r="H607" s="1" t="s">
        <v>51</v>
      </c>
      <c r="I607" s="1" t="s">
        <v>316</v>
      </c>
      <c r="J607" s="1" t="s">
        <v>51</v>
      </c>
      <c r="K607" s="1" t="s">
        <v>53</v>
      </c>
      <c r="L607" s="1" t="s">
        <v>51</v>
      </c>
      <c r="M607" s="1" t="s">
        <v>53</v>
      </c>
      <c r="N607" s="1" t="s">
        <v>51</v>
      </c>
      <c r="O607" s="1" t="s">
        <v>51</v>
      </c>
      <c r="P607" s="1" t="n">
        <v>226859</v>
      </c>
      <c r="Q607" s="1" t="n">
        <v>189245</v>
      </c>
      <c r="R607" s="37" t="n">
        <f aca="false">(Q607/P607)*100</f>
        <v>83.4196571438647</v>
      </c>
      <c r="S607" s="1" t="n">
        <f aca="false">Y607-AD607</f>
        <v>53932</v>
      </c>
      <c r="T607" s="37" t="n">
        <f aca="false">(S607/Q607)*100</f>
        <v>28.4985072260826</v>
      </c>
      <c r="U607" s="37" t="n">
        <f aca="false">Z607+AE607</f>
        <v>90.6602552247087</v>
      </c>
      <c r="V607" s="1" t="s">
        <v>52</v>
      </c>
      <c r="W607" s="1" t="s">
        <v>53</v>
      </c>
      <c r="X607" s="1" t="s">
        <v>2031</v>
      </c>
      <c r="Y607" s="1" t="n">
        <v>112751</v>
      </c>
      <c r="Z607" s="37" t="n">
        <f aca="false">(Y607/Q607)*100</f>
        <v>59.5793812253957</v>
      </c>
      <c r="AA607" s="1" t="s">
        <v>55</v>
      </c>
      <c r="AB607" s="1" t="s">
        <v>61</v>
      </c>
      <c r="AC607" s="1" t="s">
        <v>3023</v>
      </c>
      <c r="AD607" s="1" t="n">
        <v>58819</v>
      </c>
      <c r="AE607" s="37" t="n">
        <f aca="false">(AD607/Q607)*100</f>
        <v>31.0808739993131</v>
      </c>
      <c r="AF607" s="1" t="s">
        <v>197</v>
      </c>
      <c r="AG607" s="1" t="s">
        <v>197</v>
      </c>
      <c r="AH607" s="1" t="s">
        <v>3023</v>
      </c>
      <c r="AI607" s="1" t="n">
        <v>6685</v>
      </c>
      <c r="AJ607" s="37" t="n">
        <f aca="false">(AI607/Q607)*100</f>
        <v>3.53245792491215</v>
      </c>
      <c r="AK607" s="37" t="s">
        <v>197</v>
      </c>
      <c r="AL607" s="1" t="s">
        <v>197</v>
      </c>
      <c r="AM607" s="1" t="s">
        <v>3024</v>
      </c>
      <c r="AN607" s="1" t="n">
        <v>3207</v>
      </c>
      <c r="AO607" s="37" t="n">
        <f aca="false">(AN607/Q607)*100</f>
        <v>1.69462865597506</v>
      </c>
      <c r="AP607" s="1" t="s">
        <v>1431</v>
      </c>
      <c r="AQ607" s="1" t="s">
        <v>171</v>
      </c>
      <c r="AR607" s="1" t="s">
        <v>3025</v>
      </c>
      <c r="AS607" s="1" t="n">
        <v>2233</v>
      </c>
      <c r="AT607" s="37" t="n">
        <f aca="false">(AS607/Q607)*100</f>
        <v>1.17995191418532</v>
      </c>
    </row>
    <row r="608" customFormat="false" ht="12.8" hidden="false" customHeight="true" outlineLevel="0" collapsed="false">
      <c r="A608" s="35" t="n">
        <v>2011</v>
      </c>
      <c r="B608" s="36" t="n">
        <v>130</v>
      </c>
      <c r="C608" s="1" t="s">
        <v>857</v>
      </c>
      <c r="D608" s="1" t="s">
        <v>840</v>
      </c>
      <c r="E608" s="1" t="s">
        <v>586</v>
      </c>
      <c r="F608" s="1" t="s">
        <v>694</v>
      </c>
      <c r="G608" s="1" t="s">
        <v>50</v>
      </c>
      <c r="H608" s="1" t="s">
        <v>65</v>
      </c>
      <c r="I608" s="1" t="s">
        <v>51</v>
      </c>
      <c r="J608" s="1" t="s">
        <v>51</v>
      </c>
      <c r="K608" s="1" t="s">
        <v>51</v>
      </c>
      <c r="L608" s="1" t="s">
        <v>51</v>
      </c>
      <c r="M608" s="1" t="s">
        <v>51</v>
      </c>
      <c r="N608" s="1" t="s">
        <v>51</v>
      </c>
      <c r="O608" s="1" t="s">
        <v>51</v>
      </c>
      <c r="P608" s="1" t="n">
        <v>181623</v>
      </c>
      <c r="Q608" s="1" t="n">
        <v>143243</v>
      </c>
      <c r="R608" s="37" t="n">
        <f aca="false">(Q608/P608)*100</f>
        <v>78.8683151362988</v>
      </c>
      <c r="S608" s="1" t="n">
        <f aca="false">Y608-AD608</f>
        <v>24714</v>
      </c>
      <c r="T608" s="37" t="n">
        <f aca="false">(S608/Q608)*100</f>
        <v>17.253199109206</v>
      </c>
      <c r="U608" s="37" t="n">
        <f aca="false">Z608+AE608</f>
        <v>87.6370922139302</v>
      </c>
      <c r="V608" s="1" t="s">
        <v>55</v>
      </c>
      <c r="W608" s="1" t="s">
        <v>1059</v>
      </c>
      <c r="X608" s="1" t="s">
        <v>3026</v>
      </c>
      <c r="Y608" s="1" t="n">
        <v>75124</v>
      </c>
      <c r="Z608" s="37" t="n">
        <f aca="false">(Y608/Q608)*100</f>
        <v>52.4451456615681</v>
      </c>
      <c r="AA608" s="1" t="s">
        <v>52</v>
      </c>
      <c r="AB608" s="1" t="s">
        <v>66</v>
      </c>
      <c r="AC608" s="1" t="s">
        <v>3027</v>
      </c>
      <c r="AD608" s="1" t="n">
        <v>50410</v>
      </c>
      <c r="AE608" s="37" t="n">
        <f aca="false">(AD608/Q608)*100</f>
        <v>35.1919465523621</v>
      </c>
      <c r="AF608" s="1" t="s">
        <v>197</v>
      </c>
      <c r="AG608" s="1" t="s">
        <v>2342</v>
      </c>
      <c r="AH608" s="1" t="s">
        <v>3028</v>
      </c>
      <c r="AI608" s="1" t="n">
        <v>6882</v>
      </c>
      <c r="AJ608" s="37" t="n">
        <f aca="false">(AI608/Q608)*100</f>
        <v>4.8044232527942</v>
      </c>
      <c r="AK608" s="1" t="s">
        <v>1431</v>
      </c>
      <c r="AL608" s="1" t="s">
        <v>171</v>
      </c>
      <c r="AM608" s="1" t="s">
        <v>3029</v>
      </c>
      <c r="AN608" s="1" t="n">
        <v>3952</v>
      </c>
      <c r="AO608" s="37" t="n">
        <f aca="false">(AN608/Q608)*100</f>
        <v>2.75894808123259</v>
      </c>
      <c r="AP608" s="37" t="s">
        <v>197</v>
      </c>
      <c r="AQ608" s="1" t="s">
        <v>3030</v>
      </c>
      <c r="AR608" s="1" t="s">
        <v>2371</v>
      </c>
      <c r="AS608" s="1" t="n">
        <v>2440</v>
      </c>
      <c r="AT608" s="37" t="n">
        <f aca="false">(AS608/Q608)*100</f>
        <v>1.70339911897964</v>
      </c>
    </row>
    <row r="609" customFormat="false" ht="12.8" hidden="false" customHeight="true" outlineLevel="0" collapsed="false">
      <c r="A609" s="35" t="n">
        <v>2011</v>
      </c>
      <c r="B609" s="36" t="n">
        <v>131</v>
      </c>
      <c r="C609" s="1" t="s">
        <v>863</v>
      </c>
      <c r="D609" s="1" t="s">
        <v>840</v>
      </c>
      <c r="E609" s="1" t="s">
        <v>586</v>
      </c>
      <c r="F609" s="1" t="s">
        <v>694</v>
      </c>
      <c r="G609" s="1" t="s">
        <v>50</v>
      </c>
      <c r="H609" s="1" t="s">
        <v>51</v>
      </c>
      <c r="I609" s="1" t="s">
        <v>526</v>
      </c>
      <c r="J609" s="1" t="s">
        <v>51</v>
      </c>
      <c r="K609" s="1" t="s">
        <v>68</v>
      </c>
      <c r="L609" s="1" t="s">
        <v>864</v>
      </c>
      <c r="M609" s="1" t="s">
        <v>51</v>
      </c>
      <c r="N609" s="1" t="s">
        <v>864</v>
      </c>
      <c r="O609" s="1" t="s">
        <v>51</v>
      </c>
      <c r="P609" s="1" t="n">
        <v>207464</v>
      </c>
      <c r="Q609" s="1" t="n">
        <v>176251</v>
      </c>
      <c r="R609" s="37" t="n">
        <f aca="false">(Q609/P609)*100</f>
        <v>84.9549801411329</v>
      </c>
      <c r="S609" s="1" t="n">
        <f aca="false">Y609-AD609</f>
        <v>53089</v>
      </c>
      <c r="T609" s="37" t="n">
        <f aca="false">(S609/Q609)*100</f>
        <v>30.1212475390211</v>
      </c>
      <c r="U609" s="37" t="n">
        <f aca="false">Z609+AE609</f>
        <v>77.6194177621687</v>
      </c>
      <c r="V609" s="1" t="s">
        <v>55</v>
      </c>
      <c r="W609" s="1" t="s">
        <v>68</v>
      </c>
      <c r="X609" s="1" t="s">
        <v>3031</v>
      </c>
      <c r="Y609" s="1" t="n">
        <v>94947</v>
      </c>
      <c r="Z609" s="37" t="n">
        <f aca="false">(Y609/Q609)*100</f>
        <v>53.8703326505949</v>
      </c>
      <c r="AA609" s="1" t="s">
        <v>52</v>
      </c>
      <c r="AB609" s="1" t="s">
        <v>53</v>
      </c>
      <c r="AC609" s="1" t="s">
        <v>3032</v>
      </c>
      <c r="AD609" s="1" t="n">
        <v>41858</v>
      </c>
      <c r="AE609" s="37" t="n">
        <f aca="false">(AD609/Q609)*100</f>
        <v>23.7490851115738</v>
      </c>
      <c r="AF609" s="1" t="s">
        <v>197</v>
      </c>
      <c r="AG609" s="1" t="s">
        <v>197</v>
      </c>
      <c r="AH609" s="1" t="s">
        <v>2040</v>
      </c>
      <c r="AI609" s="1" t="n">
        <v>29834</v>
      </c>
      <c r="AJ609" s="37" t="n">
        <f aca="false">(AI609/Q609)*100</f>
        <v>16.926996158887</v>
      </c>
      <c r="AK609" s="37" t="s">
        <v>197</v>
      </c>
      <c r="AL609" s="1" t="s">
        <v>197</v>
      </c>
      <c r="AM609" s="1" t="s">
        <v>3033</v>
      </c>
      <c r="AN609" s="1" t="n">
        <v>1870</v>
      </c>
      <c r="AO609" s="37" t="n">
        <f aca="false">(AN609/Q609)*100</f>
        <v>1.06098688801766</v>
      </c>
      <c r="AP609" s="37" t="s">
        <v>197</v>
      </c>
      <c r="AQ609" s="1" t="s">
        <v>197</v>
      </c>
      <c r="AR609" s="1" t="s">
        <v>2668</v>
      </c>
      <c r="AS609" s="1" t="n">
        <v>1038</v>
      </c>
      <c r="AT609" s="37" t="n">
        <f aca="false">(AS609/Q609)*100</f>
        <v>0.588932828749908</v>
      </c>
    </row>
    <row r="610" customFormat="false" ht="12.8" hidden="false" customHeight="true" outlineLevel="0" collapsed="false">
      <c r="A610" s="35" t="n">
        <v>2011</v>
      </c>
      <c r="B610" s="36" t="n">
        <v>132</v>
      </c>
      <c r="C610" s="1" t="s">
        <v>840</v>
      </c>
      <c r="D610" s="1" t="s">
        <v>840</v>
      </c>
      <c r="E610" s="1" t="s">
        <v>586</v>
      </c>
      <c r="F610" s="1" t="s">
        <v>694</v>
      </c>
      <c r="G610" s="1" t="s">
        <v>88</v>
      </c>
      <c r="H610" s="1" t="s">
        <v>51</v>
      </c>
      <c r="I610" s="1" t="s">
        <v>51</v>
      </c>
      <c r="J610" s="1" t="s">
        <v>51</v>
      </c>
      <c r="K610" s="1" t="s">
        <v>51</v>
      </c>
      <c r="L610" s="1" t="s">
        <v>51</v>
      </c>
      <c r="M610" s="1" t="s">
        <v>51</v>
      </c>
      <c r="N610" s="1" t="s">
        <v>51</v>
      </c>
      <c r="O610" s="1" t="s">
        <v>51</v>
      </c>
      <c r="P610" s="1" t="n">
        <v>192479</v>
      </c>
      <c r="Q610" s="1" t="n">
        <v>147805</v>
      </c>
      <c r="R610" s="37" t="n">
        <f aca="false">(Q610/P610)*100</f>
        <v>76.7901952940321</v>
      </c>
      <c r="S610" s="1" t="n">
        <f aca="false">Y610-AD610</f>
        <v>39115</v>
      </c>
      <c r="T610" s="37" t="n">
        <f aca="false">(S610/Q610)*100</f>
        <v>26.4639220594702</v>
      </c>
      <c r="U610" s="37" t="n">
        <f aca="false">Z610+AE610</f>
        <v>91.1667399614357</v>
      </c>
      <c r="V610" s="1" t="s">
        <v>55</v>
      </c>
      <c r="W610" s="1" t="s">
        <v>422</v>
      </c>
      <c r="X610" s="1" t="s">
        <v>3034</v>
      </c>
      <c r="Y610" s="1" t="n">
        <v>86932</v>
      </c>
      <c r="Z610" s="37" t="n">
        <f aca="false">(Y610/Q610)*100</f>
        <v>58.815331010453</v>
      </c>
      <c r="AA610" s="1" t="s">
        <v>52</v>
      </c>
      <c r="AB610" s="1" t="s">
        <v>56</v>
      </c>
      <c r="AC610" s="1" t="s">
        <v>3035</v>
      </c>
      <c r="AD610" s="1" t="n">
        <v>47817</v>
      </c>
      <c r="AE610" s="37" t="n">
        <f aca="false">(AD610/Q610)*100</f>
        <v>32.3514089509827</v>
      </c>
      <c r="AF610" s="1" t="s">
        <v>1431</v>
      </c>
      <c r="AG610" s="1" t="s">
        <v>171</v>
      </c>
      <c r="AH610" s="1" t="s">
        <v>3036</v>
      </c>
      <c r="AI610" s="1" t="n">
        <v>5761</v>
      </c>
      <c r="AJ610" s="37" t="n">
        <f aca="false">(AI610/Q610)*100</f>
        <v>3.89770305470045</v>
      </c>
      <c r="AK610" s="37" t="s">
        <v>197</v>
      </c>
      <c r="AL610" s="1" t="s">
        <v>3037</v>
      </c>
      <c r="AM610" s="1" t="s">
        <v>1792</v>
      </c>
      <c r="AN610" s="1" t="n">
        <v>2014</v>
      </c>
      <c r="AO610" s="37" t="n">
        <f aca="false">(AN610/Q610)*100</f>
        <v>1.36260613646358</v>
      </c>
      <c r="AP610" s="37" t="s">
        <v>197</v>
      </c>
      <c r="AQ610" s="1" t="s">
        <v>197</v>
      </c>
      <c r="AR610" s="1" t="s">
        <v>3038</v>
      </c>
      <c r="AS610" s="1" t="n">
        <v>1107</v>
      </c>
      <c r="AT610" s="37" t="n">
        <f aca="false">(AS610/Q610)*100</f>
        <v>0.748959778085992</v>
      </c>
    </row>
    <row r="611" customFormat="false" ht="12.8" hidden="false" customHeight="true" outlineLevel="0" collapsed="false">
      <c r="A611" s="35" t="n">
        <v>2011</v>
      </c>
      <c r="B611" s="36" t="n">
        <v>133</v>
      </c>
      <c r="C611" s="1" t="s">
        <v>873</v>
      </c>
      <c r="D611" s="1" t="s">
        <v>840</v>
      </c>
      <c r="E611" s="1" t="s">
        <v>586</v>
      </c>
      <c r="F611" s="1" t="s">
        <v>694</v>
      </c>
      <c r="G611" s="1" t="s">
        <v>50</v>
      </c>
      <c r="H611" s="1" t="s">
        <v>51</v>
      </c>
      <c r="I611" s="1" t="s">
        <v>51</v>
      </c>
      <c r="J611" s="1" t="s">
        <v>51</v>
      </c>
      <c r="K611" s="1" t="s">
        <v>51</v>
      </c>
      <c r="L611" s="1" t="s">
        <v>51</v>
      </c>
      <c r="M611" s="1" t="s">
        <v>51</v>
      </c>
      <c r="N611" s="1" t="s">
        <v>51</v>
      </c>
      <c r="O611" s="1" t="s">
        <v>51</v>
      </c>
      <c r="P611" s="1" t="n">
        <v>211823</v>
      </c>
      <c r="Q611" s="1" t="n">
        <v>168772</v>
      </c>
      <c r="R611" s="37" t="n">
        <f aca="false">(Q611/P611)*100</f>
        <v>79.675955868815</v>
      </c>
      <c r="S611" s="1" t="n">
        <f aca="false">Y611-AD611</f>
        <v>50712</v>
      </c>
      <c r="T611" s="37" t="n">
        <f aca="false">(S611/Q611)*100</f>
        <v>30.0476382338303</v>
      </c>
      <c r="U611" s="37" t="n">
        <f aca="false">Z611+AE611</f>
        <v>93.8011044486052</v>
      </c>
      <c r="V611" s="1" t="s">
        <v>55</v>
      </c>
      <c r="W611" s="1" t="s">
        <v>68</v>
      </c>
      <c r="X611" s="1" t="s">
        <v>3039</v>
      </c>
      <c r="Y611" s="1" t="n">
        <v>104511</v>
      </c>
      <c r="Z611" s="37" t="n">
        <f aca="false">(Y611/Q611)*100</f>
        <v>61.9243713412177</v>
      </c>
      <c r="AA611" s="1" t="s">
        <v>52</v>
      </c>
      <c r="AB611" s="1" t="s">
        <v>66</v>
      </c>
      <c r="AC611" s="1" t="s">
        <v>3040</v>
      </c>
      <c r="AD611" s="1" t="n">
        <v>53799</v>
      </c>
      <c r="AE611" s="37" t="n">
        <f aca="false">(AD611/Q611)*100</f>
        <v>31.8767331073875</v>
      </c>
      <c r="AF611" s="1" t="s">
        <v>197</v>
      </c>
      <c r="AG611" s="1" t="s">
        <v>197</v>
      </c>
      <c r="AH611" s="1" t="s">
        <v>3041</v>
      </c>
      <c r="AI611" s="1" t="n">
        <v>2018</v>
      </c>
      <c r="AJ611" s="37" t="n">
        <f aca="false">(AI611/Q611)*100</f>
        <v>1.19569596852558</v>
      </c>
      <c r="AK611" s="37" t="s">
        <v>197</v>
      </c>
      <c r="AL611" s="1" t="s">
        <v>197</v>
      </c>
      <c r="AM611" s="1" t="s">
        <v>3042</v>
      </c>
      <c r="AN611" s="1" t="n">
        <v>1643</v>
      </c>
      <c r="AO611" s="37" t="n">
        <f aca="false">(AN611/Q611)*100</f>
        <v>0.973502713720285</v>
      </c>
      <c r="AP611" s="1" t="s">
        <v>85</v>
      </c>
      <c r="AQ611" s="1" t="s">
        <v>85</v>
      </c>
      <c r="AR611" s="1" t="s">
        <v>3038</v>
      </c>
      <c r="AS611" s="1" t="n">
        <v>1640</v>
      </c>
      <c r="AT611" s="37" t="n">
        <f aca="false">(AS611/Q611)*100</f>
        <v>0.971725167681843</v>
      </c>
    </row>
    <row r="612" customFormat="false" ht="12.8" hidden="false" customHeight="true" outlineLevel="0" collapsed="false">
      <c r="A612" s="35" t="n">
        <v>2011</v>
      </c>
      <c r="B612" s="44" t="n">
        <v>134</v>
      </c>
      <c r="C612" s="2" t="s">
        <v>879</v>
      </c>
      <c r="D612" s="2" t="s">
        <v>880</v>
      </c>
      <c r="E612" s="2" t="s">
        <v>586</v>
      </c>
      <c r="F612" s="2" t="s">
        <v>645</v>
      </c>
      <c r="G612" s="2" t="s">
        <v>50</v>
      </c>
      <c r="H612" s="2" t="s">
        <v>51</v>
      </c>
      <c r="I612" s="2" t="s">
        <v>51</v>
      </c>
      <c r="J612" s="2" t="s">
        <v>51</v>
      </c>
      <c r="K612" s="2" t="s">
        <v>51</v>
      </c>
      <c r="L612" s="2" t="s">
        <v>51</v>
      </c>
      <c r="M612" s="2" t="s">
        <v>51</v>
      </c>
      <c r="N612" s="2" t="s">
        <v>51</v>
      </c>
      <c r="O612" s="2" t="s">
        <v>51</v>
      </c>
      <c r="P612" s="1" t="n">
        <v>170483</v>
      </c>
      <c r="Q612" s="1" t="n">
        <v>146509</v>
      </c>
      <c r="R612" s="37" t="n">
        <f aca="false">(Q612/P612)*100</f>
        <v>85.9376008165037</v>
      </c>
      <c r="S612" s="1" t="n">
        <f aca="false">Y612-AD612</f>
        <v>4541</v>
      </c>
      <c r="T612" s="37" t="n">
        <f aca="false">(S612/Q612)*100</f>
        <v>3.09946829205032</v>
      </c>
      <c r="U612" s="37" t="n">
        <f aca="false">Z612+AE612</f>
        <v>96.3224102273581</v>
      </c>
      <c r="V612" s="1" t="s">
        <v>52</v>
      </c>
      <c r="W612" s="1" t="s">
        <v>53</v>
      </c>
      <c r="X612" s="1" t="s">
        <v>3043</v>
      </c>
      <c r="Y612" s="1" t="n">
        <v>72831</v>
      </c>
      <c r="Z612" s="37" t="n">
        <f aca="false">(Y612/Q612)*100</f>
        <v>49.7109392597042</v>
      </c>
      <c r="AA612" s="1" t="s">
        <v>55</v>
      </c>
      <c r="AB612" s="1" t="s">
        <v>68</v>
      </c>
      <c r="AC612" s="1" t="s">
        <v>3044</v>
      </c>
      <c r="AD612" s="1" t="n">
        <v>68290</v>
      </c>
      <c r="AE612" s="37" t="n">
        <f aca="false">(AD612/Q612)*100</f>
        <v>46.6114709676539</v>
      </c>
      <c r="AF612" s="1" t="s">
        <v>197</v>
      </c>
      <c r="AG612" s="1" t="s">
        <v>197</v>
      </c>
      <c r="AH612" s="1" t="s">
        <v>3045</v>
      </c>
      <c r="AI612" s="1" t="n">
        <v>1530</v>
      </c>
      <c r="AJ612" s="37" t="n">
        <f aca="false">(AI612/Q612)*100</f>
        <v>1.04430444546069</v>
      </c>
      <c r="AK612" s="37" t="s">
        <v>197</v>
      </c>
      <c r="AL612" s="1" t="s">
        <v>197</v>
      </c>
      <c r="AM612" s="1" t="s">
        <v>3046</v>
      </c>
      <c r="AN612" s="1" t="n">
        <v>1355</v>
      </c>
      <c r="AO612" s="37" t="n">
        <f aca="false">(AN612/Q612)*100</f>
        <v>0.92485785856159</v>
      </c>
      <c r="AP612" s="1" t="s">
        <v>85</v>
      </c>
      <c r="AQ612" s="1" t="s">
        <v>85</v>
      </c>
      <c r="AR612" s="1" t="s">
        <v>3047</v>
      </c>
      <c r="AS612" s="1" t="n">
        <v>779</v>
      </c>
      <c r="AT612" s="37" t="n">
        <f aca="false">(AS612/Q612)*100</f>
        <v>0.531707949682272</v>
      </c>
    </row>
    <row r="613" customFormat="false" ht="12.8" hidden="false" customHeight="true" outlineLevel="0" collapsed="false">
      <c r="A613" s="35" t="n">
        <v>2011</v>
      </c>
      <c r="B613" s="36" t="n">
        <v>135</v>
      </c>
      <c r="C613" s="1" t="s">
        <v>880</v>
      </c>
      <c r="D613" s="1" t="s">
        <v>880</v>
      </c>
      <c r="E613" s="1" t="s">
        <v>586</v>
      </c>
      <c r="F613" s="1" t="s">
        <v>645</v>
      </c>
      <c r="G613" s="9" t="s">
        <v>77</v>
      </c>
      <c r="H613" s="1" t="s">
        <v>51</v>
      </c>
      <c r="I613" s="1" t="s">
        <v>51</v>
      </c>
      <c r="J613" s="1" t="s">
        <v>51</v>
      </c>
      <c r="K613" s="1" t="s">
        <v>53</v>
      </c>
      <c r="L613" s="1" t="s">
        <v>51</v>
      </c>
      <c r="M613" s="1" t="s">
        <v>51</v>
      </c>
      <c r="N613" s="1" t="s">
        <v>51</v>
      </c>
      <c r="O613" s="1" t="s">
        <v>51</v>
      </c>
      <c r="P613" s="1" t="n">
        <v>194257</v>
      </c>
      <c r="Q613" s="1" t="n">
        <v>163031</v>
      </c>
      <c r="R613" s="37" t="n">
        <f aca="false">(Q613/P613)*100</f>
        <v>83.9254183890413</v>
      </c>
      <c r="S613" s="1" t="n">
        <f aca="false">Y613-AD613</f>
        <v>44145</v>
      </c>
      <c r="T613" s="37" t="n">
        <f aca="false">(S613/Q613)*100</f>
        <v>27.0776723445234</v>
      </c>
      <c r="U613" s="37" t="n">
        <f aca="false">Z613+AE613</f>
        <v>95.2769718642467</v>
      </c>
      <c r="V613" s="1" t="s">
        <v>55</v>
      </c>
      <c r="W613" s="1" t="s">
        <v>68</v>
      </c>
      <c r="X613" s="1" t="s">
        <v>3048</v>
      </c>
      <c r="Y613" s="1" t="n">
        <v>99738</v>
      </c>
      <c r="Z613" s="37" t="n">
        <f aca="false">(Y613/Q613)*100</f>
        <v>61.1773221043851</v>
      </c>
      <c r="AA613" s="1" t="s">
        <v>52</v>
      </c>
      <c r="AB613" s="1" t="s">
        <v>66</v>
      </c>
      <c r="AC613" s="1" t="s">
        <v>3049</v>
      </c>
      <c r="AD613" s="1" t="n">
        <v>55593</v>
      </c>
      <c r="AE613" s="37" t="n">
        <f aca="false">(AD613/Q613)*100</f>
        <v>34.0996497598616</v>
      </c>
      <c r="AF613" s="1" t="s">
        <v>1431</v>
      </c>
      <c r="AG613" s="1" t="s">
        <v>171</v>
      </c>
      <c r="AH613" s="1" t="s">
        <v>3050</v>
      </c>
      <c r="AI613" s="1" t="n">
        <v>2417</v>
      </c>
      <c r="AJ613" s="37" t="n">
        <f aca="false">(AI613/Q613)*100</f>
        <v>1.48254013040465</v>
      </c>
      <c r="AK613" s="37" t="s">
        <v>197</v>
      </c>
      <c r="AL613" s="1" t="s">
        <v>3051</v>
      </c>
      <c r="AM613" s="1" t="s">
        <v>3052</v>
      </c>
      <c r="AN613" s="1" t="n">
        <v>681</v>
      </c>
      <c r="AO613" s="37" t="n">
        <f aca="false">(AN613/Q613)*100</f>
        <v>0.417711968889352</v>
      </c>
      <c r="AP613" s="1" t="s">
        <v>85</v>
      </c>
      <c r="AQ613" s="1" t="s">
        <v>85</v>
      </c>
      <c r="AR613" s="1" t="s">
        <v>3053</v>
      </c>
      <c r="AS613" s="1" t="n">
        <v>620</v>
      </c>
      <c r="AT613" s="37" t="n">
        <f aca="false">(AS613/Q613)*100</f>
        <v>0.380295771969748</v>
      </c>
    </row>
    <row r="614" customFormat="false" ht="12.8" hidden="false" customHeight="true" outlineLevel="0" collapsed="false">
      <c r="A614" s="35" t="n">
        <v>2011</v>
      </c>
      <c r="B614" s="36" t="n">
        <v>136</v>
      </c>
      <c r="C614" s="1" t="s">
        <v>890</v>
      </c>
      <c r="D614" s="1" t="s">
        <v>880</v>
      </c>
      <c r="E614" s="1" t="s">
        <v>586</v>
      </c>
      <c r="F614" s="1" t="s">
        <v>645</v>
      </c>
      <c r="G614" s="1" t="s">
        <v>50</v>
      </c>
      <c r="H614" s="1" t="s">
        <v>65</v>
      </c>
      <c r="I614" s="1" t="s">
        <v>51</v>
      </c>
      <c r="J614" s="1" t="s">
        <v>51</v>
      </c>
      <c r="K614" s="1" t="s">
        <v>51</v>
      </c>
      <c r="L614" s="1" t="s">
        <v>51</v>
      </c>
      <c r="M614" s="1" t="s">
        <v>51</v>
      </c>
      <c r="N614" s="1" t="s">
        <v>51</v>
      </c>
      <c r="O614" s="1" t="s">
        <v>51</v>
      </c>
      <c r="P614" s="1" t="n">
        <v>174944</v>
      </c>
      <c r="Q614" s="1" t="n">
        <v>151699</v>
      </c>
      <c r="R614" s="37" t="n">
        <f aca="false">(Q614/P614)*100</f>
        <v>86.7128909822572</v>
      </c>
      <c r="S614" s="1" t="n">
        <f aca="false">Y614-AD614</f>
        <v>22509</v>
      </c>
      <c r="T614" s="37" t="n">
        <f aca="false">(S614/Q614)*100</f>
        <v>14.8379356488836</v>
      </c>
      <c r="U614" s="37" t="n">
        <f aca="false">Z614+AE614</f>
        <v>94.7804533978471</v>
      </c>
      <c r="V614" s="1" t="s">
        <v>55</v>
      </c>
      <c r="W614" s="1" t="s">
        <v>68</v>
      </c>
      <c r="X614" s="1" t="s">
        <v>2152</v>
      </c>
      <c r="Y614" s="1" t="n">
        <v>83145</v>
      </c>
      <c r="Z614" s="37" t="n">
        <f aca="false">(Y614/Q614)*100</f>
        <v>54.8091945233654</v>
      </c>
      <c r="AA614" s="1" t="s">
        <v>52</v>
      </c>
      <c r="AB614" s="1" t="s">
        <v>53</v>
      </c>
      <c r="AC614" s="1" t="s">
        <v>1789</v>
      </c>
      <c r="AD614" s="1" t="n">
        <v>60636</v>
      </c>
      <c r="AE614" s="37" t="n">
        <f aca="false">(AD614/Q614)*100</f>
        <v>39.9712588744817</v>
      </c>
      <c r="AF614" s="1" t="s">
        <v>197</v>
      </c>
      <c r="AG614" s="1" t="s">
        <v>197</v>
      </c>
      <c r="AH614" s="1" t="s">
        <v>3054</v>
      </c>
      <c r="AI614" s="1" t="n">
        <v>2300</v>
      </c>
      <c r="AJ614" s="37" t="n">
        <f aca="false">(AI614/Q614)*100</f>
        <v>1.51616029110278</v>
      </c>
      <c r="AK614" s="37" t="s">
        <v>197</v>
      </c>
      <c r="AL614" s="1" t="s">
        <v>197</v>
      </c>
      <c r="AM614" s="1" t="s">
        <v>3055</v>
      </c>
      <c r="AN614" s="1" t="n">
        <v>1194</v>
      </c>
      <c r="AO614" s="37" t="n">
        <f aca="false">(AN614/Q614)*100</f>
        <v>0.787084951120311</v>
      </c>
      <c r="AP614" s="37" t="s">
        <v>197</v>
      </c>
      <c r="AQ614" s="1" t="s">
        <v>197</v>
      </c>
      <c r="AR614" s="1" t="s">
        <v>1592</v>
      </c>
      <c r="AS614" s="1" t="n">
        <v>1093</v>
      </c>
      <c r="AT614" s="37" t="n">
        <f aca="false">(AS614/Q614)*100</f>
        <v>0.720505738337102</v>
      </c>
    </row>
    <row r="615" customFormat="false" ht="12.8" hidden="false" customHeight="true" outlineLevel="0" collapsed="false">
      <c r="A615" s="35" t="n">
        <v>2011</v>
      </c>
      <c r="B615" s="36" t="n">
        <v>137</v>
      </c>
      <c r="C615" s="1" t="s">
        <v>896</v>
      </c>
      <c r="D615" s="1" t="s">
        <v>880</v>
      </c>
      <c r="E615" s="1" t="s">
        <v>586</v>
      </c>
      <c r="F615" s="1" t="s">
        <v>645</v>
      </c>
      <c r="G615" s="1" t="s">
        <v>77</v>
      </c>
      <c r="H615" s="1" t="s">
        <v>51</v>
      </c>
      <c r="I615" s="1" t="s">
        <v>51</v>
      </c>
      <c r="J615" s="1" t="s">
        <v>51</v>
      </c>
      <c r="K615" s="1" t="s">
        <v>51</v>
      </c>
      <c r="L615" s="1" t="s">
        <v>68</v>
      </c>
      <c r="M615" s="1" t="s">
        <v>51</v>
      </c>
      <c r="N615" s="1" t="s">
        <v>51</v>
      </c>
      <c r="O615" s="1" t="s">
        <v>51</v>
      </c>
      <c r="P615" s="1" t="n">
        <v>179805</v>
      </c>
      <c r="Q615" s="1" t="n">
        <v>159662</v>
      </c>
      <c r="R615" s="37" t="n">
        <f aca="false">(Q615/P615)*100</f>
        <v>88.797308194989</v>
      </c>
      <c r="S615" s="1" t="n">
        <f aca="false">Y615-AD615</f>
        <v>22473</v>
      </c>
      <c r="T615" s="37" t="n">
        <f aca="false">(S615/Q615)*100</f>
        <v>14.0753591963022</v>
      </c>
      <c r="U615" s="37" t="n">
        <f aca="false">Z615+AE615</f>
        <v>95.4798261327053</v>
      </c>
      <c r="V615" s="1" t="s">
        <v>55</v>
      </c>
      <c r="W615" s="1" t="s">
        <v>68</v>
      </c>
      <c r="X615" s="1" t="s">
        <v>3056</v>
      </c>
      <c r="Y615" s="1" t="n">
        <v>87459</v>
      </c>
      <c r="Z615" s="37" t="n">
        <f aca="false">(Y615/Q615)*100</f>
        <v>54.7775926645038</v>
      </c>
      <c r="AA615" s="1" t="s">
        <v>52</v>
      </c>
      <c r="AB615" s="1" t="s">
        <v>53</v>
      </c>
      <c r="AC615" s="1" t="s">
        <v>3057</v>
      </c>
      <c r="AD615" s="1" t="n">
        <v>64986</v>
      </c>
      <c r="AE615" s="37" t="n">
        <f aca="false">(AD615/Q615)*100</f>
        <v>40.7022334682016</v>
      </c>
      <c r="AF615" s="1" t="s">
        <v>1431</v>
      </c>
      <c r="AG615" s="1" t="s">
        <v>171</v>
      </c>
      <c r="AH615" s="1" t="s">
        <v>3058</v>
      </c>
      <c r="AI615" s="1" t="n">
        <v>2200</v>
      </c>
      <c r="AJ615" s="37" t="n">
        <f aca="false">(AI615/Q615)*100</f>
        <v>1.37791083664241</v>
      </c>
      <c r="AK615" s="37" t="s">
        <v>197</v>
      </c>
      <c r="AL615" s="1" t="s">
        <v>197</v>
      </c>
      <c r="AM615" s="1" t="s">
        <v>3059</v>
      </c>
      <c r="AN615" s="1" t="n">
        <v>1670</v>
      </c>
      <c r="AO615" s="37" t="n">
        <f aca="false">(AN615/Q615)*100</f>
        <v>1.0459595896331</v>
      </c>
      <c r="AP615" s="1" t="s">
        <v>179</v>
      </c>
      <c r="AQ615" s="1" t="s">
        <v>179</v>
      </c>
      <c r="AR615" s="1" t="s">
        <v>3060</v>
      </c>
      <c r="AS615" s="1" t="n">
        <v>1344</v>
      </c>
      <c r="AT615" s="37" t="n">
        <f aca="false">(AS615/Q615)*100</f>
        <v>0.841778256566998</v>
      </c>
    </row>
    <row r="616" customFormat="false" ht="12.8" hidden="false" customHeight="true" outlineLevel="0" collapsed="false">
      <c r="A616" s="35" t="n">
        <v>2011</v>
      </c>
      <c r="B616" s="36" t="n">
        <v>138</v>
      </c>
      <c r="C616" s="1" t="s">
        <v>901</v>
      </c>
      <c r="D616" s="1" t="s">
        <v>902</v>
      </c>
      <c r="E616" s="1" t="s">
        <v>903</v>
      </c>
      <c r="F616" s="1" t="s">
        <v>904</v>
      </c>
      <c r="G616" s="1" t="s">
        <v>77</v>
      </c>
      <c r="H616" s="1" t="s">
        <v>51</v>
      </c>
      <c r="I616" s="1" t="s">
        <v>51</v>
      </c>
      <c r="J616" s="1" t="s">
        <v>51</v>
      </c>
      <c r="K616" s="1" t="s">
        <v>51</v>
      </c>
      <c r="L616" s="1" t="s">
        <v>51</v>
      </c>
      <c r="M616" s="1" t="s">
        <v>51</v>
      </c>
      <c r="N616" s="1" t="s">
        <v>51</v>
      </c>
      <c r="O616" s="1" t="s">
        <v>51</v>
      </c>
      <c r="P616" s="1" t="n">
        <v>216436</v>
      </c>
      <c r="Q616" s="1" t="n">
        <v>173248</v>
      </c>
      <c r="R616" s="37" t="n">
        <f aca="false">(Q616/P616)*100</f>
        <v>80.0458334103384</v>
      </c>
      <c r="S616" s="1" t="n">
        <f aca="false">Y616-AD616</f>
        <v>28299</v>
      </c>
      <c r="T616" s="37" t="n">
        <f aca="false">(S616/Q616)*100</f>
        <v>16.3343876985593</v>
      </c>
      <c r="U616" s="37" t="n">
        <f aca="false">Z616+AJ616</f>
        <v>62.1357822312523</v>
      </c>
      <c r="V616" s="1" t="s">
        <v>55</v>
      </c>
      <c r="W616" s="1" t="s">
        <v>68</v>
      </c>
      <c r="X616" s="1" t="s">
        <v>3061</v>
      </c>
      <c r="Y616" s="1" t="n">
        <v>81020</v>
      </c>
      <c r="Z616" s="37" t="n">
        <f aca="false">(Y616/Q616)*100</f>
        <v>46.7653306243074</v>
      </c>
      <c r="AA616" s="1" t="s">
        <v>197</v>
      </c>
      <c r="AB616" s="1" t="s">
        <v>197</v>
      </c>
      <c r="AC616" s="1" t="s">
        <v>1873</v>
      </c>
      <c r="AD616" s="1" t="n">
        <v>52721</v>
      </c>
      <c r="AE616" s="37" t="n">
        <f aca="false">(AD616/Q616)*100</f>
        <v>30.4309429257481</v>
      </c>
      <c r="AF616" s="1" t="s">
        <v>52</v>
      </c>
      <c r="AG616" s="1" t="s">
        <v>66</v>
      </c>
      <c r="AH616" s="1" t="s">
        <v>3062</v>
      </c>
      <c r="AI616" s="1" t="n">
        <v>26629</v>
      </c>
      <c r="AJ616" s="37" t="n">
        <f aca="false">(AI616/Q616)*100</f>
        <v>15.370451606945</v>
      </c>
      <c r="AK616" s="37" t="s">
        <v>197</v>
      </c>
      <c r="AL616" s="1" t="s">
        <v>197</v>
      </c>
      <c r="AM616" s="1" t="s">
        <v>3063</v>
      </c>
      <c r="AN616" s="1" t="n">
        <v>3523</v>
      </c>
      <c r="AO616" s="37" t="n">
        <f aca="false">(AN616/Q616)*100</f>
        <v>2.0335011082379</v>
      </c>
      <c r="AP616" s="1" t="s">
        <v>1431</v>
      </c>
      <c r="AQ616" s="1" t="s">
        <v>171</v>
      </c>
      <c r="AR616" s="1" t="s">
        <v>2068</v>
      </c>
      <c r="AS616" s="1" t="n">
        <v>2589</v>
      </c>
      <c r="AT616" s="37" t="n">
        <f aca="false">(AS616/Q616)*100</f>
        <v>1.49438954562246</v>
      </c>
    </row>
    <row r="617" customFormat="false" ht="12.8" hidden="false" customHeight="true" outlineLevel="0" collapsed="false">
      <c r="A617" s="35" t="n">
        <v>2011</v>
      </c>
      <c r="B617" s="36" t="n">
        <v>139</v>
      </c>
      <c r="C617" s="1" t="s">
        <v>911</v>
      </c>
      <c r="D617" s="1" t="s">
        <v>902</v>
      </c>
      <c r="E617" s="1" t="s">
        <v>903</v>
      </c>
      <c r="F617" s="1" t="s">
        <v>904</v>
      </c>
      <c r="G617" s="1" t="s">
        <v>50</v>
      </c>
      <c r="H617" s="1" t="s">
        <v>51</v>
      </c>
      <c r="I617" s="1" t="s">
        <v>526</v>
      </c>
      <c r="J617" s="1" t="s">
        <v>68</v>
      </c>
      <c r="K617" s="1" t="s">
        <v>51</v>
      </c>
      <c r="L617" s="1" t="s">
        <v>68</v>
      </c>
      <c r="M617" s="1" t="s">
        <v>51</v>
      </c>
      <c r="N617" s="1" t="s">
        <v>68</v>
      </c>
      <c r="O617" s="1" t="s">
        <v>126</v>
      </c>
      <c r="P617" s="1" t="n">
        <v>221158</v>
      </c>
      <c r="Q617" s="1" t="n">
        <v>178547</v>
      </c>
      <c r="R617" s="37" t="n">
        <f aca="false">(Q617/P617)*100</f>
        <v>80.7327792799718</v>
      </c>
      <c r="S617" s="1" t="n">
        <f aca="false">Y617-AD617</f>
        <v>41848</v>
      </c>
      <c r="T617" s="37" t="n">
        <f aca="false">(S617/Q617)*100</f>
        <v>23.43808633021</v>
      </c>
      <c r="U617" s="37" t="n">
        <f aca="false">Z617+AE617</f>
        <v>94.5454138126096</v>
      </c>
      <c r="V617" s="1" t="s">
        <v>55</v>
      </c>
      <c r="W617" s="1" t="s">
        <v>68</v>
      </c>
      <c r="X617" s="1" t="s">
        <v>3064</v>
      </c>
      <c r="Y617" s="1" t="n">
        <v>105328</v>
      </c>
      <c r="Z617" s="37" t="n">
        <f aca="false">(Y617/Q617)*100</f>
        <v>58.9917500714098</v>
      </c>
      <c r="AA617" s="1" t="s">
        <v>52</v>
      </c>
      <c r="AB617" s="1" t="s">
        <v>53</v>
      </c>
      <c r="AC617" s="1" t="s">
        <v>3065</v>
      </c>
      <c r="AD617" s="1" t="n">
        <v>63480</v>
      </c>
      <c r="AE617" s="37" t="n">
        <f aca="false">(AD617/Q617)*100</f>
        <v>35.5536637411998</v>
      </c>
      <c r="AF617" s="1" t="s">
        <v>1431</v>
      </c>
      <c r="AG617" s="1" t="s">
        <v>171</v>
      </c>
      <c r="AH617" s="1" t="s">
        <v>3066</v>
      </c>
      <c r="AI617" s="1" t="n">
        <v>2017</v>
      </c>
      <c r="AJ617" s="37" t="n">
        <f aca="false">(AI617/Q617)*100</f>
        <v>1.129674539477</v>
      </c>
      <c r="AK617" s="37" t="s">
        <v>179</v>
      </c>
      <c r="AL617" s="1" t="s">
        <v>179</v>
      </c>
      <c r="AM617" s="1" t="s">
        <v>3067</v>
      </c>
      <c r="AN617" s="1" t="n">
        <v>1221</v>
      </c>
      <c r="AO617" s="37" t="n">
        <f aca="false">(AN617/Q617)*100</f>
        <v>0.6838535511658</v>
      </c>
      <c r="AP617" s="1" t="s">
        <v>85</v>
      </c>
      <c r="AQ617" s="1" t="s">
        <v>85</v>
      </c>
      <c r="AR617" s="1" t="s">
        <v>3068</v>
      </c>
      <c r="AS617" s="1" t="n">
        <v>928</v>
      </c>
      <c r="AT617" s="37" t="n">
        <f aca="false">(AS617/Q617)*100</f>
        <v>0.519751101950747</v>
      </c>
    </row>
    <row r="618" customFormat="false" ht="12.8" hidden="false" customHeight="true" outlineLevel="0" collapsed="false">
      <c r="A618" s="35" t="n">
        <v>2011</v>
      </c>
      <c r="B618" s="36" t="n">
        <v>140</v>
      </c>
      <c r="C618" s="1" t="s">
        <v>917</v>
      </c>
      <c r="D618" s="1" t="s">
        <v>902</v>
      </c>
      <c r="E618" s="1" t="s">
        <v>903</v>
      </c>
      <c r="F618" s="1" t="s">
        <v>904</v>
      </c>
      <c r="G618" s="1" t="s">
        <v>88</v>
      </c>
      <c r="H618" s="1" t="s">
        <v>51</v>
      </c>
      <c r="I618" s="1" t="s">
        <v>51</v>
      </c>
      <c r="J618" s="1" t="s">
        <v>51</v>
      </c>
      <c r="K618" s="1" t="s">
        <v>51</v>
      </c>
      <c r="L618" s="1" t="s">
        <v>51</v>
      </c>
      <c r="M618" s="1" t="s">
        <v>51</v>
      </c>
      <c r="N618" s="1" t="s">
        <v>51</v>
      </c>
      <c r="O618" s="1" t="s">
        <v>51</v>
      </c>
      <c r="P618" s="1" t="n">
        <v>205662</v>
      </c>
      <c r="Q618" s="1" t="n">
        <v>154321</v>
      </c>
      <c r="R618" s="37" t="n">
        <f aca="false">(Q618/P618)*100</f>
        <v>75.0362244848343</v>
      </c>
      <c r="S618" s="1" t="n">
        <f aca="false">Y618-AD618</f>
        <v>7179</v>
      </c>
      <c r="T618" s="37" t="n">
        <f aca="false">(S618/Q618)*100</f>
        <v>4.65199162784067</v>
      </c>
      <c r="U618" s="37" t="n">
        <f aca="false">Z618+AE618</f>
        <v>95.7776323377894</v>
      </c>
      <c r="V618" s="1" t="s">
        <v>55</v>
      </c>
      <c r="W618" s="1" t="s">
        <v>68</v>
      </c>
      <c r="X618" s="1" t="s">
        <v>3069</v>
      </c>
      <c r="Y618" s="1" t="n">
        <v>77492</v>
      </c>
      <c r="Z618" s="37" t="n">
        <f aca="false">(Y618/Q618)*100</f>
        <v>50.214811982815</v>
      </c>
      <c r="AA618" s="1" t="s">
        <v>52</v>
      </c>
      <c r="AB618" s="1" t="s">
        <v>53</v>
      </c>
      <c r="AC618" s="1" t="s">
        <v>3070</v>
      </c>
      <c r="AD618" s="1" t="n">
        <v>70313</v>
      </c>
      <c r="AE618" s="37" t="n">
        <f aca="false">(AD618/Q618)*100</f>
        <v>45.5628203549744</v>
      </c>
      <c r="AF618" s="1" t="s">
        <v>1431</v>
      </c>
      <c r="AG618" s="1" t="s">
        <v>171</v>
      </c>
      <c r="AH618" s="1" t="s">
        <v>3071</v>
      </c>
      <c r="AI618" s="1" t="n">
        <v>2569</v>
      </c>
      <c r="AJ618" s="37" t="n">
        <f aca="false">(AI618/Q618)*100</f>
        <v>1.66471186682305</v>
      </c>
      <c r="AK618" s="1" t="s">
        <v>179</v>
      </c>
      <c r="AL618" s="1" t="s">
        <v>179</v>
      </c>
      <c r="AM618" s="1" t="s">
        <v>1145</v>
      </c>
      <c r="AN618" s="1" t="n">
        <v>1487</v>
      </c>
      <c r="AO618" s="37" t="n">
        <f aca="false">(AN618/Q618)*100</f>
        <v>0.963575922913926</v>
      </c>
      <c r="AP618" s="37" t="s">
        <v>197</v>
      </c>
      <c r="AQ618" s="1" t="s">
        <v>197</v>
      </c>
      <c r="AR618" s="1" t="s">
        <v>3072</v>
      </c>
      <c r="AS618" s="1" t="n">
        <v>475</v>
      </c>
      <c r="AT618" s="37" t="n">
        <f aca="false">(AS618/Q618)*100</f>
        <v>0.307799975376002</v>
      </c>
    </row>
    <row r="619" customFormat="false" ht="12.8" hidden="false" customHeight="true" outlineLevel="0" collapsed="false">
      <c r="A619" s="35" t="n">
        <v>2011</v>
      </c>
      <c r="B619" s="36" t="n">
        <v>141</v>
      </c>
      <c r="C619" s="1" t="s">
        <v>923</v>
      </c>
      <c r="D619" s="1" t="s">
        <v>902</v>
      </c>
      <c r="E619" s="1" t="s">
        <v>903</v>
      </c>
      <c r="F619" s="1" t="s">
        <v>904</v>
      </c>
      <c r="G619" s="1" t="s">
        <v>88</v>
      </c>
      <c r="H619" s="1" t="s">
        <v>51</v>
      </c>
      <c r="I619" s="1" t="s">
        <v>526</v>
      </c>
      <c r="J619" s="1" t="s">
        <v>51</v>
      </c>
      <c r="K619" s="1" t="s">
        <v>51</v>
      </c>
      <c r="L619" s="1" t="s">
        <v>51</v>
      </c>
      <c r="M619" s="1" t="s">
        <v>51</v>
      </c>
      <c r="N619" s="1" t="s">
        <v>53</v>
      </c>
      <c r="O619" s="1" t="s">
        <v>51</v>
      </c>
      <c r="P619" s="1" t="n">
        <v>200933</v>
      </c>
      <c r="Q619" s="1" t="n">
        <v>151439</v>
      </c>
      <c r="R619" s="37" t="n">
        <f aca="false">(Q619/P619)*100</f>
        <v>75.367908705887</v>
      </c>
      <c r="S619" s="1" t="n">
        <f aca="false">Y619-AD619</f>
        <v>20626</v>
      </c>
      <c r="T619" s="37" t="n">
        <f aca="false">(S619/Q619)*100</f>
        <v>13.6200054147214</v>
      </c>
      <c r="U619" s="37" t="n">
        <f aca="false">Z619+AE619</f>
        <v>96.0558376640099</v>
      </c>
      <c r="V619" s="1" t="s">
        <v>55</v>
      </c>
      <c r="W619" s="1" t="s">
        <v>68</v>
      </c>
      <c r="X619" s="1" t="s">
        <v>2074</v>
      </c>
      <c r="Y619" s="1" t="n">
        <v>83046</v>
      </c>
      <c r="Z619" s="37" t="n">
        <f aca="false">(Y619/Q619)*100</f>
        <v>54.8379215393657</v>
      </c>
      <c r="AA619" s="1" t="s">
        <v>52</v>
      </c>
      <c r="AB619" s="1" t="s">
        <v>53</v>
      </c>
      <c r="AC619" s="1" t="s">
        <v>3073</v>
      </c>
      <c r="AD619" s="1" t="n">
        <v>62420</v>
      </c>
      <c r="AE619" s="37" t="n">
        <f aca="false">(AD619/Q619)*100</f>
        <v>41.2179161246442</v>
      </c>
      <c r="AF619" s="1" t="s">
        <v>1431</v>
      </c>
      <c r="AG619" s="1" t="s">
        <v>171</v>
      </c>
      <c r="AH619" s="1" t="s">
        <v>2721</v>
      </c>
      <c r="AI619" s="1" t="n">
        <v>3170</v>
      </c>
      <c r="AJ619" s="37" t="n">
        <f aca="false">(AI619/Q619)*100</f>
        <v>2.09325206848962</v>
      </c>
      <c r="AK619" s="37" t="s">
        <v>197</v>
      </c>
      <c r="AL619" s="1" t="s">
        <v>197</v>
      </c>
      <c r="AM619" s="1" t="s">
        <v>3074</v>
      </c>
      <c r="AN619" s="1" t="n">
        <v>631</v>
      </c>
      <c r="AO619" s="37" t="n">
        <f aca="false">(AN619/Q619)*100</f>
        <v>0.416669418049512</v>
      </c>
      <c r="AP619" s="37" t="s">
        <v>197</v>
      </c>
      <c r="AQ619" s="1" t="s">
        <v>2472</v>
      </c>
      <c r="AR619" s="1" t="s">
        <v>3075</v>
      </c>
      <c r="AS619" s="1" t="n">
        <v>539</v>
      </c>
      <c r="AT619" s="37" t="n">
        <f aca="false">(AS619/Q619)*100</f>
        <v>0.355918884831516</v>
      </c>
    </row>
    <row r="620" customFormat="false" ht="12.8" hidden="false" customHeight="true" outlineLevel="0" collapsed="false">
      <c r="A620" s="35" t="n">
        <v>2011</v>
      </c>
      <c r="B620" s="36" t="n">
        <v>142</v>
      </c>
      <c r="C620" s="1" t="s">
        <v>929</v>
      </c>
      <c r="D620" s="1" t="s">
        <v>902</v>
      </c>
      <c r="E620" s="1" t="s">
        <v>903</v>
      </c>
      <c r="F620" s="1" t="s">
        <v>904</v>
      </c>
      <c r="G620" s="1" t="s">
        <v>77</v>
      </c>
      <c r="H620" s="1" t="s">
        <v>51</v>
      </c>
      <c r="I620" s="1" t="s">
        <v>526</v>
      </c>
      <c r="J620" s="1" t="s">
        <v>51</v>
      </c>
      <c r="K620" s="1" t="s">
        <v>51</v>
      </c>
      <c r="L620" s="1" t="s">
        <v>51</v>
      </c>
      <c r="M620" s="1" t="s">
        <v>51</v>
      </c>
      <c r="N620" s="1" t="s">
        <v>51</v>
      </c>
      <c r="O620" s="1" t="s">
        <v>51</v>
      </c>
      <c r="P620" s="1" t="n">
        <v>209398</v>
      </c>
      <c r="Q620" s="1" t="n">
        <v>150543</v>
      </c>
      <c r="R620" s="37" t="n">
        <f aca="false">(Q620/P620)*100</f>
        <v>71.8932368026438</v>
      </c>
      <c r="S620" s="1" t="n">
        <f aca="false">Y620-AD620</f>
        <v>4205</v>
      </c>
      <c r="T620" s="37" t="n">
        <f aca="false">(S620/Q620)*100</f>
        <v>2.79322187016334</v>
      </c>
      <c r="U620" s="37" t="n">
        <f aca="false">Z620+AE620</f>
        <v>92.0049421095634</v>
      </c>
      <c r="V620" s="1" t="s">
        <v>55</v>
      </c>
      <c r="W620" s="1" t="s">
        <v>61</v>
      </c>
      <c r="X620" s="1" t="s">
        <v>934</v>
      </c>
      <c r="Y620" s="1" t="n">
        <v>71356</v>
      </c>
      <c r="Z620" s="37" t="n">
        <f aca="false">(Y620/Q620)*100</f>
        <v>47.3990819898634</v>
      </c>
      <c r="AA620" s="1" t="s">
        <v>52</v>
      </c>
      <c r="AB620" s="1" t="s">
        <v>53</v>
      </c>
      <c r="AC620" s="1" t="s">
        <v>3076</v>
      </c>
      <c r="AD620" s="1" t="n">
        <v>67151</v>
      </c>
      <c r="AE620" s="37" t="n">
        <f aca="false">(AD620/Q620)*100</f>
        <v>44.6058601197</v>
      </c>
      <c r="AF620" s="37" t="s">
        <v>179</v>
      </c>
      <c r="AG620" s="1" t="s">
        <v>179</v>
      </c>
      <c r="AH620" s="1" t="s">
        <v>3077</v>
      </c>
      <c r="AI620" s="1" t="n">
        <v>3688</v>
      </c>
      <c r="AJ620" s="37" t="n">
        <f aca="false">(AI620/Q620)*100</f>
        <v>2.44979839647144</v>
      </c>
      <c r="AK620" s="37" t="s">
        <v>197</v>
      </c>
      <c r="AL620" s="1" t="s">
        <v>197</v>
      </c>
      <c r="AM620" s="1" t="s">
        <v>3078</v>
      </c>
      <c r="AN620" s="1" t="n">
        <v>3145</v>
      </c>
      <c r="AO620" s="37" t="n">
        <f aca="false">(AN620/Q620)*100</f>
        <v>2.08910410978923</v>
      </c>
      <c r="AP620" s="37" t="s">
        <v>197</v>
      </c>
      <c r="AQ620" s="1" t="s">
        <v>197</v>
      </c>
      <c r="AR620" s="1" t="s">
        <v>3079</v>
      </c>
      <c r="AS620" s="1" t="n">
        <v>1885</v>
      </c>
      <c r="AT620" s="37" t="n">
        <f aca="false">(AS620/Q620)*100</f>
        <v>1.25213394179736</v>
      </c>
    </row>
    <row r="621" customFormat="false" ht="12.8" hidden="false" customHeight="true" outlineLevel="0" collapsed="false">
      <c r="A621" s="35" t="n">
        <v>2011</v>
      </c>
      <c r="B621" s="36" t="n">
        <v>143</v>
      </c>
      <c r="C621" s="1" t="s">
        <v>935</v>
      </c>
      <c r="D621" s="1" t="s">
        <v>902</v>
      </c>
      <c r="E621" s="1" t="s">
        <v>903</v>
      </c>
      <c r="F621" s="1" t="s">
        <v>904</v>
      </c>
      <c r="G621" s="1" t="s">
        <v>50</v>
      </c>
      <c r="H621" s="1" t="s">
        <v>51</v>
      </c>
      <c r="I621" s="1" t="s">
        <v>51</v>
      </c>
      <c r="J621" s="1" t="s">
        <v>51</v>
      </c>
      <c r="K621" s="1" t="s">
        <v>53</v>
      </c>
      <c r="L621" s="1" t="s">
        <v>51</v>
      </c>
      <c r="M621" s="1" t="s">
        <v>53</v>
      </c>
      <c r="N621" s="1" t="s">
        <v>51</v>
      </c>
      <c r="O621" s="1" t="s">
        <v>51</v>
      </c>
      <c r="P621" s="1" t="n">
        <v>175172</v>
      </c>
      <c r="Q621" s="1" t="n">
        <v>146201</v>
      </c>
      <c r="R621" s="37" t="n">
        <f aca="false">(Q621/P621)*100</f>
        <v>83.4613979403101</v>
      </c>
      <c r="S621" s="1" t="n">
        <f aca="false">Y621-AD621</f>
        <v>7155</v>
      </c>
      <c r="T621" s="37" t="n">
        <f aca="false">(S621/Q621)*100</f>
        <v>4.89394737382097</v>
      </c>
      <c r="U621" s="37" t="n">
        <f aca="false">Z621+AE621</f>
        <v>84.521309703764</v>
      </c>
      <c r="V621" s="1" t="s">
        <v>52</v>
      </c>
      <c r="W621" s="1" t="s">
        <v>53</v>
      </c>
      <c r="X621" s="1" t="s">
        <v>2085</v>
      </c>
      <c r="Y621" s="1" t="n">
        <v>65363</v>
      </c>
      <c r="Z621" s="37" t="n">
        <f aca="false">(Y621/Q621)*100</f>
        <v>44.7076285387925</v>
      </c>
      <c r="AA621" s="1" t="s">
        <v>55</v>
      </c>
      <c r="AB621" s="1" t="s">
        <v>61</v>
      </c>
      <c r="AC621" s="1" t="s">
        <v>3080</v>
      </c>
      <c r="AD621" s="1" t="n">
        <v>58208</v>
      </c>
      <c r="AE621" s="37" t="n">
        <f aca="false">(AD621/Q621)*100</f>
        <v>39.8136811649715</v>
      </c>
      <c r="AF621" s="37" t="s">
        <v>179</v>
      </c>
      <c r="AG621" s="1" t="s">
        <v>179</v>
      </c>
      <c r="AH621" s="1" t="s">
        <v>3081</v>
      </c>
      <c r="AI621" s="1" t="n">
        <v>14004</v>
      </c>
      <c r="AJ621" s="37" t="n">
        <f aca="false">(AI621/Q621)*100</f>
        <v>9.57859385366721</v>
      </c>
      <c r="AK621" s="1" t="s">
        <v>1431</v>
      </c>
      <c r="AL621" s="1" t="s">
        <v>171</v>
      </c>
      <c r="AM621" s="1" t="s">
        <v>3082</v>
      </c>
      <c r="AN621" s="1" t="n">
        <v>2413</v>
      </c>
      <c r="AO621" s="37" t="n">
        <f aca="false">(AN621/Q621)*100</f>
        <v>1.6504675070622</v>
      </c>
      <c r="AP621" s="37" t="s">
        <v>197</v>
      </c>
      <c r="AQ621" s="1" t="s">
        <v>197</v>
      </c>
      <c r="AR621" s="1" t="s">
        <v>3083</v>
      </c>
      <c r="AS621" s="1" t="n">
        <v>1452</v>
      </c>
      <c r="AT621" s="37" t="n">
        <f aca="false">(AS621/Q621)*100</f>
        <v>0.993153261605598</v>
      </c>
    </row>
    <row r="622" customFormat="false" ht="12.8" hidden="false" customHeight="true" outlineLevel="0" collapsed="false">
      <c r="A622" s="35" t="n">
        <v>2011</v>
      </c>
      <c r="B622" s="36" t="n">
        <v>144</v>
      </c>
      <c r="C622" s="1" t="s">
        <v>940</v>
      </c>
      <c r="D622" s="1" t="s">
        <v>902</v>
      </c>
      <c r="E622" s="1" t="s">
        <v>903</v>
      </c>
      <c r="F622" s="1" t="s">
        <v>904</v>
      </c>
      <c r="G622" s="1" t="s">
        <v>50</v>
      </c>
      <c r="H622" s="1" t="s">
        <v>51</v>
      </c>
      <c r="I622" s="1" t="s">
        <v>51</v>
      </c>
      <c r="J622" s="1" t="s">
        <v>51</v>
      </c>
      <c r="K622" s="1" t="s">
        <v>51</v>
      </c>
      <c r="L622" s="1" t="s">
        <v>51</v>
      </c>
      <c r="M622" s="1" t="s">
        <v>51</v>
      </c>
      <c r="N622" s="1" t="s">
        <v>51</v>
      </c>
      <c r="O622" s="1" t="s">
        <v>51</v>
      </c>
      <c r="P622" s="1" t="n">
        <v>186109</v>
      </c>
      <c r="Q622" s="1" t="n">
        <v>156437</v>
      </c>
      <c r="R622" s="37" t="n">
        <f aca="false">(Q622/P622)*100</f>
        <v>84.0566549710116</v>
      </c>
      <c r="S622" s="1" t="n">
        <f aca="false">Y622-AD622</f>
        <v>19190</v>
      </c>
      <c r="T622" s="37" t="n">
        <f aca="false">(S622/Q622)*100</f>
        <v>12.266918951399</v>
      </c>
      <c r="U622" s="37" t="n">
        <f aca="false">Z622+AE622</f>
        <v>93.9803243478205</v>
      </c>
      <c r="V622" s="1" t="s">
        <v>55</v>
      </c>
      <c r="W622" s="1" t="s">
        <v>68</v>
      </c>
      <c r="X622" s="1" t="s">
        <v>3084</v>
      </c>
      <c r="Y622" s="1" t="n">
        <v>83105</v>
      </c>
      <c r="Z622" s="37" t="n">
        <f aca="false">(Y622/Q622)*100</f>
        <v>53.1236216496097</v>
      </c>
      <c r="AA622" s="1" t="s">
        <v>52</v>
      </c>
      <c r="AB622" s="1" t="s">
        <v>53</v>
      </c>
      <c r="AC622" s="1" t="s">
        <v>3085</v>
      </c>
      <c r="AD622" s="1" t="n">
        <v>63915</v>
      </c>
      <c r="AE622" s="37" t="n">
        <f aca="false">(AD622/Q622)*100</f>
        <v>40.8567026982108</v>
      </c>
      <c r="AF622" s="1" t="s">
        <v>1431</v>
      </c>
      <c r="AG622" s="1" t="s">
        <v>171</v>
      </c>
      <c r="AH622" s="1" t="s">
        <v>3086</v>
      </c>
      <c r="AI622" s="1" t="n">
        <v>4127</v>
      </c>
      <c r="AJ622" s="37" t="n">
        <f aca="false">(AI622/Q622)*100</f>
        <v>2.63812269475891</v>
      </c>
      <c r="AK622" s="37" t="s">
        <v>197</v>
      </c>
      <c r="AL622" s="1" t="s">
        <v>197</v>
      </c>
      <c r="AM622" s="1" t="s">
        <v>3087</v>
      </c>
      <c r="AN622" s="1" t="n">
        <v>1093</v>
      </c>
      <c r="AO622" s="37" t="n">
        <f aca="false">(AN622/Q622)*100</f>
        <v>0.698683815209957</v>
      </c>
      <c r="AP622" s="37" t="s">
        <v>197</v>
      </c>
      <c r="AQ622" s="1" t="s">
        <v>2470</v>
      </c>
      <c r="AR622" s="1" t="s">
        <v>3088</v>
      </c>
      <c r="AS622" s="1" t="n">
        <v>1010</v>
      </c>
      <c r="AT622" s="37" t="n">
        <f aca="false">(AS622/Q622)*100</f>
        <v>0.645627313231524</v>
      </c>
    </row>
    <row r="623" customFormat="false" ht="12.8" hidden="false" customHeight="true" outlineLevel="0" collapsed="false">
      <c r="A623" s="35" t="n">
        <v>2011</v>
      </c>
      <c r="B623" s="36" t="n">
        <v>145</v>
      </c>
      <c r="C623" s="1" t="s">
        <v>946</v>
      </c>
      <c r="D623" s="1" t="s">
        <v>902</v>
      </c>
      <c r="E623" s="1" t="s">
        <v>903</v>
      </c>
      <c r="F623" s="1" t="s">
        <v>904</v>
      </c>
      <c r="G623" s="1" t="s">
        <v>50</v>
      </c>
      <c r="H623" s="1" t="s">
        <v>51</v>
      </c>
      <c r="I623" s="1" t="s">
        <v>51</v>
      </c>
      <c r="J623" s="1" t="s">
        <v>51</v>
      </c>
      <c r="K623" s="1" t="s">
        <v>51</v>
      </c>
      <c r="L623" s="1" t="s">
        <v>51</v>
      </c>
      <c r="M623" s="1" t="s">
        <v>51</v>
      </c>
      <c r="N623" s="1" t="s">
        <v>68</v>
      </c>
      <c r="O623" s="1" t="s">
        <v>51</v>
      </c>
      <c r="P623" s="1" t="n">
        <v>184922</v>
      </c>
      <c r="Q623" s="1" t="n">
        <v>150808</v>
      </c>
      <c r="R623" s="37" t="n">
        <f aca="false">(Q623/P623)*100</f>
        <v>81.5522220179319</v>
      </c>
      <c r="S623" s="1" t="n">
        <f aca="false">Y623-AD623</f>
        <v>43791</v>
      </c>
      <c r="T623" s="37" t="n">
        <f aca="false">(S623/Q623)*100</f>
        <v>29.0375842130391</v>
      </c>
      <c r="U623" s="37" t="n">
        <f aca="false">Z623+AE623</f>
        <v>80.546787968808</v>
      </c>
      <c r="V623" s="1" t="s">
        <v>55</v>
      </c>
      <c r="W623" s="1" t="s">
        <v>68</v>
      </c>
      <c r="X623" s="1" t="s">
        <v>3089</v>
      </c>
      <c r="Y623" s="1" t="n">
        <v>82631</v>
      </c>
      <c r="Z623" s="37" t="n">
        <f aca="false">(Y623/Q623)*100</f>
        <v>54.7921860909236</v>
      </c>
      <c r="AA623" s="1" t="s">
        <v>52</v>
      </c>
      <c r="AB623" s="1" t="s">
        <v>66</v>
      </c>
      <c r="AC623" s="1" t="s">
        <v>3090</v>
      </c>
      <c r="AD623" s="1" t="n">
        <v>38840</v>
      </c>
      <c r="AE623" s="37" t="n">
        <f aca="false">(AD623/Q623)*100</f>
        <v>25.7546018778845</v>
      </c>
      <c r="AF623" s="1" t="s">
        <v>197</v>
      </c>
      <c r="AG623" s="1" t="s">
        <v>197</v>
      </c>
      <c r="AH623" s="1" t="s">
        <v>3091</v>
      </c>
      <c r="AI623" s="1" t="n">
        <v>19193</v>
      </c>
      <c r="AJ623" s="37" t="n">
        <f aca="false">(AI623/Q623)*100</f>
        <v>12.726778420243</v>
      </c>
      <c r="AK623" s="1" t="s">
        <v>1431</v>
      </c>
      <c r="AL623" s="1" t="s">
        <v>171</v>
      </c>
      <c r="AM623" s="1" t="s">
        <v>3092</v>
      </c>
      <c r="AN623" s="1" t="n">
        <v>2743</v>
      </c>
      <c r="AO623" s="37" t="n">
        <f aca="false">(AN623/Q623)*100</f>
        <v>1.81886902551589</v>
      </c>
      <c r="AP623" s="37" t="s">
        <v>197</v>
      </c>
      <c r="AQ623" s="1" t="s">
        <v>197</v>
      </c>
      <c r="AR623" s="1" t="s">
        <v>3093</v>
      </c>
      <c r="AS623" s="1" t="n">
        <v>1761</v>
      </c>
      <c r="AT623" s="37" t="n">
        <f aca="false">(AS623/Q623)*100</f>
        <v>1.16770993581242</v>
      </c>
    </row>
    <row r="624" customFormat="false" ht="12.8" hidden="false" customHeight="true" outlineLevel="0" collapsed="false">
      <c r="A624" s="35" t="n">
        <v>2011</v>
      </c>
      <c r="B624" s="36" t="n">
        <v>146</v>
      </c>
      <c r="C624" s="1" t="s">
        <v>952</v>
      </c>
      <c r="D624" s="1" t="s">
        <v>902</v>
      </c>
      <c r="E624" s="1" t="s">
        <v>903</v>
      </c>
      <c r="F624" s="1" t="s">
        <v>904</v>
      </c>
      <c r="G624" s="1" t="s">
        <v>77</v>
      </c>
      <c r="H624" s="1" t="s">
        <v>65</v>
      </c>
      <c r="I624" s="1" t="s">
        <v>526</v>
      </c>
      <c r="J624" s="1" t="s">
        <v>51</v>
      </c>
      <c r="K624" s="1" t="s">
        <v>51</v>
      </c>
      <c r="L624" s="1" t="s">
        <v>51</v>
      </c>
      <c r="M624" s="1" t="s">
        <v>51</v>
      </c>
      <c r="N624" s="1" t="s">
        <v>51</v>
      </c>
      <c r="O624" s="1" t="s">
        <v>51</v>
      </c>
      <c r="P624" s="1" t="n">
        <v>180988</v>
      </c>
      <c r="Q624" s="1" t="n">
        <v>148452</v>
      </c>
      <c r="R624" s="37" t="n">
        <f aca="false">(Q624/P624)*100</f>
        <v>82.023117554755</v>
      </c>
      <c r="S624" s="1" t="n">
        <f aca="false">Y624-AD624</f>
        <v>10935</v>
      </c>
      <c r="T624" s="37" t="n">
        <f aca="false">(S624/Q624)*100</f>
        <v>7.36601729852074</v>
      </c>
      <c r="U624" s="37" t="n">
        <f aca="false">Z624+AE624</f>
        <v>93.9839139924016</v>
      </c>
      <c r="V624" s="1" t="s">
        <v>55</v>
      </c>
      <c r="W624" s="1" t="s">
        <v>68</v>
      </c>
      <c r="X624" s="1" t="s">
        <v>3094</v>
      </c>
      <c r="Y624" s="1" t="n">
        <v>75228</v>
      </c>
      <c r="Z624" s="37" t="n">
        <f aca="false">(Y624/Q624)*100</f>
        <v>50.6749656454612</v>
      </c>
      <c r="AA624" s="1" t="s">
        <v>52</v>
      </c>
      <c r="AB624" s="1" t="s">
        <v>53</v>
      </c>
      <c r="AC624" s="1" t="s">
        <v>3095</v>
      </c>
      <c r="AD624" s="1" t="n">
        <v>64293</v>
      </c>
      <c r="AE624" s="37" t="n">
        <f aca="false">(AD624/Q624)*100</f>
        <v>43.3089483469404</v>
      </c>
      <c r="AF624" s="1" t="s">
        <v>1431</v>
      </c>
      <c r="AG624" s="1" t="s">
        <v>171</v>
      </c>
      <c r="AH624" s="1" t="s">
        <v>3096</v>
      </c>
      <c r="AI624" s="1" t="n">
        <v>1828</v>
      </c>
      <c r="AJ624" s="37" t="n">
        <f aca="false">(AI624/Q624)*100</f>
        <v>1.231374451001</v>
      </c>
      <c r="AK624" s="37" t="s">
        <v>197</v>
      </c>
      <c r="AL624" s="1" t="s">
        <v>197</v>
      </c>
      <c r="AM624" s="1" t="s">
        <v>3097</v>
      </c>
      <c r="AN624" s="1" t="n">
        <v>1753</v>
      </c>
      <c r="AO624" s="37" t="n">
        <f aca="false">(AN624/Q624)*100</f>
        <v>1.18085307035271</v>
      </c>
      <c r="AP624" s="37" t="s">
        <v>197</v>
      </c>
      <c r="AQ624" s="1" t="s">
        <v>197</v>
      </c>
      <c r="AR624" s="1" t="s">
        <v>3098</v>
      </c>
      <c r="AS624" s="1" t="n">
        <v>1295</v>
      </c>
      <c r="AT624" s="37" t="n">
        <f aca="false">(AS624/Q624)*100</f>
        <v>0.872335839193814</v>
      </c>
    </row>
    <row r="625" customFormat="false" ht="12.8" hidden="false" customHeight="true" outlineLevel="0" collapsed="false">
      <c r="A625" s="35" t="n">
        <v>2011</v>
      </c>
      <c r="B625" s="36" t="n">
        <v>147</v>
      </c>
      <c r="C625" s="1" t="s">
        <v>958</v>
      </c>
      <c r="D625" s="1" t="s">
        <v>958</v>
      </c>
      <c r="E625" s="1" t="s">
        <v>903</v>
      </c>
      <c r="F625" s="1" t="s">
        <v>904</v>
      </c>
      <c r="G625" s="1" t="s">
        <v>77</v>
      </c>
      <c r="H625" s="1" t="s">
        <v>65</v>
      </c>
      <c r="I625" s="1" t="s">
        <v>51</v>
      </c>
      <c r="J625" s="1" t="s">
        <v>51</v>
      </c>
      <c r="K625" s="1" t="s">
        <v>51</v>
      </c>
      <c r="L625" s="1" t="s">
        <v>51</v>
      </c>
      <c r="M625" s="1" t="s">
        <v>51</v>
      </c>
      <c r="N625" s="1" t="s">
        <v>51</v>
      </c>
      <c r="O625" s="1" t="s">
        <v>51</v>
      </c>
      <c r="P625" s="1" t="n">
        <v>228439</v>
      </c>
      <c r="Q625" s="1" t="n">
        <v>188725</v>
      </c>
      <c r="R625" s="37" t="n">
        <f aca="false">(Q625/P625)*100</f>
        <v>82.6150525960979</v>
      </c>
      <c r="S625" s="1" t="n">
        <f aca="false">Y625-AD625</f>
        <v>19079</v>
      </c>
      <c r="T625" s="37" t="n">
        <f aca="false">(S625/Q625)*100</f>
        <v>10.109418466022</v>
      </c>
      <c r="U625" s="37" t="n">
        <f aca="false">Z625+AE625</f>
        <v>94.272089018413</v>
      </c>
      <c r="V625" s="1" t="s">
        <v>55</v>
      </c>
      <c r="W625" s="1" t="s">
        <v>68</v>
      </c>
      <c r="X625" s="1" t="s">
        <v>3099</v>
      </c>
      <c r="Y625" s="1" t="n">
        <v>98497</v>
      </c>
      <c r="Z625" s="37" t="n">
        <f aca="false">(Y625/Q625)*100</f>
        <v>52.1907537422175</v>
      </c>
      <c r="AA625" s="1" t="s">
        <v>52</v>
      </c>
      <c r="AB625" s="1" t="s">
        <v>53</v>
      </c>
      <c r="AC625" s="1" t="s">
        <v>3100</v>
      </c>
      <c r="AD625" s="1" t="n">
        <v>79418</v>
      </c>
      <c r="AE625" s="37" t="n">
        <f aca="false">(AD625/Q625)*100</f>
        <v>42.0813352761955</v>
      </c>
      <c r="AF625" s="37" t="s">
        <v>179</v>
      </c>
      <c r="AG625" s="1" t="s">
        <v>179</v>
      </c>
      <c r="AH625" s="1" t="s">
        <v>3101</v>
      </c>
      <c r="AI625" s="1" t="n">
        <v>3668</v>
      </c>
      <c r="AJ625" s="37" t="n">
        <f aca="false">(AI625/Q625)*100</f>
        <v>1.94356868459399</v>
      </c>
      <c r="AK625" s="37" t="s">
        <v>197</v>
      </c>
      <c r="AL625" s="1" t="s">
        <v>197</v>
      </c>
      <c r="AM625" s="1" t="s">
        <v>3102</v>
      </c>
      <c r="AN625" s="1" t="n">
        <v>2020</v>
      </c>
      <c r="AO625" s="37" t="n">
        <f aca="false">(AN625/Q625)*100</f>
        <v>1.07034044244271</v>
      </c>
      <c r="AP625" s="1" t="s">
        <v>85</v>
      </c>
      <c r="AQ625" s="1" t="s">
        <v>85</v>
      </c>
      <c r="AR625" s="1" t="s">
        <v>1973</v>
      </c>
      <c r="AS625" s="1" t="n">
        <v>1851</v>
      </c>
      <c r="AT625" s="37" t="n">
        <f aca="false">(AS625/Q625)*100</f>
        <v>0.980792157901709</v>
      </c>
    </row>
    <row r="626" customFormat="false" ht="12.8" hidden="false" customHeight="true" outlineLevel="0" collapsed="false">
      <c r="A626" s="35" t="n">
        <v>2011</v>
      </c>
      <c r="B626" s="36" t="n">
        <v>148</v>
      </c>
      <c r="C626" s="1" t="s">
        <v>963</v>
      </c>
      <c r="D626" s="1" t="s">
        <v>958</v>
      </c>
      <c r="E626" s="1" t="s">
        <v>903</v>
      </c>
      <c r="F626" s="1" t="s">
        <v>904</v>
      </c>
      <c r="G626" s="1" t="s">
        <v>50</v>
      </c>
      <c r="H626" s="1" t="s">
        <v>51</v>
      </c>
      <c r="I626" s="1" t="s">
        <v>51</v>
      </c>
      <c r="J626" s="1" t="s">
        <v>51</v>
      </c>
      <c r="K626" s="1" t="s">
        <v>51</v>
      </c>
      <c r="L626" s="1" t="s">
        <v>51</v>
      </c>
      <c r="M626" s="1" t="s">
        <v>51</v>
      </c>
      <c r="N626" s="1" t="s">
        <v>51</v>
      </c>
      <c r="O626" s="1" t="s">
        <v>51</v>
      </c>
      <c r="P626" s="1" t="n">
        <v>212789</v>
      </c>
      <c r="Q626" s="1" t="n">
        <v>174294</v>
      </c>
      <c r="R626" s="37" t="n">
        <f aca="false">(Q626/P626)*100</f>
        <v>81.9093092218113</v>
      </c>
      <c r="S626" s="1" t="n">
        <f aca="false">Y626-AD626</f>
        <v>22957</v>
      </c>
      <c r="T626" s="37" t="n">
        <f aca="false">(S626/Q626)*100</f>
        <v>13.171422997923</v>
      </c>
      <c r="U626" s="37" t="n">
        <f aca="false">Z626+AE626</f>
        <v>80.6046106004797</v>
      </c>
      <c r="V626" s="1" t="s">
        <v>52</v>
      </c>
      <c r="W626" s="1" t="s">
        <v>53</v>
      </c>
      <c r="X626" s="1" t="s">
        <v>2109</v>
      </c>
      <c r="Y626" s="1" t="n">
        <v>81723</v>
      </c>
      <c r="Z626" s="37" t="n">
        <f aca="false">(Y626/Q626)*100</f>
        <v>46.8880167992013</v>
      </c>
      <c r="AA626" s="1" t="s">
        <v>55</v>
      </c>
      <c r="AB626" s="1" t="s">
        <v>61</v>
      </c>
      <c r="AC626" s="1" t="s">
        <v>3103</v>
      </c>
      <c r="AD626" s="1" t="n">
        <v>58766</v>
      </c>
      <c r="AE626" s="37" t="n">
        <f aca="false">(AD626/Q626)*100</f>
        <v>33.7165938012783</v>
      </c>
      <c r="AF626" s="37" t="s">
        <v>179</v>
      </c>
      <c r="AG626" s="1" t="s">
        <v>179</v>
      </c>
      <c r="AH626" s="1" t="s">
        <v>3104</v>
      </c>
      <c r="AI626" s="1" t="n">
        <v>13735</v>
      </c>
      <c r="AJ626" s="37" t="n">
        <f aca="false">(AI626/Q626)*100</f>
        <v>7.88036306470676</v>
      </c>
      <c r="AK626" s="37" t="s">
        <v>197</v>
      </c>
      <c r="AL626" s="1" t="s">
        <v>197</v>
      </c>
      <c r="AM626" s="1" t="s">
        <v>3105</v>
      </c>
      <c r="AN626" s="1" t="n">
        <v>8395</v>
      </c>
      <c r="AO626" s="37" t="n">
        <f aca="false">(AN626/Q626)*100</f>
        <v>4.81657429400897</v>
      </c>
      <c r="AP626" s="1" t="s">
        <v>1431</v>
      </c>
      <c r="AQ626" s="1" t="s">
        <v>171</v>
      </c>
      <c r="AR626" s="1" t="s">
        <v>3106</v>
      </c>
      <c r="AS626" s="1" t="n">
        <v>2509</v>
      </c>
      <c r="AT626" s="37" t="n">
        <f aca="false">(AS626/Q626)*100</f>
        <v>1.43952172765557</v>
      </c>
    </row>
    <row r="627" customFormat="false" ht="12.8" hidden="false" customHeight="true" outlineLevel="0" collapsed="false">
      <c r="A627" s="35" t="n">
        <v>2011</v>
      </c>
      <c r="B627" s="36" t="n">
        <v>149</v>
      </c>
      <c r="C627" s="1" t="s">
        <v>968</v>
      </c>
      <c r="D627" s="1" t="s">
        <v>968</v>
      </c>
      <c r="E627" s="1" t="s">
        <v>903</v>
      </c>
      <c r="F627" s="1" t="s">
        <v>904</v>
      </c>
      <c r="G627" s="1" t="s">
        <v>77</v>
      </c>
      <c r="H627" s="1" t="s">
        <v>51</v>
      </c>
      <c r="I627" s="1" t="s">
        <v>51</v>
      </c>
      <c r="J627" s="1" t="s">
        <v>51</v>
      </c>
      <c r="K627" s="1" t="s">
        <v>51</v>
      </c>
      <c r="L627" s="1" t="s">
        <v>51</v>
      </c>
      <c r="M627" s="1" t="s">
        <v>51</v>
      </c>
      <c r="N627" s="1" t="s">
        <v>51</v>
      </c>
      <c r="O627" s="1" t="s">
        <v>51</v>
      </c>
      <c r="P627" s="1" t="n">
        <v>218992</v>
      </c>
      <c r="Q627" s="1" t="n">
        <v>185749</v>
      </c>
      <c r="R627" s="37" t="n">
        <f aca="false">(Q627/P627)*100</f>
        <v>84.8199934244173</v>
      </c>
      <c r="S627" s="1" t="n">
        <f aca="false">Y627-AD627</f>
        <v>17820</v>
      </c>
      <c r="T627" s="37" t="n">
        <f aca="false">(S627/Q627)*100</f>
        <v>9.5935913517704</v>
      </c>
      <c r="U627" s="37" t="n">
        <f aca="false">Z627+AE627</f>
        <v>85.9396282079581</v>
      </c>
      <c r="V627" s="1" t="s">
        <v>55</v>
      </c>
      <c r="W627" s="1" t="s">
        <v>68</v>
      </c>
      <c r="X627" s="1" t="s">
        <v>3107</v>
      </c>
      <c r="Y627" s="1" t="n">
        <v>88726</v>
      </c>
      <c r="Z627" s="37" t="n">
        <f aca="false">(Y627/Q627)*100</f>
        <v>47.7666097798642</v>
      </c>
      <c r="AA627" s="1" t="s">
        <v>52</v>
      </c>
      <c r="AB627" s="1" t="s">
        <v>66</v>
      </c>
      <c r="AC627" s="1" t="s">
        <v>3108</v>
      </c>
      <c r="AD627" s="1" t="n">
        <v>70906</v>
      </c>
      <c r="AE627" s="37" t="n">
        <f aca="false">(AD627/Q627)*100</f>
        <v>38.1730184280938</v>
      </c>
      <c r="AF627" s="37" t="s">
        <v>179</v>
      </c>
      <c r="AG627" s="1" t="s">
        <v>179</v>
      </c>
      <c r="AH627" s="1" t="s">
        <v>3109</v>
      </c>
      <c r="AI627" s="1" t="n">
        <v>9501</v>
      </c>
      <c r="AJ627" s="37" t="n">
        <f aca="false">(AI627/Q627)*100</f>
        <v>5.11496697155839</v>
      </c>
      <c r="AK627" s="37" t="s">
        <v>197</v>
      </c>
      <c r="AL627" s="1" t="s">
        <v>197</v>
      </c>
      <c r="AM627" s="1" t="s">
        <v>3110</v>
      </c>
      <c r="AN627" s="1" t="n">
        <v>7099</v>
      </c>
      <c r="AO627" s="37" t="n">
        <f aca="false">(AN627/Q627)*100</f>
        <v>3.82182407442301</v>
      </c>
      <c r="AP627" s="1" t="s">
        <v>1431</v>
      </c>
      <c r="AQ627" s="1" t="s">
        <v>171</v>
      </c>
      <c r="AR627" s="1" t="s">
        <v>3111</v>
      </c>
      <c r="AS627" s="1" t="n">
        <v>2981</v>
      </c>
      <c r="AT627" s="37" t="n">
        <f aca="false">(AS627/Q627)*100</f>
        <v>1.60485386193196</v>
      </c>
    </row>
    <row r="628" customFormat="false" ht="12.8" hidden="false" customHeight="true" outlineLevel="0" collapsed="false">
      <c r="A628" s="35" t="n">
        <v>2011</v>
      </c>
      <c r="B628" s="36" t="n">
        <v>150</v>
      </c>
      <c r="C628" s="1" t="s">
        <v>973</v>
      </c>
      <c r="D628" s="1" t="s">
        <v>968</v>
      </c>
      <c r="E628" s="1" t="s">
        <v>903</v>
      </c>
      <c r="F628" s="1" t="s">
        <v>904</v>
      </c>
      <c r="G628" s="1" t="s">
        <v>77</v>
      </c>
      <c r="H628" s="1" t="s">
        <v>51</v>
      </c>
      <c r="I628" s="1" t="s">
        <v>51</v>
      </c>
      <c r="J628" s="1" t="s">
        <v>51</v>
      </c>
      <c r="K628" s="1" t="s">
        <v>51</v>
      </c>
      <c r="L628" s="1" t="s">
        <v>51</v>
      </c>
      <c r="M628" s="1" t="s">
        <v>51</v>
      </c>
      <c r="N628" s="1" t="s">
        <v>51</v>
      </c>
      <c r="O628" s="1" t="s">
        <v>51</v>
      </c>
      <c r="P628" s="1" t="n">
        <v>216216</v>
      </c>
      <c r="Q628" s="1" t="n">
        <v>179981</v>
      </c>
      <c r="R628" s="37" t="n">
        <f aca="false">(Q628/P628)*100</f>
        <v>83.2412957412957</v>
      </c>
      <c r="S628" s="1" t="n">
        <f aca="false">Y628-AD628</f>
        <v>15138</v>
      </c>
      <c r="T628" s="37" t="n">
        <f aca="false">(S628/Q628)*100</f>
        <v>8.41088781593613</v>
      </c>
      <c r="U628" s="37" t="n">
        <f aca="false">Z628+AE628</f>
        <v>94.643323461921</v>
      </c>
      <c r="V628" s="1" t="s">
        <v>52</v>
      </c>
      <c r="W628" s="1" t="s">
        <v>56</v>
      </c>
      <c r="X628" s="1" t="s">
        <v>2113</v>
      </c>
      <c r="Y628" s="1" t="n">
        <v>92739</v>
      </c>
      <c r="Z628" s="37" t="n">
        <f aca="false">(Y628/Q628)*100</f>
        <v>51.5271056389285</v>
      </c>
      <c r="AA628" s="1" t="s">
        <v>55</v>
      </c>
      <c r="AB628" s="1" t="s">
        <v>68</v>
      </c>
      <c r="AC628" s="1" t="s">
        <v>3112</v>
      </c>
      <c r="AD628" s="1" t="n">
        <v>77601</v>
      </c>
      <c r="AE628" s="37" t="n">
        <f aca="false">(AD628/Q628)*100</f>
        <v>43.1162178229924</v>
      </c>
      <c r="AF628" s="1" t="s">
        <v>1431</v>
      </c>
      <c r="AG628" s="1" t="s">
        <v>171</v>
      </c>
      <c r="AH628" s="1" t="s">
        <v>1973</v>
      </c>
      <c r="AI628" s="1" t="n">
        <v>1775</v>
      </c>
      <c r="AJ628" s="37" t="n">
        <f aca="false">(AI628/Q628)*100</f>
        <v>0.98621521160567</v>
      </c>
      <c r="AK628" s="37" t="s">
        <v>179</v>
      </c>
      <c r="AL628" s="1" t="s">
        <v>179</v>
      </c>
      <c r="AM628" s="1" t="s">
        <v>3113</v>
      </c>
      <c r="AN628" s="1" t="n">
        <v>1771</v>
      </c>
      <c r="AO628" s="37" t="n">
        <f aca="false">(AN628/Q628)*100</f>
        <v>0.983992754790784</v>
      </c>
      <c r="AP628" s="37" t="s">
        <v>197</v>
      </c>
      <c r="AQ628" s="1" t="s">
        <v>197</v>
      </c>
      <c r="AR628" s="1" t="s">
        <v>3114</v>
      </c>
      <c r="AS628" s="1" t="n">
        <v>1698</v>
      </c>
      <c r="AT628" s="37" t="n">
        <f aca="false">(AS628/Q628)*100</f>
        <v>0.943432917919114</v>
      </c>
    </row>
    <row r="629" customFormat="false" ht="12.8" hidden="false" customHeight="true" outlineLevel="0" collapsed="false">
      <c r="A629" s="35" t="n">
        <v>2011</v>
      </c>
      <c r="B629" s="36" t="n">
        <v>160</v>
      </c>
      <c r="C629" s="1" t="s">
        <v>978</v>
      </c>
      <c r="D629" s="1" t="s">
        <v>979</v>
      </c>
      <c r="E629" s="1" t="s">
        <v>903</v>
      </c>
      <c r="F629" s="1" t="s">
        <v>980</v>
      </c>
      <c r="G629" s="1" t="s">
        <v>77</v>
      </c>
      <c r="H629" s="1" t="s">
        <v>65</v>
      </c>
      <c r="I629" s="1" t="s">
        <v>526</v>
      </c>
      <c r="J629" s="1" t="s">
        <v>51</v>
      </c>
      <c r="K629" s="1" t="s">
        <v>51</v>
      </c>
      <c r="L629" s="1" t="s">
        <v>51</v>
      </c>
      <c r="M629" s="1" t="s">
        <v>51</v>
      </c>
      <c r="N629" s="1" t="s">
        <v>51</v>
      </c>
      <c r="O629" s="1" t="s">
        <v>51</v>
      </c>
      <c r="P629" s="1" t="n">
        <v>194824</v>
      </c>
      <c r="Q629" s="1" t="n">
        <v>153561</v>
      </c>
      <c r="R629" s="37" t="n">
        <f aca="false">(Q629/P629)*100</f>
        <v>78.8203712068328</v>
      </c>
      <c r="S629" s="1" t="n">
        <f aca="false">Y629-AD629</f>
        <v>27379</v>
      </c>
      <c r="T629" s="37" t="n">
        <f aca="false">(S629/Q629)*100</f>
        <v>17.8293967869446</v>
      </c>
      <c r="U629" s="37" t="n">
        <f aca="false">Z629+AE629</f>
        <v>91.4183939932665</v>
      </c>
      <c r="V629" s="1" t="s">
        <v>55</v>
      </c>
      <c r="W629" s="1" t="s">
        <v>68</v>
      </c>
      <c r="X629" s="1" t="s">
        <v>3115</v>
      </c>
      <c r="Y629" s="1" t="n">
        <v>83881</v>
      </c>
      <c r="Z629" s="37" t="n">
        <f aca="false">(Y629/Q629)*100</f>
        <v>54.6238953901056</v>
      </c>
      <c r="AA629" s="1" t="s">
        <v>52</v>
      </c>
      <c r="AB629" s="1" t="s">
        <v>257</v>
      </c>
      <c r="AC629" s="1" t="s">
        <v>3116</v>
      </c>
      <c r="AD629" s="1" t="n">
        <v>56502</v>
      </c>
      <c r="AE629" s="37" t="n">
        <f aca="false">(AD629/Q629)*100</f>
        <v>36.794498603161</v>
      </c>
      <c r="AF629" s="1" t="s">
        <v>197</v>
      </c>
      <c r="AG629" s="1" t="s">
        <v>197</v>
      </c>
      <c r="AH629" s="1" t="s">
        <v>3117</v>
      </c>
      <c r="AI629" s="1" t="n">
        <v>4018</v>
      </c>
      <c r="AJ629" s="37" t="n">
        <f aca="false">(AI629/Q629)*100</f>
        <v>2.61654977500798</v>
      </c>
      <c r="AK629" s="37" t="s">
        <v>197</v>
      </c>
      <c r="AL629" s="1" t="s">
        <v>197</v>
      </c>
      <c r="AM629" s="1" t="s">
        <v>3118</v>
      </c>
      <c r="AN629" s="1" t="n">
        <v>3779</v>
      </c>
      <c r="AO629" s="37" t="n">
        <f aca="false">(AN629/Q629)*100</f>
        <v>2.46091129909287</v>
      </c>
      <c r="AP629" s="37" t="s">
        <v>197</v>
      </c>
      <c r="AQ629" s="1" t="s">
        <v>197</v>
      </c>
      <c r="AR629" s="1" t="s">
        <v>3119</v>
      </c>
      <c r="AS629" s="1" t="n">
        <v>1721</v>
      </c>
      <c r="AT629" s="37" t="n">
        <f aca="false">(AS629/Q629)*100</f>
        <v>1.12072726799122</v>
      </c>
    </row>
    <row r="630" customFormat="false" ht="12.8" hidden="false" customHeight="true" outlineLevel="0" collapsed="false">
      <c r="A630" s="35" t="n">
        <v>2011</v>
      </c>
      <c r="B630" s="36" t="n">
        <v>161</v>
      </c>
      <c r="C630" s="1" t="s">
        <v>979</v>
      </c>
      <c r="D630" s="1" t="s">
        <v>979</v>
      </c>
      <c r="E630" s="1" t="s">
        <v>903</v>
      </c>
      <c r="F630" s="1" t="s">
        <v>980</v>
      </c>
      <c r="G630" s="1" t="s">
        <v>77</v>
      </c>
      <c r="H630" s="1" t="s">
        <v>51</v>
      </c>
      <c r="I630" s="1" t="s">
        <v>51</v>
      </c>
      <c r="J630" s="1" t="s">
        <v>51</v>
      </c>
      <c r="K630" s="1" t="s">
        <v>51</v>
      </c>
      <c r="L630" s="1" t="s">
        <v>53</v>
      </c>
      <c r="M630" s="1" t="s">
        <v>51</v>
      </c>
      <c r="N630" s="1" t="s">
        <v>53</v>
      </c>
      <c r="O630" s="1" t="s">
        <v>51</v>
      </c>
      <c r="P630" s="1" t="n">
        <v>184990</v>
      </c>
      <c r="Q630" s="1" t="n">
        <v>141847</v>
      </c>
      <c r="R630" s="37" t="n">
        <f aca="false">(Q630/P630)*100</f>
        <v>76.6781988215579</v>
      </c>
      <c r="S630" s="1" t="n">
        <f aca="false">Y630-AD630</f>
        <v>3017</v>
      </c>
      <c r="T630" s="37" t="n">
        <f aca="false">(S630/Q630)*100</f>
        <v>2.12693958983976</v>
      </c>
      <c r="U630" s="37" t="n">
        <f aca="false">Z630+AE630</f>
        <v>87.1608141166186</v>
      </c>
      <c r="V630" s="1" t="s">
        <v>55</v>
      </c>
      <c r="W630" s="1" t="s">
        <v>61</v>
      </c>
      <c r="X630" s="1" t="s">
        <v>3120</v>
      </c>
      <c r="Y630" s="1" t="n">
        <v>63326</v>
      </c>
      <c r="Z630" s="37" t="n">
        <f aca="false">(Y630/Q630)*100</f>
        <v>44.6438768532292</v>
      </c>
      <c r="AA630" s="1" t="s">
        <v>52</v>
      </c>
      <c r="AB630" s="1" t="s">
        <v>66</v>
      </c>
      <c r="AC630" s="1" t="s">
        <v>986</v>
      </c>
      <c r="AD630" s="1" t="n">
        <v>60309</v>
      </c>
      <c r="AE630" s="37" t="n">
        <f aca="false">(AD630/Q630)*100</f>
        <v>42.5169372633894</v>
      </c>
      <c r="AF630" s="1" t="s">
        <v>197</v>
      </c>
      <c r="AG630" s="1" t="s">
        <v>197</v>
      </c>
      <c r="AH630" s="1" t="s">
        <v>3121</v>
      </c>
      <c r="AI630" s="1" t="n">
        <v>6023</v>
      </c>
      <c r="AJ630" s="37" t="n">
        <f aca="false">(AI630/Q630)*100</f>
        <v>4.24612434524523</v>
      </c>
      <c r="AK630" s="1" t="s">
        <v>1431</v>
      </c>
      <c r="AL630" s="1" t="s">
        <v>171</v>
      </c>
      <c r="AM630" s="1" t="s">
        <v>3122</v>
      </c>
      <c r="AN630" s="1" t="n">
        <v>4202</v>
      </c>
      <c r="AO630" s="37" t="n">
        <f aca="false">(AN630/Q630)*100</f>
        <v>2.9623467538968</v>
      </c>
      <c r="AP630" s="37" t="s">
        <v>197</v>
      </c>
      <c r="AQ630" s="1" t="s">
        <v>197</v>
      </c>
      <c r="AR630" s="1" t="s">
        <v>3123</v>
      </c>
      <c r="AS630" s="1" t="n">
        <v>1678</v>
      </c>
      <c r="AT630" s="37" t="n">
        <f aca="false">(AS630/Q630)*100</f>
        <v>1.18296474370272</v>
      </c>
    </row>
    <row r="631" customFormat="false" ht="12.8" hidden="false" customHeight="true" outlineLevel="0" collapsed="false">
      <c r="A631" s="35" t="n">
        <v>2011</v>
      </c>
      <c r="B631" s="36" t="n">
        <v>162</v>
      </c>
      <c r="C631" s="1" t="s">
        <v>991</v>
      </c>
      <c r="D631" s="1" t="s">
        <v>979</v>
      </c>
      <c r="E631" s="1" t="s">
        <v>903</v>
      </c>
      <c r="F631" s="1" t="s">
        <v>980</v>
      </c>
      <c r="G631" s="1" t="s">
        <v>50</v>
      </c>
      <c r="H631" s="1" t="s">
        <v>51</v>
      </c>
      <c r="I631" s="1" t="s">
        <v>51</v>
      </c>
      <c r="J631" s="1" t="s">
        <v>51</v>
      </c>
      <c r="K631" s="1" t="s">
        <v>51</v>
      </c>
      <c r="L631" s="1" t="s">
        <v>51</v>
      </c>
      <c r="M631" s="1" t="s">
        <v>51</v>
      </c>
      <c r="N631" s="1" t="s">
        <v>51</v>
      </c>
      <c r="O631" s="1" t="s">
        <v>51</v>
      </c>
      <c r="P631" s="1" t="n">
        <v>212106</v>
      </c>
      <c r="Q631" s="1" t="n">
        <v>169457</v>
      </c>
      <c r="R631" s="37" t="n">
        <f aca="false">(Q631/P631)*100</f>
        <v>79.8926008693766</v>
      </c>
      <c r="S631" s="1" t="n">
        <f aca="false">Y631-AD631</f>
        <v>11373</v>
      </c>
      <c r="T631" s="37" t="n">
        <f aca="false">(S631/Q631)*100</f>
        <v>6.71143711974129</v>
      </c>
      <c r="U631" s="37" t="n">
        <f aca="false">Z631+AE631</f>
        <v>94.5992198610857</v>
      </c>
      <c r="V631" s="1" t="s">
        <v>55</v>
      </c>
      <c r="W631" s="1" t="s">
        <v>68</v>
      </c>
      <c r="X631" s="1" t="s">
        <v>2126</v>
      </c>
      <c r="Y631" s="1" t="n">
        <v>85839</v>
      </c>
      <c r="Z631" s="37" t="n">
        <f aca="false">(Y631/Q631)*100</f>
        <v>50.6553284904135</v>
      </c>
      <c r="AA631" s="1" t="s">
        <v>52</v>
      </c>
      <c r="AB631" s="1" t="s">
        <v>56</v>
      </c>
      <c r="AC631" s="1" t="s">
        <v>3124</v>
      </c>
      <c r="AD631" s="1" t="n">
        <v>74466</v>
      </c>
      <c r="AE631" s="37" t="n">
        <f aca="false">(AD631/Q631)*100</f>
        <v>43.9438913706722</v>
      </c>
      <c r="AF631" s="1" t="s">
        <v>352</v>
      </c>
      <c r="AG631" s="1" t="s">
        <v>352</v>
      </c>
      <c r="AH631" s="1" t="s">
        <v>3125</v>
      </c>
      <c r="AI631" s="1" t="n">
        <v>2984</v>
      </c>
      <c r="AJ631" s="37" t="n">
        <f aca="false">(AI631/Q631)*100</f>
        <v>1.76091869913901</v>
      </c>
      <c r="AK631" s="1" t="s">
        <v>1431</v>
      </c>
      <c r="AL631" s="1" t="s">
        <v>171</v>
      </c>
      <c r="AM631" s="1" t="s">
        <v>3126</v>
      </c>
      <c r="AN631" s="1" t="n">
        <v>2091</v>
      </c>
      <c r="AO631" s="37" t="n">
        <f aca="false">(AN631/Q631)*100</f>
        <v>1.23394135385378</v>
      </c>
      <c r="AP631" s="37" t="s">
        <v>197</v>
      </c>
      <c r="AQ631" s="1" t="s">
        <v>197</v>
      </c>
      <c r="AR631" s="1" t="s">
        <v>3127</v>
      </c>
      <c r="AS631" s="1" t="n">
        <v>1326</v>
      </c>
      <c r="AT631" s="37" t="n">
        <f aca="false">(AS631/Q631)*100</f>
        <v>0.782499395126788</v>
      </c>
    </row>
    <row r="632" customFormat="false" ht="12.8" hidden="false" customHeight="true" outlineLevel="0" collapsed="false">
      <c r="A632" s="35" t="n">
        <v>2011</v>
      </c>
      <c r="B632" s="36" t="n">
        <v>163</v>
      </c>
      <c r="C632" s="1" t="s">
        <v>997</v>
      </c>
      <c r="D632" s="1" t="s">
        <v>997</v>
      </c>
      <c r="E632" s="1" t="s">
        <v>903</v>
      </c>
      <c r="F632" s="1" t="s">
        <v>980</v>
      </c>
      <c r="G632" s="1" t="s">
        <v>88</v>
      </c>
      <c r="H632" s="1" t="s">
        <v>51</v>
      </c>
      <c r="I632" s="1" t="s">
        <v>51</v>
      </c>
      <c r="J632" s="1" t="s">
        <v>51</v>
      </c>
      <c r="K632" s="1" t="s">
        <v>51</v>
      </c>
      <c r="L632" s="1" t="s">
        <v>51</v>
      </c>
      <c r="M632" s="1" t="s">
        <v>51</v>
      </c>
      <c r="N632" s="1" t="s">
        <v>422</v>
      </c>
      <c r="O632" s="1" t="s">
        <v>51</v>
      </c>
      <c r="P632" s="1" t="n">
        <v>151882</v>
      </c>
      <c r="Q632" s="1" t="n">
        <v>120690</v>
      </c>
      <c r="R632" s="37" t="n">
        <f aca="false">(Q632/P632)*100</f>
        <v>79.4630041742932</v>
      </c>
      <c r="S632" s="1" t="n">
        <f aca="false">Y632-AD632</f>
        <v>5743</v>
      </c>
      <c r="T632" s="37" t="n">
        <f aca="false">(S632/Q632)*100</f>
        <v>4.75847211865109</v>
      </c>
      <c r="U632" s="37" t="n">
        <f aca="false">Z632+AE632</f>
        <v>97.7686635181042</v>
      </c>
      <c r="V632" s="1" t="s">
        <v>55</v>
      </c>
      <c r="W632" s="1" t="s">
        <v>68</v>
      </c>
      <c r="X632" s="1" t="s">
        <v>3128</v>
      </c>
      <c r="Y632" s="1" t="n">
        <v>61870</v>
      </c>
      <c r="Z632" s="37" t="n">
        <f aca="false">(Y632/Q632)*100</f>
        <v>51.2635678183777</v>
      </c>
      <c r="AA632" s="1" t="s">
        <v>52</v>
      </c>
      <c r="AB632" s="1" t="s">
        <v>53</v>
      </c>
      <c r="AC632" s="1" t="s">
        <v>3129</v>
      </c>
      <c r="AD632" s="1" t="n">
        <v>56127</v>
      </c>
      <c r="AE632" s="37" t="n">
        <f aca="false">(AD632/Q632)*100</f>
        <v>46.5050956997266</v>
      </c>
      <c r="AF632" s="1" t="s">
        <v>197</v>
      </c>
      <c r="AG632" s="1" t="s">
        <v>171</v>
      </c>
      <c r="AH632" s="1" t="s">
        <v>3130</v>
      </c>
      <c r="AI632" s="1" t="n">
        <v>1972</v>
      </c>
      <c r="AJ632" s="37" t="n">
        <f aca="false">(AI632/Q632)*100</f>
        <v>1.63393818874803</v>
      </c>
      <c r="AK632" s="1" t="s">
        <v>85</v>
      </c>
      <c r="AL632" s="1" t="s">
        <v>85</v>
      </c>
      <c r="AM632" s="1" t="s">
        <v>3131</v>
      </c>
      <c r="AN632" s="1" t="n">
        <v>721</v>
      </c>
      <c r="AO632" s="37" t="n">
        <f aca="false">(AN632/Q632)*100</f>
        <v>0.597398293147734</v>
      </c>
      <c r="AS632" s="1" t="n">
        <v>0</v>
      </c>
      <c r="AT632" s="37" t="n">
        <f aca="false">(AS632/Q632)*100</f>
        <v>0</v>
      </c>
    </row>
    <row r="633" customFormat="false" ht="12.8" hidden="false" customHeight="true" outlineLevel="0" collapsed="false">
      <c r="A633" s="35" t="n">
        <v>2011</v>
      </c>
      <c r="B633" s="36" t="n">
        <v>164</v>
      </c>
      <c r="C633" s="1" t="s">
        <v>1003</v>
      </c>
      <c r="D633" s="1" t="s">
        <v>997</v>
      </c>
      <c r="E633" s="1" t="s">
        <v>903</v>
      </c>
      <c r="F633" s="1" t="s">
        <v>980</v>
      </c>
      <c r="G633" s="1" t="s">
        <v>50</v>
      </c>
      <c r="H633" s="1" t="s">
        <v>65</v>
      </c>
      <c r="I633" s="1" t="s">
        <v>51</v>
      </c>
      <c r="J633" s="1" t="s">
        <v>51</v>
      </c>
      <c r="K633" s="1" t="s">
        <v>51</v>
      </c>
      <c r="L633" s="1" t="s">
        <v>51</v>
      </c>
      <c r="M633" s="1" t="s">
        <v>51</v>
      </c>
      <c r="N633" s="1" t="s">
        <v>51</v>
      </c>
      <c r="O633" s="1" t="s">
        <v>51</v>
      </c>
      <c r="P633" s="1" t="n">
        <v>141185</v>
      </c>
      <c r="Q633" s="1" t="n">
        <v>121254</v>
      </c>
      <c r="R633" s="37" t="n">
        <f aca="false">(Q633/P633)*100</f>
        <v>85.8830612317173</v>
      </c>
      <c r="S633" s="1" t="n">
        <f aca="false">Y633-AD633</f>
        <v>724</v>
      </c>
      <c r="T633" s="37" t="n">
        <f aca="false">(S633/Q633)*100</f>
        <v>0.597093704125225</v>
      </c>
      <c r="U633" s="37" t="n">
        <f aca="false">Z633+AE633</f>
        <v>97.382354396556</v>
      </c>
      <c r="V633" s="1" t="s">
        <v>55</v>
      </c>
      <c r="W633" s="1" t="s">
        <v>422</v>
      </c>
      <c r="X633" s="1" t="s">
        <v>3132</v>
      </c>
      <c r="Y633" s="1" t="n">
        <v>59402</v>
      </c>
      <c r="Z633" s="37" t="n">
        <f aca="false">(Y633/Q633)*100</f>
        <v>48.9897240503406</v>
      </c>
      <c r="AA633" s="1" t="s">
        <v>52</v>
      </c>
      <c r="AB633" s="1" t="s">
        <v>53</v>
      </c>
      <c r="AC633" s="1" t="s">
        <v>2136</v>
      </c>
      <c r="AD633" s="1" t="n">
        <v>58678</v>
      </c>
      <c r="AE633" s="37" t="n">
        <f aca="false">(AD633/Q633)*100</f>
        <v>48.3926303462154</v>
      </c>
      <c r="AF633" s="1" t="s">
        <v>197</v>
      </c>
      <c r="AG633" s="1" t="s">
        <v>197</v>
      </c>
      <c r="AH633" s="1" t="s">
        <v>3133</v>
      </c>
      <c r="AI633" s="1" t="n">
        <v>1487</v>
      </c>
      <c r="AJ633" s="37" t="n">
        <f aca="false">(AI633/Q633)*100</f>
        <v>1.22635129562736</v>
      </c>
      <c r="AK633" s="1" t="s">
        <v>85</v>
      </c>
      <c r="AL633" s="1" t="s">
        <v>85</v>
      </c>
      <c r="AM633" s="1" t="s">
        <v>3134</v>
      </c>
      <c r="AN633" s="1" t="n">
        <v>743</v>
      </c>
      <c r="AO633" s="37" t="n">
        <f aca="false">(AN633/Q633)*100</f>
        <v>0.612763290283207</v>
      </c>
      <c r="AP633" s="37" t="s">
        <v>197</v>
      </c>
      <c r="AQ633" s="1" t="s">
        <v>197</v>
      </c>
      <c r="AR633" s="1" t="s">
        <v>3135</v>
      </c>
      <c r="AS633" s="1" t="n">
        <v>605</v>
      </c>
      <c r="AT633" s="37" t="n">
        <f aca="false">(AS633/Q633)*100</f>
        <v>0.498952611872598</v>
      </c>
    </row>
    <row r="634" customFormat="false" ht="12.8" hidden="false" customHeight="true" outlineLevel="0" collapsed="false">
      <c r="A634" s="35" t="n">
        <v>2011</v>
      </c>
      <c r="B634" s="36" t="n">
        <v>165</v>
      </c>
      <c r="C634" s="1" t="s">
        <v>1009</v>
      </c>
      <c r="D634" s="1" t="s">
        <v>997</v>
      </c>
      <c r="E634" s="1" t="s">
        <v>903</v>
      </c>
      <c r="F634" s="1" t="s">
        <v>980</v>
      </c>
      <c r="G634" s="1" t="s">
        <v>77</v>
      </c>
      <c r="H634" s="1" t="s">
        <v>51</v>
      </c>
      <c r="I634" s="1" t="s">
        <v>526</v>
      </c>
      <c r="J634" s="1" t="s">
        <v>51</v>
      </c>
      <c r="K634" s="1" t="s">
        <v>51</v>
      </c>
      <c r="L634" s="1" t="s">
        <v>53</v>
      </c>
      <c r="M634" s="1" t="s">
        <v>68</v>
      </c>
      <c r="N634" s="1" t="s">
        <v>51</v>
      </c>
      <c r="O634" s="1" t="s">
        <v>51</v>
      </c>
      <c r="P634" s="1" t="n">
        <v>155065</v>
      </c>
      <c r="Q634" s="1" t="n">
        <v>130708</v>
      </c>
      <c r="R634" s="37" t="n">
        <f aca="false">(Q634/P634)*100</f>
        <v>84.292393512398</v>
      </c>
      <c r="S634" s="1" t="n">
        <f aca="false">Y634-AD634</f>
        <v>10928</v>
      </c>
      <c r="T634" s="37" t="n">
        <f aca="false">(S634/Q634)*100</f>
        <v>8.36062062000796</v>
      </c>
      <c r="U634" s="37" t="n">
        <f aca="false">Z634+AJ634</f>
        <v>58.6987789576767</v>
      </c>
      <c r="V634" s="1" t="s">
        <v>55</v>
      </c>
      <c r="W634" s="1" t="s">
        <v>68</v>
      </c>
      <c r="X634" s="1" t="s">
        <v>3136</v>
      </c>
      <c r="Y634" s="1" t="n">
        <v>53799</v>
      </c>
      <c r="Z634" s="37" t="n">
        <f aca="false">(Y634/Q634)*100</f>
        <v>41.1596841815344</v>
      </c>
      <c r="AA634" s="1" t="s">
        <v>197</v>
      </c>
      <c r="AB634" s="1" t="s">
        <v>197</v>
      </c>
      <c r="AC634" s="1" t="s">
        <v>3137</v>
      </c>
      <c r="AD634" s="1" t="n">
        <v>42871</v>
      </c>
      <c r="AE634" s="37" t="n">
        <f aca="false">(AD634/Q634)*100</f>
        <v>32.7990635615265</v>
      </c>
      <c r="AF634" s="1" t="s">
        <v>52</v>
      </c>
      <c r="AG634" s="1" t="s">
        <v>56</v>
      </c>
      <c r="AH634" s="1" t="s">
        <v>3138</v>
      </c>
      <c r="AI634" s="1" t="n">
        <v>22925</v>
      </c>
      <c r="AJ634" s="37" t="n">
        <f aca="false">(AI634/Q634)*100</f>
        <v>17.5390947761422</v>
      </c>
      <c r="AK634" s="37" t="s">
        <v>197</v>
      </c>
      <c r="AL634" s="1" t="s">
        <v>197</v>
      </c>
      <c r="AM634" s="1" t="s">
        <v>3139</v>
      </c>
      <c r="AN634" s="1" t="n">
        <v>2270</v>
      </c>
      <c r="AO634" s="37" t="n">
        <f aca="false">(AN634/Q634)*100</f>
        <v>1.73669553508584</v>
      </c>
      <c r="AP634" s="37" t="s">
        <v>197</v>
      </c>
      <c r="AQ634" s="1" t="s">
        <v>2458</v>
      </c>
      <c r="AR634" s="1" t="s">
        <v>3140</v>
      </c>
      <c r="AS634" s="1" t="n">
        <v>2041</v>
      </c>
      <c r="AT634" s="37" t="n">
        <f aca="false">(AS634/Q634)*100</f>
        <v>1.56149585335251</v>
      </c>
    </row>
    <row r="635" customFormat="false" ht="12.8" hidden="false" customHeight="true" outlineLevel="0" collapsed="false">
      <c r="A635" s="35" t="n">
        <v>2011</v>
      </c>
      <c r="B635" s="36" t="n">
        <v>166</v>
      </c>
      <c r="C635" s="1" t="s">
        <v>1013</v>
      </c>
      <c r="D635" s="1" t="s">
        <v>1014</v>
      </c>
      <c r="E635" s="1" t="s">
        <v>903</v>
      </c>
      <c r="F635" s="1" t="s">
        <v>1015</v>
      </c>
      <c r="G635" s="1" t="s">
        <v>77</v>
      </c>
      <c r="H635" s="1" t="s">
        <v>65</v>
      </c>
      <c r="I635" s="1" t="s">
        <v>526</v>
      </c>
      <c r="J635" s="1" t="s">
        <v>51</v>
      </c>
      <c r="K635" s="1" t="s">
        <v>51</v>
      </c>
      <c r="L635" s="1" t="s">
        <v>392</v>
      </c>
      <c r="M635" s="1" t="s">
        <v>51</v>
      </c>
      <c r="N635" s="1" t="s">
        <v>767</v>
      </c>
      <c r="O635" s="1" t="s">
        <v>51</v>
      </c>
      <c r="P635" s="1" t="n">
        <v>193844</v>
      </c>
      <c r="Q635" s="1" t="n">
        <v>156294</v>
      </c>
      <c r="R635" s="37" t="n">
        <f aca="false">(Q635/P635)*100</f>
        <v>80.6287530178907</v>
      </c>
      <c r="S635" s="1" t="n">
        <f aca="false">Y635-AD635</f>
        <v>22287</v>
      </c>
      <c r="T635" s="37" t="n">
        <f aca="false">(S635/Q635)*100</f>
        <v>14.2596644784829</v>
      </c>
      <c r="U635" s="37" t="n">
        <f aca="false">Z635+AE635</f>
        <v>92.4610029815604</v>
      </c>
      <c r="V635" s="1" t="s">
        <v>55</v>
      </c>
      <c r="W635" s="1" t="s">
        <v>392</v>
      </c>
      <c r="X635" s="1" t="s">
        <v>3141</v>
      </c>
      <c r="Y635" s="1" t="n">
        <v>83399</v>
      </c>
      <c r="Z635" s="37" t="n">
        <f aca="false">(Y635/Q635)*100</f>
        <v>53.3603337300216</v>
      </c>
      <c r="AA635" s="1" t="s">
        <v>52</v>
      </c>
      <c r="AB635" s="1" t="s">
        <v>66</v>
      </c>
      <c r="AC635" s="1" t="s">
        <v>3142</v>
      </c>
      <c r="AD635" s="1" t="n">
        <v>61112</v>
      </c>
      <c r="AE635" s="37" t="n">
        <f aca="false">(AD635/Q635)*100</f>
        <v>39.1006692515388</v>
      </c>
      <c r="AF635" s="1" t="s">
        <v>1431</v>
      </c>
      <c r="AG635" s="1" t="s">
        <v>171</v>
      </c>
      <c r="AH635" s="1" t="s">
        <v>3143</v>
      </c>
      <c r="AI635" s="1" t="n">
        <v>3025</v>
      </c>
      <c r="AJ635" s="37" t="n">
        <f aca="false">(AI635/Q635)*100</f>
        <v>1.93545497587879</v>
      </c>
      <c r="AK635" s="37" t="s">
        <v>197</v>
      </c>
      <c r="AL635" s="1" t="s">
        <v>197</v>
      </c>
      <c r="AM635" s="1" t="s">
        <v>1125</v>
      </c>
      <c r="AN635" s="1" t="n">
        <v>1981</v>
      </c>
      <c r="AO635" s="37" t="n">
        <f aca="false">(AN635/Q635)*100</f>
        <v>1.26748307676558</v>
      </c>
      <c r="AP635" s="37" t="s">
        <v>197</v>
      </c>
      <c r="AQ635" s="1" t="s">
        <v>2512</v>
      </c>
      <c r="AR635" s="1" t="s">
        <v>3144</v>
      </c>
      <c r="AS635" s="1" t="n">
        <v>1857</v>
      </c>
      <c r="AT635" s="37" t="n">
        <f aca="false">(AS635/Q635)*100</f>
        <v>1.18814541825022</v>
      </c>
    </row>
    <row r="636" customFormat="false" ht="12.8" hidden="false" customHeight="true" outlineLevel="0" collapsed="false">
      <c r="A636" s="35" t="n">
        <v>2011</v>
      </c>
      <c r="B636" s="36" t="n">
        <v>167</v>
      </c>
      <c r="C636" s="1" t="s">
        <v>1020</v>
      </c>
      <c r="D636" s="1" t="s">
        <v>1014</v>
      </c>
      <c r="E636" s="1" t="s">
        <v>903</v>
      </c>
      <c r="F636" s="1" t="s">
        <v>1015</v>
      </c>
      <c r="G636" s="1" t="s">
        <v>77</v>
      </c>
      <c r="H636" s="1" t="s">
        <v>51</v>
      </c>
      <c r="I636" s="1" t="s">
        <v>51</v>
      </c>
      <c r="J636" s="1" t="s">
        <v>51</v>
      </c>
      <c r="K636" s="1" t="s">
        <v>53</v>
      </c>
      <c r="L636" s="1" t="s">
        <v>392</v>
      </c>
      <c r="M636" s="1" t="s">
        <v>53</v>
      </c>
      <c r="N636" s="1" t="s">
        <v>51</v>
      </c>
      <c r="O636" s="1" t="s">
        <v>51</v>
      </c>
      <c r="P636" s="1" t="n">
        <v>205522</v>
      </c>
      <c r="Q636" s="1" t="n">
        <v>166186</v>
      </c>
      <c r="R636" s="37" t="n">
        <f aca="false">(Q636/P636)*100</f>
        <v>80.8604431642355</v>
      </c>
      <c r="S636" s="1" t="n">
        <f aca="false">Y636-AD636</f>
        <v>3982</v>
      </c>
      <c r="T636" s="37" t="n">
        <f aca="false">(S636/Q636)*100</f>
        <v>2.39611038234268</v>
      </c>
      <c r="U636" s="37" t="n">
        <f aca="false">Z636+AE636</f>
        <v>95.4701358718544</v>
      </c>
      <c r="V636" s="1" t="s">
        <v>52</v>
      </c>
      <c r="W636" s="1" t="s">
        <v>53</v>
      </c>
      <c r="X636" s="1" t="s">
        <v>2151</v>
      </c>
      <c r="Y636" s="1" t="n">
        <v>81320</v>
      </c>
      <c r="Z636" s="37" t="n">
        <f aca="false">(Y636/Q636)*100</f>
        <v>48.9331231270986</v>
      </c>
      <c r="AA636" s="1" t="s">
        <v>55</v>
      </c>
      <c r="AB636" s="1" t="s">
        <v>68</v>
      </c>
      <c r="AC636" s="1" t="s">
        <v>3145</v>
      </c>
      <c r="AD636" s="1" t="n">
        <v>77338</v>
      </c>
      <c r="AE636" s="37" t="n">
        <f aca="false">(AD636/Q636)*100</f>
        <v>46.5370127447559</v>
      </c>
      <c r="AF636" s="1" t="s">
        <v>197</v>
      </c>
      <c r="AG636" s="1" t="s">
        <v>197</v>
      </c>
      <c r="AH636" s="1" t="s">
        <v>3146</v>
      </c>
      <c r="AI636" s="1" t="n">
        <v>1863</v>
      </c>
      <c r="AJ636" s="37" t="n">
        <f aca="false">(AI636/Q636)*100</f>
        <v>1.12103305934315</v>
      </c>
      <c r="AK636" s="1" t="s">
        <v>1431</v>
      </c>
      <c r="AL636" s="1" t="s">
        <v>171</v>
      </c>
      <c r="AM636" s="1" t="s">
        <v>3147</v>
      </c>
      <c r="AN636" s="1" t="n">
        <v>1435</v>
      </c>
      <c r="AO636" s="37" t="n">
        <f aca="false">(AN636/Q636)*100</f>
        <v>0.863490306042627</v>
      </c>
      <c r="AP636" s="37" t="s">
        <v>197</v>
      </c>
      <c r="AQ636" s="1" t="s">
        <v>197</v>
      </c>
      <c r="AR636" s="1" t="s">
        <v>3148</v>
      </c>
      <c r="AS636" s="1" t="n">
        <v>924</v>
      </c>
      <c r="AT636" s="37" t="n">
        <f aca="false">(AS636/Q636)*100</f>
        <v>0.556003514134765</v>
      </c>
    </row>
    <row r="637" customFormat="false" ht="12.8" hidden="false" customHeight="true" outlineLevel="0" collapsed="false">
      <c r="A637" s="35" t="n">
        <v>2011</v>
      </c>
      <c r="B637" s="36" t="n">
        <v>168</v>
      </c>
      <c r="C637" s="1" t="s">
        <v>1014</v>
      </c>
      <c r="D637" s="1" t="s">
        <v>1014</v>
      </c>
      <c r="E637" s="1" t="s">
        <v>903</v>
      </c>
      <c r="F637" s="1" t="s">
        <v>1015</v>
      </c>
      <c r="G637" s="1" t="s">
        <v>77</v>
      </c>
      <c r="H637" s="1" t="s">
        <v>51</v>
      </c>
      <c r="I637" s="1" t="s">
        <v>51</v>
      </c>
      <c r="J637" s="1" t="s">
        <v>53</v>
      </c>
      <c r="K637" s="1" t="s">
        <v>51</v>
      </c>
      <c r="L637" s="1" t="s">
        <v>51</v>
      </c>
      <c r="M637" s="1" t="s">
        <v>53</v>
      </c>
      <c r="N637" s="1" t="s">
        <v>422</v>
      </c>
      <c r="O637" s="1" t="s">
        <v>169</v>
      </c>
      <c r="P637" s="1" t="n">
        <v>209530</v>
      </c>
      <c r="Q637" s="1" t="n">
        <v>173159</v>
      </c>
      <c r="R637" s="37" t="n">
        <f aca="false">(Q637/P637)*100</f>
        <v>82.641626497399</v>
      </c>
      <c r="S637" s="1" t="n">
        <f aca="false">Y637-AD637</f>
        <v>50249</v>
      </c>
      <c r="T637" s="37" t="n">
        <f aca="false">(S637/Q637)*100</f>
        <v>29.0189941036851</v>
      </c>
      <c r="U637" s="37" t="n">
        <f aca="false">Z637+AE637</f>
        <v>96.8930289502711</v>
      </c>
      <c r="V637" s="1" t="s">
        <v>52</v>
      </c>
      <c r="W637" s="1" t="s">
        <v>53</v>
      </c>
      <c r="X637" s="1" t="s">
        <v>2156</v>
      </c>
      <c r="Y637" s="1" t="n">
        <v>109014</v>
      </c>
      <c r="Z637" s="37" t="n">
        <f aca="false">(Y637/Q637)*100</f>
        <v>62.9560115269781</v>
      </c>
      <c r="AA637" s="1" t="s">
        <v>55</v>
      </c>
      <c r="AB637" s="1" t="s">
        <v>68</v>
      </c>
      <c r="AC637" s="1" t="s">
        <v>1594</v>
      </c>
      <c r="AD637" s="1" t="n">
        <v>58765</v>
      </c>
      <c r="AE637" s="37" t="n">
        <f aca="false">(AD637/Q637)*100</f>
        <v>33.937017423293</v>
      </c>
      <c r="AF637" s="1" t="s">
        <v>197</v>
      </c>
      <c r="AG637" s="1" t="s">
        <v>197</v>
      </c>
      <c r="AH637" s="1" t="s">
        <v>3149</v>
      </c>
      <c r="AI637" s="1" t="n">
        <v>1741</v>
      </c>
      <c r="AJ637" s="37" t="n">
        <f aca="false">(AI637/Q637)*100</f>
        <v>1.00543431181746</v>
      </c>
      <c r="AK637" s="1" t="s">
        <v>1431</v>
      </c>
      <c r="AL637" s="38" t="s">
        <v>171</v>
      </c>
      <c r="AM637" s="1" t="s">
        <v>3150</v>
      </c>
      <c r="AN637" s="1" t="n">
        <v>1263</v>
      </c>
      <c r="AO637" s="37" t="n">
        <f aca="false">(AN637/Q637)*100</f>
        <v>0.729387441599917</v>
      </c>
      <c r="AP637" s="37" t="s">
        <v>197</v>
      </c>
      <c r="AQ637" s="1" t="s">
        <v>197</v>
      </c>
      <c r="AR637" s="1" t="s">
        <v>3151</v>
      </c>
      <c r="AS637" s="1" t="n">
        <v>737</v>
      </c>
      <c r="AT637" s="37" t="n">
        <f aca="false">(AS637/Q637)*100</f>
        <v>0.425620383578099</v>
      </c>
    </row>
    <row r="638" customFormat="false" ht="12.8" hidden="false" customHeight="true" outlineLevel="0" collapsed="false">
      <c r="A638" s="35" t="n">
        <v>2011</v>
      </c>
      <c r="B638" s="36" t="n">
        <v>169</v>
      </c>
      <c r="C638" s="1" t="s">
        <v>1030</v>
      </c>
      <c r="D638" s="1" t="s">
        <v>1014</v>
      </c>
      <c r="E638" s="1" t="s">
        <v>903</v>
      </c>
      <c r="F638" s="1" t="s">
        <v>1015</v>
      </c>
      <c r="G638" s="1" t="s">
        <v>50</v>
      </c>
      <c r="H638" s="1" t="s">
        <v>51</v>
      </c>
      <c r="I638" s="1" t="s">
        <v>51</v>
      </c>
      <c r="J638" s="1" t="s">
        <v>51</v>
      </c>
      <c r="K638" s="1" t="s">
        <v>68</v>
      </c>
      <c r="L638" s="1" t="s">
        <v>51</v>
      </c>
      <c r="M638" s="1" t="s">
        <v>68</v>
      </c>
      <c r="N638" s="1" t="s">
        <v>51</v>
      </c>
      <c r="O638" s="1" t="s">
        <v>51</v>
      </c>
      <c r="P638" s="1" t="n">
        <v>218867</v>
      </c>
      <c r="Q638" s="1" t="n">
        <v>180684</v>
      </c>
      <c r="R638" s="37" t="n">
        <f aca="false">(Q638/P638)*100</f>
        <v>82.554245272243</v>
      </c>
      <c r="S638" s="1" t="n">
        <f aca="false">Y638-AD638</f>
        <v>10404</v>
      </c>
      <c r="T638" s="37" t="n">
        <f aca="false">(S638/Q638)*100</f>
        <v>5.75811914724049</v>
      </c>
      <c r="U638" s="37" t="n">
        <f aca="false">Z638+AE638</f>
        <v>96.1557193774767</v>
      </c>
      <c r="V638" s="1" t="s">
        <v>55</v>
      </c>
      <c r="W638" s="1" t="s">
        <v>68</v>
      </c>
      <c r="X638" s="1" t="s">
        <v>2159</v>
      </c>
      <c r="Y638" s="1" t="n">
        <v>92071</v>
      </c>
      <c r="Z638" s="37" t="n">
        <f aca="false">(Y638/Q638)*100</f>
        <v>50.9569192623586</v>
      </c>
      <c r="AA638" s="1" t="s">
        <v>52</v>
      </c>
      <c r="AB638" s="1" t="s">
        <v>53</v>
      </c>
      <c r="AC638" s="1" t="s">
        <v>3152</v>
      </c>
      <c r="AD638" s="1" t="n">
        <v>81667</v>
      </c>
      <c r="AE638" s="37" t="n">
        <f aca="false">(AD638/Q638)*100</f>
        <v>45.1988001151181</v>
      </c>
      <c r="AF638" s="37" t="s">
        <v>179</v>
      </c>
      <c r="AG638" s="1" t="s">
        <v>179</v>
      </c>
      <c r="AH638" s="1" t="s">
        <v>3153</v>
      </c>
      <c r="AI638" s="1" t="n">
        <v>2835</v>
      </c>
      <c r="AJ638" s="37" t="n">
        <f aca="false">(AI638/Q638)*100</f>
        <v>1.56903765690377</v>
      </c>
      <c r="AK638" s="1" t="s">
        <v>85</v>
      </c>
      <c r="AL638" s="1" t="s">
        <v>85</v>
      </c>
      <c r="AM638" s="1" t="s">
        <v>3154</v>
      </c>
      <c r="AN638" s="1" t="n">
        <v>1247</v>
      </c>
      <c r="AO638" s="37" t="n">
        <f aca="false">(AN638/Q638)*100</f>
        <v>0.690155188063138</v>
      </c>
      <c r="AP638" s="37" t="s">
        <v>197</v>
      </c>
      <c r="AQ638" s="1" t="s">
        <v>197</v>
      </c>
      <c r="AR638" s="1" t="s">
        <v>3155</v>
      </c>
      <c r="AS638" s="1" t="n">
        <v>1211</v>
      </c>
      <c r="AT638" s="37" t="n">
        <f aca="false">(AS638/Q638)*100</f>
        <v>0.670230900356423</v>
      </c>
    </row>
    <row r="639" customFormat="false" ht="12.8" hidden="false" customHeight="true" outlineLevel="0" collapsed="false">
      <c r="A639" s="35" t="n">
        <v>2011</v>
      </c>
      <c r="B639" s="36" t="n">
        <v>170</v>
      </c>
      <c r="C639" s="1" t="s">
        <v>1035</v>
      </c>
      <c r="D639" s="1" t="s">
        <v>1036</v>
      </c>
      <c r="E639" s="1" t="s">
        <v>903</v>
      </c>
      <c r="F639" s="1" t="s">
        <v>1015</v>
      </c>
      <c r="G639" s="1" t="s">
        <v>50</v>
      </c>
      <c r="H639" s="1" t="s">
        <v>65</v>
      </c>
      <c r="I639" s="1" t="s">
        <v>526</v>
      </c>
      <c r="J639" s="1" t="s">
        <v>51</v>
      </c>
      <c r="K639" s="1" t="s">
        <v>53</v>
      </c>
      <c r="L639" s="1" t="s">
        <v>51</v>
      </c>
      <c r="M639" s="1" t="s">
        <v>53</v>
      </c>
      <c r="N639" s="1" t="s">
        <v>51</v>
      </c>
      <c r="O639" s="1" t="s">
        <v>51</v>
      </c>
      <c r="P639" s="1" t="n">
        <v>196663</v>
      </c>
      <c r="Q639" s="1" t="n">
        <v>160392</v>
      </c>
      <c r="R639" s="37" t="n">
        <f aca="false">(Q639/P639)*100</f>
        <v>81.5567747873266</v>
      </c>
      <c r="S639" s="1" t="n">
        <f aca="false">Y639-AD639</f>
        <v>394</v>
      </c>
      <c r="T639" s="37" t="n">
        <f aca="false">(S639/Q639)*100</f>
        <v>0.245648162003092</v>
      </c>
      <c r="U639" s="37" t="n">
        <f aca="false">Z639+AE639</f>
        <v>95.9873310389546</v>
      </c>
      <c r="V639" s="1" t="s">
        <v>52</v>
      </c>
      <c r="W639" s="1" t="s">
        <v>53</v>
      </c>
      <c r="X639" s="1" t="s">
        <v>2163</v>
      </c>
      <c r="Y639" s="1" t="n">
        <v>77175</v>
      </c>
      <c r="Z639" s="37" t="n">
        <f aca="false">(Y639/Q639)*100</f>
        <v>48.1164896004788</v>
      </c>
      <c r="AA639" s="1" t="s">
        <v>55</v>
      </c>
      <c r="AB639" s="1" t="s">
        <v>68</v>
      </c>
      <c r="AC639" s="1" t="s">
        <v>3156</v>
      </c>
      <c r="AD639" s="1" t="n">
        <v>76781</v>
      </c>
      <c r="AE639" s="37" t="n">
        <f aca="false">(AD639/Q639)*100</f>
        <v>47.8708414384757</v>
      </c>
      <c r="AF639" s="1" t="s">
        <v>197</v>
      </c>
      <c r="AG639" s="1" t="s">
        <v>197</v>
      </c>
      <c r="AH639" s="1" t="s">
        <v>3157</v>
      </c>
      <c r="AI639" s="1" t="n">
        <v>1646</v>
      </c>
      <c r="AJ639" s="37" t="n">
        <f aca="false">(AI639/Q639)*100</f>
        <v>1.02623572247992</v>
      </c>
      <c r="AK639" s="37" t="s">
        <v>197</v>
      </c>
      <c r="AL639" s="1" t="s">
        <v>197</v>
      </c>
      <c r="AM639" s="1" t="s">
        <v>3158</v>
      </c>
      <c r="AN639" s="1" t="n">
        <v>1253</v>
      </c>
      <c r="AO639" s="37" t="n">
        <f aca="false">(AN639/Q639)*100</f>
        <v>0.781211032969225</v>
      </c>
      <c r="AP639" s="1" t="s">
        <v>85</v>
      </c>
      <c r="AQ639" s="1" t="s">
        <v>85</v>
      </c>
      <c r="AR639" s="1" t="s">
        <v>3159</v>
      </c>
      <c r="AS639" s="1" t="n">
        <v>902</v>
      </c>
      <c r="AT639" s="37" t="n">
        <f aca="false">(AS639/Q639)*100</f>
        <v>0.562372188139059</v>
      </c>
    </row>
    <row r="640" customFormat="false" ht="12.8" hidden="false" customHeight="true" outlineLevel="0" collapsed="false">
      <c r="A640" s="35" t="n">
        <v>2011</v>
      </c>
      <c r="B640" s="36" t="n">
        <v>171</v>
      </c>
      <c r="C640" s="1" t="s">
        <v>1042</v>
      </c>
      <c r="D640" s="1" t="s">
        <v>1036</v>
      </c>
      <c r="E640" s="1" t="s">
        <v>903</v>
      </c>
      <c r="F640" s="1" t="s">
        <v>1015</v>
      </c>
      <c r="G640" s="1" t="s">
        <v>88</v>
      </c>
      <c r="H640" s="1" t="s">
        <v>51</v>
      </c>
      <c r="I640" s="1" t="s">
        <v>51</v>
      </c>
      <c r="J640" s="1" t="s">
        <v>51</v>
      </c>
      <c r="K640" s="1" t="s">
        <v>53</v>
      </c>
      <c r="L640" s="1" t="s">
        <v>53</v>
      </c>
      <c r="M640" s="1" t="s">
        <v>53</v>
      </c>
      <c r="N640" s="1" t="s">
        <v>51</v>
      </c>
      <c r="O640" s="1" t="s">
        <v>51</v>
      </c>
      <c r="P640" s="1" t="n">
        <v>200372</v>
      </c>
      <c r="Q640" s="1" t="n">
        <v>161408</v>
      </c>
      <c r="R640" s="37" t="n">
        <f aca="false">(Q640/P640)*100</f>
        <v>80.5541692452039</v>
      </c>
      <c r="S640" s="1" t="n">
        <f aca="false">Y640-AD640</f>
        <v>1272</v>
      </c>
      <c r="T640" s="37" t="n">
        <f aca="false">(S640/Q640)*100</f>
        <v>0.788065027755749</v>
      </c>
      <c r="U640" s="37" t="n">
        <f aca="false">Z640+AE640</f>
        <v>96.656919111816</v>
      </c>
      <c r="V640" s="1" t="s">
        <v>52</v>
      </c>
      <c r="W640" s="1" t="s">
        <v>53</v>
      </c>
      <c r="X640" s="1" t="s">
        <v>2167</v>
      </c>
      <c r="Y640" s="1" t="n">
        <v>78642</v>
      </c>
      <c r="Z640" s="37" t="n">
        <f aca="false">(Y640/Q640)*100</f>
        <v>48.7224920697859</v>
      </c>
      <c r="AA640" s="1" t="s">
        <v>55</v>
      </c>
      <c r="AB640" s="1" t="s">
        <v>68</v>
      </c>
      <c r="AC640" s="1" t="s">
        <v>3160</v>
      </c>
      <c r="AD640" s="1" t="n">
        <v>77370</v>
      </c>
      <c r="AE640" s="37" t="n">
        <f aca="false">(AD640/Q640)*100</f>
        <v>47.9344270420301</v>
      </c>
      <c r="AF640" s="1" t="s">
        <v>1431</v>
      </c>
      <c r="AG640" s="1" t="s">
        <v>171</v>
      </c>
      <c r="AH640" s="1" t="s">
        <v>3161</v>
      </c>
      <c r="AI640" s="1" t="n">
        <v>1606</v>
      </c>
      <c r="AJ640" s="37" t="n">
        <f aca="false">(AI640/Q640)*100</f>
        <v>0.994994052339413</v>
      </c>
      <c r="AK640" s="1" t="s">
        <v>179</v>
      </c>
      <c r="AL640" s="1" t="s">
        <v>179</v>
      </c>
      <c r="AM640" s="1" t="s">
        <v>3162</v>
      </c>
      <c r="AN640" s="1" t="n">
        <v>1087</v>
      </c>
      <c r="AO640" s="37" t="n">
        <f aca="false">(AN640/Q640)*100</f>
        <v>0.6734486518636</v>
      </c>
      <c r="AP640" s="1" t="s">
        <v>85</v>
      </c>
      <c r="AQ640" s="1" t="s">
        <v>85</v>
      </c>
      <c r="AR640" s="1" t="s">
        <v>3163</v>
      </c>
      <c r="AS640" s="1" t="n">
        <v>727</v>
      </c>
      <c r="AT640" s="37" t="n">
        <f aca="false">(AS640/Q640)*100</f>
        <v>0.450411379857256</v>
      </c>
    </row>
    <row r="641" customFormat="false" ht="12.8" hidden="false" customHeight="true" outlineLevel="0" collapsed="false">
      <c r="A641" s="35" t="n">
        <v>2011</v>
      </c>
      <c r="B641" s="36" t="n">
        <v>172</v>
      </c>
      <c r="C641" s="1" t="s">
        <v>1048</v>
      </c>
      <c r="D641" s="1" t="s">
        <v>1036</v>
      </c>
      <c r="E641" s="1" t="s">
        <v>903</v>
      </c>
      <c r="F641" s="1" t="s">
        <v>1015</v>
      </c>
      <c r="G641" s="1" t="s">
        <v>50</v>
      </c>
      <c r="H641" s="1" t="s">
        <v>51</v>
      </c>
      <c r="I641" s="1" t="s">
        <v>526</v>
      </c>
      <c r="J641" s="45" t="s">
        <v>51</v>
      </c>
      <c r="K641" s="1" t="s">
        <v>51</v>
      </c>
      <c r="L641" s="1" t="s">
        <v>68</v>
      </c>
      <c r="M641" s="1" t="s">
        <v>51</v>
      </c>
      <c r="N641" s="1" t="s">
        <v>66</v>
      </c>
      <c r="O641" s="1" t="s">
        <v>51</v>
      </c>
      <c r="P641" s="1" t="n">
        <v>198200</v>
      </c>
      <c r="Q641" s="1" t="n">
        <v>160162</v>
      </c>
      <c r="R641" s="37" t="n">
        <f aca="false">(Q641/P641)*100</f>
        <v>80.8082744702321</v>
      </c>
      <c r="S641" s="1" t="n">
        <f aca="false">Y641-AD641</f>
        <v>18007</v>
      </c>
      <c r="T641" s="37" t="n">
        <f aca="false">(S641/Q641)*100</f>
        <v>11.2429914711355</v>
      </c>
      <c r="U641" s="37" t="n">
        <f aca="false">Z641+AE641</f>
        <v>95.692486357563</v>
      </c>
      <c r="V641" s="1" t="s">
        <v>55</v>
      </c>
      <c r="W641" s="1" t="s">
        <v>68</v>
      </c>
      <c r="X641" s="1" t="s">
        <v>3164</v>
      </c>
      <c r="Y641" s="1" t="n">
        <v>85635</v>
      </c>
      <c r="Z641" s="37" t="n">
        <f aca="false">(Y641/Q641)*100</f>
        <v>53.4677389143492</v>
      </c>
      <c r="AA641" s="1" t="s">
        <v>52</v>
      </c>
      <c r="AB641" s="1" t="s">
        <v>66</v>
      </c>
      <c r="AC641" s="1" t="s">
        <v>1196</v>
      </c>
      <c r="AD641" s="1" t="n">
        <v>67628</v>
      </c>
      <c r="AE641" s="37" t="n">
        <f aca="false">(AD641/Q641)*100</f>
        <v>42.2247474432137</v>
      </c>
      <c r="AF641" s="1" t="s">
        <v>1431</v>
      </c>
      <c r="AG641" s="1" t="s">
        <v>171</v>
      </c>
      <c r="AH641" s="1" t="s">
        <v>3165</v>
      </c>
      <c r="AI641" s="1" t="n">
        <v>1596</v>
      </c>
      <c r="AJ641" s="37" t="n">
        <f aca="false">(AI641/Q641)*100</f>
        <v>0.996491052809031</v>
      </c>
      <c r="AK641" s="37" t="s">
        <v>197</v>
      </c>
      <c r="AL641" s="1" t="s">
        <v>197</v>
      </c>
      <c r="AM641" s="1" t="s">
        <v>3166</v>
      </c>
      <c r="AN641" s="1" t="n">
        <v>1231</v>
      </c>
      <c r="AO641" s="37" t="n">
        <f aca="false">(AN641/Q641)*100</f>
        <v>0.768596795744309</v>
      </c>
      <c r="AP641" s="37" t="s">
        <v>197</v>
      </c>
      <c r="AQ641" s="1" t="s">
        <v>3037</v>
      </c>
      <c r="AR641" s="1" t="s">
        <v>3167</v>
      </c>
      <c r="AS641" s="1" t="n">
        <v>1174</v>
      </c>
      <c r="AT641" s="37" t="n">
        <f aca="false">(AS641/Q641)*100</f>
        <v>0.733007829572558</v>
      </c>
    </row>
    <row r="642" customFormat="false" ht="12.8" hidden="false" customHeight="true" outlineLevel="0" collapsed="false">
      <c r="A642" s="35" t="n">
        <v>2011</v>
      </c>
      <c r="B642" s="36" t="n">
        <v>173</v>
      </c>
      <c r="C642" s="1" t="s">
        <v>1054</v>
      </c>
      <c r="D642" s="1" t="s">
        <v>1036</v>
      </c>
      <c r="E642" s="1" t="s">
        <v>903</v>
      </c>
      <c r="F642" s="1" t="s">
        <v>1015</v>
      </c>
      <c r="G642" s="1" t="s">
        <v>50</v>
      </c>
      <c r="H642" s="1" t="s">
        <v>51</v>
      </c>
      <c r="I642" s="1" t="s">
        <v>51</v>
      </c>
      <c r="J642" s="1" t="s">
        <v>51</v>
      </c>
      <c r="K642" s="1" t="s">
        <v>53</v>
      </c>
      <c r="L642" s="1" t="s">
        <v>51</v>
      </c>
      <c r="M642" s="1" t="s">
        <v>51</v>
      </c>
      <c r="N642" s="1" t="s">
        <v>51</v>
      </c>
      <c r="O642" s="1" t="s">
        <v>51</v>
      </c>
      <c r="P642" s="1" t="n">
        <v>207331</v>
      </c>
      <c r="Q642" s="1" t="n">
        <v>173706</v>
      </c>
      <c r="R642" s="37" t="n">
        <f aca="false">(Q642/P642)*100</f>
        <v>83.781971822834</v>
      </c>
      <c r="S642" s="1" t="n">
        <f aca="false">Y642-AD642</f>
        <v>12962</v>
      </c>
      <c r="T642" s="37" t="n">
        <f aca="false">(S642/Q642)*100</f>
        <v>7.4620335509424</v>
      </c>
      <c r="U642" s="37" t="n">
        <f aca="false">Z642+AE642</f>
        <v>94.7612632839395</v>
      </c>
      <c r="V642" s="1" t="s">
        <v>55</v>
      </c>
      <c r="W642" s="1" t="s">
        <v>68</v>
      </c>
      <c r="X642" s="1" t="s">
        <v>3168</v>
      </c>
      <c r="Y642" s="1" t="n">
        <v>88784</v>
      </c>
      <c r="Z642" s="37" t="n">
        <f aca="false">(Y642/Q642)*100</f>
        <v>51.111648417441</v>
      </c>
      <c r="AA642" s="1" t="s">
        <v>52</v>
      </c>
      <c r="AB642" s="1" t="s">
        <v>53</v>
      </c>
      <c r="AC642" s="1" t="s">
        <v>3169</v>
      </c>
      <c r="AD642" s="1" t="n">
        <v>75822</v>
      </c>
      <c r="AE642" s="37" t="n">
        <f aca="false">(AD642/Q642)*100</f>
        <v>43.6496148664986</v>
      </c>
      <c r="AF642" s="37" t="s">
        <v>179</v>
      </c>
      <c r="AG642" s="1" t="s">
        <v>179</v>
      </c>
      <c r="AH642" s="1" t="s">
        <v>3170</v>
      </c>
      <c r="AI642" s="1" t="n">
        <v>4879</v>
      </c>
      <c r="AJ642" s="37" t="n">
        <f aca="false">(AI642/Q642)*100</f>
        <v>2.80876883930319</v>
      </c>
      <c r="AK642" s="37" t="s">
        <v>197</v>
      </c>
      <c r="AL642" s="1" t="s">
        <v>2596</v>
      </c>
      <c r="AM642" s="1" t="s">
        <v>3171</v>
      </c>
      <c r="AN642" s="1" t="n">
        <v>1408</v>
      </c>
      <c r="AO642" s="37" t="n">
        <f aca="false">(AN642/Q642)*100</f>
        <v>0.81056497760584</v>
      </c>
      <c r="AP642" s="1" t="s">
        <v>1431</v>
      </c>
      <c r="AQ642" s="1" t="s">
        <v>171</v>
      </c>
      <c r="AR642" s="1" t="s">
        <v>3172</v>
      </c>
      <c r="AS642" s="1" t="n">
        <v>1276</v>
      </c>
      <c r="AT642" s="37" t="n">
        <f aca="false">(AS642/Q642)*100</f>
        <v>0.734574510955292</v>
      </c>
    </row>
    <row r="643" customFormat="false" ht="12.8" hidden="false" customHeight="true" outlineLevel="0" collapsed="false">
      <c r="A643" s="35" t="n">
        <v>2011</v>
      </c>
      <c r="B643" s="44" t="n">
        <v>174</v>
      </c>
      <c r="C643" s="2" t="s">
        <v>1036</v>
      </c>
      <c r="D643" s="2" t="s">
        <v>1036</v>
      </c>
      <c r="E643" s="2" t="s">
        <v>903</v>
      </c>
      <c r="F643" s="2" t="s">
        <v>1015</v>
      </c>
      <c r="G643" s="2" t="s">
        <v>88</v>
      </c>
      <c r="H643" s="2" t="s">
        <v>51</v>
      </c>
      <c r="I643" s="2" t="s">
        <v>526</v>
      </c>
      <c r="J643" s="2" t="s">
        <v>51</v>
      </c>
      <c r="K643" s="2" t="s">
        <v>53</v>
      </c>
      <c r="L643" s="2" t="s">
        <v>68</v>
      </c>
      <c r="M643" s="2" t="s">
        <v>53</v>
      </c>
      <c r="N643" s="2" t="s">
        <v>51</v>
      </c>
      <c r="O643" s="2" t="s">
        <v>169</v>
      </c>
      <c r="P643" s="1" t="n">
        <v>202002</v>
      </c>
      <c r="Q643" s="1" t="n">
        <v>149130</v>
      </c>
      <c r="R643" s="37" t="n">
        <f aca="false">(Q643/P643)*100</f>
        <v>73.8260017227552</v>
      </c>
      <c r="S643" s="1" t="n">
        <f aca="false">Y643-AD643</f>
        <v>7329</v>
      </c>
      <c r="T643" s="37" t="n">
        <f aca="false">(S643/Q643)*100</f>
        <v>4.91450412391873</v>
      </c>
      <c r="U643" s="37" t="n">
        <f aca="false">Z643+AE643</f>
        <v>96.2254408904982</v>
      </c>
      <c r="V643" s="1" t="s">
        <v>55</v>
      </c>
      <c r="W643" s="1" t="s">
        <v>68</v>
      </c>
      <c r="X643" s="1" t="s">
        <v>1051</v>
      </c>
      <c r="Y643" s="1" t="n">
        <v>75415</v>
      </c>
      <c r="Z643" s="37" t="n">
        <f aca="false">(Y643/Q643)*100</f>
        <v>50.5699725072085</v>
      </c>
      <c r="AA643" s="1" t="s">
        <v>52</v>
      </c>
      <c r="AB643" s="1" t="s">
        <v>53</v>
      </c>
      <c r="AC643" s="1" t="s">
        <v>3173</v>
      </c>
      <c r="AD643" s="1" t="n">
        <v>68086</v>
      </c>
      <c r="AE643" s="37" t="n">
        <f aca="false">(AD643/Q643)*100</f>
        <v>45.6554683832898</v>
      </c>
      <c r="AF643" s="1" t="s">
        <v>1431</v>
      </c>
      <c r="AG643" s="1" t="s">
        <v>171</v>
      </c>
      <c r="AH643" s="1" t="s">
        <v>3174</v>
      </c>
      <c r="AI643" s="1" t="n">
        <v>1901</v>
      </c>
      <c r="AJ643" s="37" t="n">
        <f aca="false">(AI643/Q643)*100</f>
        <v>1.27472674847449</v>
      </c>
      <c r="AK643" s="1" t="s">
        <v>179</v>
      </c>
      <c r="AL643" s="1" t="s">
        <v>179</v>
      </c>
      <c r="AM643" s="1" t="s">
        <v>3175</v>
      </c>
      <c r="AN643" s="1" t="n">
        <v>1505</v>
      </c>
      <c r="AO643" s="37" t="n">
        <f aca="false">(AN643/Q643)*100</f>
        <v>1.00918661570442</v>
      </c>
      <c r="AP643" s="37" t="s">
        <v>197</v>
      </c>
      <c r="AQ643" s="1" t="s">
        <v>197</v>
      </c>
      <c r="AR643" s="1" t="s">
        <v>3176</v>
      </c>
      <c r="AS643" s="1" t="n">
        <v>712</v>
      </c>
      <c r="AT643" s="37" t="n">
        <f aca="false">(AS643/Q643)*100</f>
        <v>0.477435794273453</v>
      </c>
    </row>
    <row r="644" customFormat="false" ht="12.8" hidden="false" customHeight="true" outlineLevel="0" collapsed="false">
      <c r="A644" s="35" t="n">
        <v>2011</v>
      </c>
      <c r="B644" s="36" t="n">
        <v>175</v>
      </c>
      <c r="C644" s="1" t="s">
        <v>1066</v>
      </c>
      <c r="D644" s="1" t="s">
        <v>1036</v>
      </c>
      <c r="E644" s="1" t="s">
        <v>903</v>
      </c>
      <c r="F644" s="1" t="s">
        <v>1015</v>
      </c>
      <c r="G644" s="1" t="s">
        <v>50</v>
      </c>
      <c r="H644" s="1" t="s">
        <v>51</v>
      </c>
      <c r="I644" s="1" t="s">
        <v>526</v>
      </c>
      <c r="J644" s="1" t="s">
        <v>51</v>
      </c>
      <c r="K644" s="1" t="s">
        <v>68</v>
      </c>
      <c r="L644" s="1" t="s">
        <v>68</v>
      </c>
      <c r="M644" s="1" t="s">
        <v>51</v>
      </c>
      <c r="N644" s="1" t="s">
        <v>51</v>
      </c>
      <c r="O644" s="1" t="s">
        <v>51</v>
      </c>
      <c r="P644" s="1" t="n">
        <v>193265</v>
      </c>
      <c r="Q644" s="1" t="n">
        <v>158681</v>
      </c>
      <c r="R644" s="37" t="n">
        <f aca="false">(Q644/P644)*100</f>
        <v>82.1053993221742</v>
      </c>
      <c r="S644" s="1" t="n">
        <f aca="false">Y644-AD644</f>
        <v>32644</v>
      </c>
      <c r="T644" s="37" t="n">
        <f aca="false">(S644/Q644)*100</f>
        <v>20.5720911766374</v>
      </c>
      <c r="U644" s="37" t="n">
        <f aca="false">Z644+AE644</f>
        <v>95.0359526345309</v>
      </c>
      <c r="V644" s="1" t="s">
        <v>55</v>
      </c>
      <c r="W644" s="1" t="s">
        <v>68</v>
      </c>
      <c r="X644" s="1" t="s">
        <v>1067</v>
      </c>
      <c r="Y644" s="1" t="n">
        <v>91724</v>
      </c>
      <c r="Z644" s="37" t="n">
        <f aca="false">(Y644/Q644)*100</f>
        <v>57.8040219055842</v>
      </c>
      <c r="AA644" s="1" t="s">
        <v>52</v>
      </c>
      <c r="AB644" s="1" t="s">
        <v>53</v>
      </c>
      <c r="AC644" s="1" t="s">
        <v>3177</v>
      </c>
      <c r="AD644" s="1" t="n">
        <v>59080</v>
      </c>
      <c r="AE644" s="37" t="n">
        <f aca="false">(AD644/Q644)*100</f>
        <v>37.2319307289468</v>
      </c>
      <c r="AF644" s="37" t="s">
        <v>179</v>
      </c>
      <c r="AG644" s="1" t="s">
        <v>179</v>
      </c>
      <c r="AH644" s="1" t="s">
        <v>3178</v>
      </c>
      <c r="AI644" s="1" t="n">
        <v>1843</v>
      </c>
      <c r="AJ644" s="37" t="n">
        <f aca="false">(AI644/Q644)*100</f>
        <v>1.16144970097239</v>
      </c>
      <c r="AK644" s="37" t="s">
        <v>197</v>
      </c>
      <c r="AL644" s="1" t="s">
        <v>197</v>
      </c>
      <c r="AM644" s="1" t="s">
        <v>3179</v>
      </c>
      <c r="AN644" s="1" t="n">
        <v>1612</v>
      </c>
      <c r="AO644" s="37" t="n">
        <f aca="false">(AN644/Q644)*100</f>
        <v>1.01587461636869</v>
      </c>
      <c r="AP644" s="1" t="s">
        <v>85</v>
      </c>
      <c r="AQ644" s="1" t="s">
        <v>85</v>
      </c>
      <c r="AR644" s="1" t="s">
        <v>3180</v>
      </c>
      <c r="AS644" s="1" t="n">
        <v>1542</v>
      </c>
      <c r="AT644" s="37" t="n">
        <f aca="false">(AS644/Q644)*100</f>
        <v>0.971760954367568</v>
      </c>
    </row>
    <row r="645" customFormat="false" ht="12.8" hidden="false" customHeight="true" outlineLevel="0" collapsed="false">
      <c r="A645" s="35" t="n">
        <v>2011</v>
      </c>
      <c r="B645" s="36" t="n">
        <v>176</v>
      </c>
      <c r="C645" s="1" t="s">
        <v>1072</v>
      </c>
      <c r="D645" s="1" t="s">
        <v>1036</v>
      </c>
      <c r="E645" s="1" t="s">
        <v>903</v>
      </c>
      <c r="F645" s="1" t="s">
        <v>1015</v>
      </c>
      <c r="G645" s="1" t="s">
        <v>77</v>
      </c>
      <c r="H645" s="1" t="s">
        <v>51</v>
      </c>
      <c r="I645" s="1" t="s">
        <v>51</v>
      </c>
      <c r="J645" s="1" t="s">
        <v>51</v>
      </c>
      <c r="K645" s="1" t="s">
        <v>51</v>
      </c>
      <c r="L645" s="1" t="s">
        <v>66</v>
      </c>
      <c r="M645" s="1" t="s">
        <v>51</v>
      </c>
      <c r="N645" s="1" t="s">
        <v>51</v>
      </c>
      <c r="O645" s="1" t="s">
        <v>51</v>
      </c>
      <c r="P645" s="1" t="n">
        <v>187627</v>
      </c>
      <c r="Q645" s="1" t="n">
        <v>146353</v>
      </c>
      <c r="R645" s="37" t="n">
        <f aca="false">(Q645/P645)*100</f>
        <v>78.0020999109936</v>
      </c>
      <c r="S645" s="1" t="n">
        <f aca="false">Y645-AD645</f>
        <v>8779</v>
      </c>
      <c r="T645" s="37" t="n">
        <f aca="false">(S645/Q645)*100</f>
        <v>5.99851045075947</v>
      </c>
      <c r="U645" s="37" t="n">
        <f aca="false">Z645+AE645</f>
        <v>69.8209124514018</v>
      </c>
      <c r="V645" s="1" t="s">
        <v>52</v>
      </c>
      <c r="W645" s="1" t="s">
        <v>66</v>
      </c>
      <c r="X645" s="1" t="s">
        <v>3181</v>
      </c>
      <c r="Y645" s="1" t="n">
        <v>55482</v>
      </c>
      <c r="Z645" s="37" t="n">
        <f aca="false">(Y645/Q645)*100</f>
        <v>37.9097114510806</v>
      </c>
      <c r="AA645" s="1" t="s">
        <v>55</v>
      </c>
      <c r="AB645" s="1" t="s">
        <v>61</v>
      </c>
      <c r="AC645" s="1" t="s">
        <v>3182</v>
      </c>
      <c r="AD645" s="1" t="n">
        <v>46703</v>
      </c>
      <c r="AE645" s="37" t="n">
        <f aca="false">(AD645/Q645)*100</f>
        <v>31.9112010003211</v>
      </c>
      <c r="AF645" s="1" t="s">
        <v>197</v>
      </c>
      <c r="AG645" s="1" t="s">
        <v>197</v>
      </c>
      <c r="AH645" s="1" t="s">
        <v>3183</v>
      </c>
      <c r="AI645" s="1" t="n">
        <v>22066</v>
      </c>
      <c r="AJ645" s="37" t="n">
        <f aca="false">(AI645/Q645)*100</f>
        <v>15.0772447438727</v>
      </c>
      <c r="AK645" s="1" t="s">
        <v>1431</v>
      </c>
      <c r="AL645" s="1" t="s">
        <v>171</v>
      </c>
      <c r="AM645" s="1" t="s">
        <v>3184</v>
      </c>
      <c r="AN645" s="1" t="n">
        <v>10164</v>
      </c>
      <c r="AO645" s="37" t="n">
        <f aca="false">(AN645/Q645)*100</f>
        <v>6.9448525141268</v>
      </c>
      <c r="AP645" s="37" t="s">
        <v>197</v>
      </c>
      <c r="AQ645" s="1" t="s">
        <v>197</v>
      </c>
      <c r="AR645" s="1" t="s">
        <v>934</v>
      </c>
      <c r="AS645" s="1" t="n">
        <v>6775</v>
      </c>
      <c r="AT645" s="37" t="n">
        <f aca="false">(AS645/Q645)*100</f>
        <v>4.6292183966164</v>
      </c>
    </row>
    <row r="646" customFormat="false" ht="12.8" hidden="false" customHeight="true" outlineLevel="0" collapsed="false">
      <c r="A646" s="35" t="n">
        <v>2011</v>
      </c>
      <c r="B646" s="36" t="n">
        <v>177</v>
      </c>
      <c r="C646" s="1" t="s">
        <v>1078</v>
      </c>
      <c r="D646" s="1" t="s">
        <v>1036</v>
      </c>
      <c r="E646" s="1" t="s">
        <v>903</v>
      </c>
      <c r="F646" s="1" t="s">
        <v>1015</v>
      </c>
      <c r="G646" s="1" t="s">
        <v>50</v>
      </c>
      <c r="H646" s="1" t="s">
        <v>51</v>
      </c>
      <c r="I646" s="1" t="s">
        <v>51</v>
      </c>
      <c r="J646" s="1" t="s">
        <v>51</v>
      </c>
      <c r="K646" s="1" t="s">
        <v>51</v>
      </c>
      <c r="L646" s="1" t="s">
        <v>68</v>
      </c>
      <c r="M646" s="1" t="s">
        <v>51</v>
      </c>
      <c r="N646" s="1" t="s">
        <v>51</v>
      </c>
      <c r="O646" s="1" t="s">
        <v>51</v>
      </c>
      <c r="P646" s="1" t="n">
        <v>173298</v>
      </c>
      <c r="Q646" s="1" t="n">
        <v>140044</v>
      </c>
      <c r="R646" s="37" t="n">
        <f aca="false">(Q646/P646)*100</f>
        <v>80.8110884141767</v>
      </c>
      <c r="S646" s="1" t="n">
        <f aca="false">Y646-AD646</f>
        <v>7194</v>
      </c>
      <c r="T646" s="37" t="n">
        <f aca="false">(S646/Q646)*100</f>
        <v>5.13695695638514</v>
      </c>
      <c r="U646" s="37" t="n">
        <f aca="false">Z646+AE646</f>
        <v>67.7115763617149</v>
      </c>
      <c r="V646" s="1" t="s">
        <v>55</v>
      </c>
      <c r="W646" s="1" t="s">
        <v>61</v>
      </c>
      <c r="X646" s="1" t="s">
        <v>3185</v>
      </c>
      <c r="Y646" s="1" t="n">
        <v>51010</v>
      </c>
      <c r="Z646" s="37" t="n">
        <f aca="false">(Y646/Q646)*100</f>
        <v>36.42426665905</v>
      </c>
      <c r="AA646" s="1" t="s">
        <v>52</v>
      </c>
      <c r="AB646" s="1" t="s">
        <v>66</v>
      </c>
      <c r="AC646" s="1" t="s">
        <v>3186</v>
      </c>
      <c r="AD646" s="1" t="n">
        <v>43816</v>
      </c>
      <c r="AE646" s="37" t="n">
        <f aca="false">(AD646/Q646)*100</f>
        <v>31.2873097026649</v>
      </c>
      <c r="AF646" s="1" t="s">
        <v>197</v>
      </c>
      <c r="AG646" s="1" t="s">
        <v>197</v>
      </c>
      <c r="AH646" s="1" t="s">
        <v>3187</v>
      </c>
      <c r="AI646" s="1" t="n">
        <v>25137</v>
      </c>
      <c r="AJ646" s="37" t="n">
        <f aca="false">(AI646/Q646)*100</f>
        <v>17.9493587729571</v>
      </c>
      <c r="AK646" s="37" t="s">
        <v>197</v>
      </c>
      <c r="AL646" s="1" t="s">
        <v>197</v>
      </c>
      <c r="AM646" s="1" t="s">
        <v>3188</v>
      </c>
      <c r="AN646" s="1" t="n">
        <v>7470</v>
      </c>
      <c r="AO646" s="37" t="n">
        <f aca="false">(AN646/Q646)*100</f>
        <v>5.33403787381109</v>
      </c>
      <c r="AP646" s="37" t="s">
        <v>197</v>
      </c>
      <c r="AQ646" s="1" t="s">
        <v>2458</v>
      </c>
      <c r="AR646" s="1" t="s">
        <v>3189</v>
      </c>
      <c r="AS646" s="1" t="n">
        <v>4453</v>
      </c>
      <c r="AT646" s="37" t="n">
        <f aca="false">(AS646/Q646)*100</f>
        <v>3.17971494673103</v>
      </c>
    </row>
    <row r="647" customFormat="false" ht="12.8" hidden="false" customHeight="true" outlineLevel="0" collapsed="false">
      <c r="A647" s="35" t="n">
        <v>2011</v>
      </c>
      <c r="B647" s="36" t="n">
        <v>178</v>
      </c>
      <c r="C647" s="1" t="s">
        <v>1083</v>
      </c>
      <c r="D647" s="1" t="s">
        <v>1084</v>
      </c>
      <c r="E647" s="1" t="s">
        <v>192</v>
      </c>
      <c r="F647" s="1" t="s">
        <v>1085</v>
      </c>
      <c r="G647" s="1" t="s">
        <v>50</v>
      </c>
      <c r="H647" s="1" t="s">
        <v>65</v>
      </c>
      <c r="I647" s="1" t="s">
        <v>51</v>
      </c>
      <c r="J647" s="1" t="s">
        <v>51</v>
      </c>
      <c r="K647" s="1" t="s">
        <v>51</v>
      </c>
      <c r="L647" s="1" t="s">
        <v>51</v>
      </c>
      <c r="M647" s="1" t="s">
        <v>51</v>
      </c>
      <c r="N647" s="1" t="s">
        <v>51</v>
      </c>
      <c r="O647" s="1" t="s">
        <v>51</v>
      </c>
      <c r="P647" s="1" t="n">
        <v>152708</v>
      </c>
      <c r="Q647" s="1" t="n">
        <v>122381</v>
      </c>
      <c r="R647" s="37" t="n">
        <f aca="false">(Q647/P647)*100</f>
        <v>80.1405296382639</v>
      </c>
      <c r="S647" s="1" t="n">
        <f aca="false">Y647-AD647</f>
        <v>19699</v>
      </c>
      <c r="T647" s="37" t="n">
        <f aca="false">(S647/Q647)*100</f>
        <v>16.0964528807576</v>
      </c>
      <c r="U647" s="37" t="n">
        <f aca="false">Z647+AE647</f>
        <v>93.606850736634</v>
      </c>
      <c r="V647" s="1" t="s">
        <v>55</v>
      </c>
      <c r="W647" s="1" t="s">
        <v>68</v>
      </c>
      <c r="X647" s="1" t="s">
        <v>2743</v>
      </c>
      <c r="Y647" s="1" t="n">
        <v>67128</v>
      </c>
      <c r="Z647" s="37" t="n">
        <f aca="false">(Y647/Q647)*100</f>
        <v>54.8516518086958</v>
      </c>
      <c r="AA647" s="1" t="s">
        <v>52</v>
      </c>
      <c r="AB647" s="1" t="s">
        <v>53</v>
      </c>
      <c r="AC647" s="1" t="s">
        <v>3190</v>
      </c>
      <c r="AD647" s="1" t="n">
        <v>47429</v>
      </c>
      <c r="AE647" s="37" t="n">
        <f aca="false">(AD647/Q647)*100</f>
        <v>38.7551989279382</v>
      </c>
      <c r="AF647" s="37" t="s">
        <v>179</v>
      </c>
      <c r="AG647" s="1" t="s">
        <v>179</v>
      </c>
      <c r="AH647" s="1" t="s">
        <v>3191</v>
      </c>
      <c r="AI647" s="1" t="n">
        <v>2974</v>
      </c>
      <c r="AJ647" s="37" t="n">
        <f aca="false">(AI647/Q647)*100</f>
        <v>2.43011578594717</v>
      </c>
      <c r="AK647" s="37" t="s">
        <v>197</v>
      </c>
      <c r="AL647" s="1" t="s">
        <v>197</v>
      </c>
      <c r="AM647" s="1" t="s">
        <v>3192</v>
      </c>
      <c r="AN647" s="1" t="n">
        <v>1357</v>
      </c>
      <c r="AO647" s="37" t="n">
        <f aca="false">(AN647/Q647)*100</f>
        <v>1.10883225337266</v>
      </c>
      <c r="AP647" s="1" t="s">
        <v>85</v>
      </c>
      <c r="AQ647" s="1" t="s">
        <v>85</v>
      </c>
      <c r="AR647" s="1" t="s">
        <v>3193</v>
      </c>
      <c r="AS647" s="1" t="n">
        <v>1073</v>
      </c>
      <c r="AT647" s="37" t="n">
        <f aca="false">(AS647/Q647)*100</f>
        <v>0.876770086859888</v>
      </c>
    </row>
    <row r="648" customFormat="false" ht="12.8" hidden="false" customHeight="true" outlineLevel="0" collapsed="false">
      <c r="A648" s="35" t="n">
        <v>2011</v>
      </c>
      <c r="B648" s="36" t="n">
        <v>179</v>
      </c>
      <c r="C648" s="1" t="s">
        <v>1090</v>
      </c>
      <c r="D648" s="1" t="s">
        <v>1084</v>
      </c>
      <c r="E648" s="1" t="s">
        <v>192</v>
      </c>
      <c r="F648" s="1" t="s">
        <v>1085</v>
      </c>
      <c r="G648" s="1" t="s">
        <v>50</v>
      </c>
      <c r="H648" s="1" t="s">
        <v>51</v>
      </c>
      <c r="I648" s="1" t="s">
        <v>51</v>
      </c>
      <c r="J648" s="1" t="s">
        <v>51</v>
      </c>
      <c r="K648" s="1" t="s">
        <v>68</v>
      </c>
      <c r="L648" s="1" t="s">
        <v>51</v>
      </c>
      <c r="M648" s="1" t="s">
        <v>68</v>
      </c>
      <c r="N648" s="1" t="s">
        <v>51</v>
      </c>
      <c r="O648" s="1" t="s">
        <v>51</v>
      </c>
      <c r="P648" s="1" t="n">
        <v>160449</v>
      </c>
      <c r="Q648" s="1" t="n">
        <v>138022</v>
      </c>
      <c r="R648" s="37" t="n">
        <f aca="false">(Q648/P648)*100</f>
        <v>86.0223497809273</v>
      </c>
      <c r="S648" s="1" t="n">
        <f aca="false">Y648-AD648</f>
        <v>39309</v>
      </c>
      <c r="T648" s="37" t="n">
        <f aca="false">(S648/Q648)*100</f>
        <v>28.4802422802162</v>
      </c>
      <c r="U648" s="37" t="n">
        <f aca="false">Z648+AE648</f>
        <v>83.5091507151034</v>
      </c>
      <c r="V648" s="1" t="s">
        <v>55</v>
      </c>
      <c r="W648" s="1" t="s">
        <v>68</v>
      </c>
      <c r="X648" s="1" t="s">
        <v>3194</v>
      </c>
      <c r="Y648" s="1" t="n">
        <v>77285</v>
      </c>
      <c r="Z648" s="37" t="n">
        <f aca="false">(Y648/Q648)*100</f>
        <v>55.9946964976598</v>
      </c>
      <c r="AA648" s="1" t="s">
        <v>52</v>
      </c>
      <c r="AB648" s="1" t="s">
        <v>53</v>
      </c>
      <c r="AC648" s="1" t="s">
        <v>2211</v>
      </c>
      <c r="AD648" s="1" t="n">
        <v>37976</v>
      </c>
      <c r="AE648" s="37" t="n">
        <f aca="false">(AD648/Q648)*100</f>
        <v>27.5144542174436</v>
      </c>
      <c r="AF648" s="1" t="s">
        <v>197</v>
      </c>
      <c r="AG648" s="1" t="s">
        <v>197</v>
      </c>
      <c r="AH648" s="1" t="s">
        <v>2203</v>
      </c>
      <c r="AI648" s="1" t="n">
        <v>15397</v>
      </c>
      <c r="AJ648" s="37" t="n">
        <f aca="false">(AI648/Q648)*100</f>
        <v>11.1554679688745</v>
      </c>
      <c r="AK648" s="1" t="s">
        <v>179</v>
      </c>
      <c r="AL648" s="1" t="s">
        <v>179</v>
      </c>
      <c r="AM648" s="1" t="s">
        <v>3195</v>
      </c>
      <c r="AN648" s="1" t="n">
        <v>2639</v>
      </c>
      <c r="AO648" s="37" t="n">
        <f aca="false">(AN648/Q648)*100</f>
        <v>1.91201402674936</v>
      </c>
      <c r="AP648" s="37" t="s">
        <v>197</v>
      </c>
      <c r="AQ648" s="1" t="s">
        <v>197</v>
      </c>
      <c r="AR648" s="1" t="s">
        <v>3196</v>
      </c>
      <c r="AS648" s="1" t="n">
        <v>1404</v>
      </c>
      <c r="AT648" s="37" t="n">
        <f aca="false">(AS648/Q648)*100</f>
        <v>1.0172291373839</v>
      </c>
    </row>
    <row r="649" customFormat="false" ht="12.8" hidden="false" customHeight="true" outlineLevel="0" collapsed="false">
      <c r="A649" s="35" t="n">
        <v>2011</v>
      </c>
      <c r="B649" s="36" t="n">
        <v>180</v>
      </c>
      <c r="C649" s="1" t="s">
        <v>1096</v>
      </c>
      <c r="D649" s="1" t="s">
        <v>1084</v>
      </c>
      <c r="E649" s="1" t="s">
        <v>192</v>
      </c>
      <c r="F649" s="1" t="s">
        <v>1085</v>
      </c>
      <c r="G649" s="1" t="s">
        <v>88</v>
      </c>
      <c r="H649" s="1" t="s">
        <v>51</v>
      </c>
      <c r="I649" s="1" t="s">
        <v>51</v>
      </c>
      <c r="J649" s="1" t="s">
        <v>51</v>
      </c>
      <c r="K649" s="1" t="s">
        <v>51</v>
      </c>
      <c r="L649" s="1" t="s">
        <v>51</v>
      </c>
      <c r="M649" s="1" t="s">
        <v>51</v>
      </c>
      <c r="N649" s="1" t="s">
        <v>66</v>
      </c>
      <c r="O649" s="1" t="s">
        <v>51</v>
      </c>
      <c r="P649" s="1" t="n">
        <v>177413</v>
      </c>
      <c r="Q649" s="1" t="n">
        <v>139957</v>
      </c>
      <c r="R649" s="37" t="n">
        <f aca="false">(Q649/P649)*100</f>
        <v>78.8876801587257</v>
      </c>
      <c r="S649" s="1" t="n">
        <f aca="false">Y649-AD649</f>
        <v>3101</v>
      </c>
      <c r="T649" s="37" t="n">
        <f aca="false">(S649/Q649)*100</f>
        <v>2.21568053044864</v>
      </c>
      <c r="U649" s="37" t="n">
        <f aca="false">Z649+AE649</f>
        <v>91.3359103153111</v>
      </c>
      <c r="V649" s="1" t="s">
        <v>55</v>
      </c>
      <c r="W649" s="1" t="s">
        <v>392</v>
      </c>
      <c r="X649" s="1" t="s">
        <v>3197</v>
      </c>
      <c r="Y649" s="1" t="n">
        <v>65466</v>
      </c>
      <c r="Z649" s="37" t="n">
        <f aca="false">(Y649/Q649)*100</f>
        <v>46.7757954228799</v>
      </c>
      <c r="AA649" s="1" t="s">
        <v>52</v>
      </c>
      <c r="AB649" s="1" t="s">
        <v>53</v>
      </c>
      <c r="AC649" s="1" t="s">
        <v>2207</v>
      </c>
      <c r="AD649" s="1" t="n">
        <v>62365</v>
      </c>
      <c r="AE649" s="37" t="n">
        <f aca="false">(AD649/Q649)*100</f>
        <v>44.5601148924312</v>
      </c>
      <c r="AF649" s="37" t="s">
        <v>179</v>
      </c>
      <c r="AG649" s="1" t="s">
        <v>179</v>
      </c>
      <c r="AH649" s="1" t="s">
        <v>3198</v>
      </c>
      <c r="AI649" s="1" t="n">
        <v>4098</v>
      </c>
      <c r="AJ649" s="37" t="n">
        <f aca="false">(AI649/Q649)*100</f>
        <v>2.9280421843852</v>
      </c>
      <c r="AK649" s="37" t="s">
        <v>197</v>
      </c>
      <c r="AL649" s="1" t="s">
        <v>197</v>
      </c>
      <c r="AM649" s="1" t="s">
        <v>3199</v>
      </c>
      <c r="AN649" s="1" t="n">
        <v>3901</v>
      </c>
      <c r="AO649" s="37" t="n">
        <f aca="false">(AN649/Q649)*100</f>
        <v>2.78728466600456</v>
      </c>
      <c r="AP649" s="1" t="s">
        <v>1431</v>
      </c>
      <c r="AQ649" s="1" t="s">
        <v>171</v>
      </c>
      <c r="AR649" s="1" t="s">
        <v>3200</v>
      </c>
      <c r="AS649" s="1" t="n">
        <v>1748</v>
      </c>
      <c r="AT649" s="37" t="n">
        <f aca="false">(AS649/Q649)*100</f>
        <v>1.24895503618969</v>
      </c>
    </row>
    <row r="650" customFormat="false" ht="12.8" hidden="false" customHeight="true" outlineLevel="0" collapsed="false">
      <c r="A650" s="35" t="n">
        <v>2011</v>
      </c>
      <c r="B650" s="36" t="n">
        <v>181</v>
      </c>
      <c r="C650" s="1" t="s">
        <v>1102</v>
      </c>
      <c r="D650" s="1" t="s">
        <v>1084</v>
      </c>
      <c r="E650" s="1" t="s">
        <v>192</v>
      </c>
      <c r="F650" s="1" t="s">
        <v>1085</v>
      </c>
      <c r="G650" s="1" t="s">
        <v>50</v>
      </c>
      <c r="H650" s="1" t="s">
        <v>51</v>
      </c>
      <c r="I650" s="1" t="s">
        <v>51</v>
      </c>
      <c r="J650" s="1" t="s">
        <v>51</v>
      </c>
      <c r="K650" s="1" t="s">
        <v>53</v>
      </c>
      <c r="L650" s="1" t="s">
        <v>51</v>
      </c>
      <c r="M650" s="1" t="s">
        <v>51</v>
      </c>
      <c r="N650" s="1" t="s">
        <v>51</v>
      </c>
      <c r="O650" s="1" t="s">
        <v>51</v>
      </c>
      <c r="P650" s="1" t="n">
        <v>171992</v>
      </c>
      <c r="Q650" s="1" t="n">
        <v>135429</v>
      </c>
      <c r="R650" s="37" t="n">
        <f aca="false">(Q650/P650)*100</f>
        <v>78.7414530908414</v>
      </c>
      <c r="S650" s="1" t="n">
        <f aca="false">Y650-AD650</f>
        <v>31135</v>
      </c>
      <c r="T650" s="37" t="n">
        <f aca="false">(S650/Q650)*100</f>
        <v>22.989906150086</v>
      </c>
      <c r="U650" s="37" t="n">
        <f aca="false">Z650+AE650</f>
        <v>93.5479107133627</v>
      </c>
      <c r="V650" s="1" t="s">
        <v>55</v>
      </c>
      <c r="W650" s="1" t="s">
        <v>68</v>
      </c>
      <c r="X650" s="1" t="s">
        <v>3201</v>
      </c>
      <c r="Y650" s="1" t="n">
        <v>78913</v>
      </c>
      <c r="Z650" s="37" t="n">
        <f aca="false">(Y650/Q650)*100</f>
        <v>58.2689084317244</v>
      </c>
      <c r="AA650" s="1" t="s">
        <v>52</v>
      </c>
      <c r="AB650" s="1" t="s">
        <v>66</v>
      </c>
      <c r="AC650" s="1" t="s">
        <v>3202</v>
      </c>
      <c r="AD650" s="1" t="n">
        <v>47778</v>
      </c>
      <c r="AE650" s="37" t="n">
        <f aca="false">(AD650/Q650)*100</f>
        <v>35.2790022816384</v>
      </c>
      <c r="AF650" s="1" t="s">
        <v>1431</v>
      </c>
      <c r="AG650" s="1" t="s">
        <v>171</v>
      </c>
      <c r="AH650" s="1" t="s">
        <v>2215</v>
      </c>
      <c r="AI650" s="1" t="n">
        <v>2686</v>
      </c>
      <c r="AJ650" s="37" t="n">
        <f aca="false">(AI650/Q650)*100</f>
        <v>1.98332705698189</v>
      </c>
      <c r="AK650" s="37" t="s">
        <v>197</v>
      </c>
      <c r="AL650" s="1" t="s">
        <v>197</v>
      </c>
      <c r="AM650" s="1" t="s">
        <v>3203</v>
      </c>
      <c r="AN650" s="1" t="n">
        <v>1457</v>
      </c>
      <c r="AO650" s="37" t="n">
        <f aca="false">(AN650/Q650)*100</f>
        <v>1.07584047729807</v>
      </c>
      <c r="AP650" s="37" t="s">
        <v>197</v>
      </c>
      <c r="AQ650" s="1" t="s">
        <v>197</v>
      </c>
      <c r="AR650" s="1" t="s">
        <v>3204</v>
      </c>
      <c r="AS650" s="1" t="n">
        <v>1046</v>
      </c>
      <c r="AT650" s="37" t="n">
        <f aca="false">(AS650/Q650)*100</f>
        <v>0.772360425019752</v>
      </c>
    </row>
    <row r="651" customFormat="false" ht="12.8" hidden="false" customHeight="true" outlineLevel="0" collapsed="false">
      <c r="A651" s="35" t="n">
        <v>2011</v>
      </c>
      <c r="B651" s="36" t="n">
        <v>182</v>
      </c>
      <c r="C651" s="1" t="s">
        <v>1107</v>
      </c>
      <c r="D651" s="1" t="s">
        <v>1084</v>
      </c>
      <c r="E651" s="1" t="s">
        <v>192</v>
      </c>
      <c r="F651" s="1" t="s">
        <v>1085</v>
      </c>
      <c r="G651" s="1" t="s">
        <v>50</v>
      </c>
      <c r="H651" s="1" t="s">
        <v>51</v>
      </c>
      <c r="I651" s="1" t="s">
        <v>51</v>
      </c>
      <c r="J651" s="1" t="s">
        <v>51</v>
      </c>
      <c r="K651" s="1" t="s">
        <v>51</v>
      </c>
      <c r="L651" s="1" t="s">
        <v>68</v>
      </c>
      <c r="M651" s="1" t="s">
        <v>51</v>
      </c>
      <c r="N651" s="1" t="s">
        <v>51</v>
      </c>
      <c r="O651" s="1" t="s">
        <v>51</v>
      </c>
      <c r="P651" s="1" t="n">
        <v>168687</v>
      </c>
      <c r="Q651" s="1" t="n">
        <v>138203</v>
      </c>
      <c r="R651" s="37" t="n">
        <f aca="false">(Q651/P651)*100</f>
        <v>81.9286607740964</v>
      </c>
      <c r="S651" s="1" t="n">
        <f aca="false">Y651-AD651</f>
        <v>5127</v>
      </c>
      <c r="T651" s="37" t="n">
        <f aca="false">(S651/Q651)*100</f>
        <v>3.70976028016758</v>
      </c>
      <c r="U651" s="37" t="n">
        <f aca="false">Z651+AE651</f>
        <v>79.139381923692</v>
      </c>
      <c r="V651" s="1" t="s">
        <v>55</v>
      </c>
      <c r="W651" s="1" t="s">
        <v>68</v>
      </c>
      <c r="X651" s="1" t="s">
        <v>3205</v>
      </c>
      <c r="Y651" s="1" t="n">
        <v>57250</v>
      </c>
      <c r="Z651" s="37" t="n">
        <f aca="false">(Y651/Q651)*100</f>
        <v>41.4245711019298</v>
      </c>
      <c r="AA651" s="1" t="s">
        <v>52</v>
      </c>
      <c r="AB651" s="1" t="s">
        <v>56</v>
      </c>
      <c r="AC651" s="1" t="s">
        <v>2218</v>
      </c>
      <c r="AD651" s="1" t="n">
        <v>52123</v>
      </c>
      <c r="AE651" s="37" t="n">
        <f aca="false">(AD651/Q651)*100</f>
        <v>37.7148108217622</v>
      </c>
      <c r="AF651" s="1" t="s">
        <v>197</v>
      </c>
      <c r="AG651" s="1" t="s">
        <v>197</v>
      </c>
      <c r="AH651" s="1" t="s">
        <v>3206</v>
      </c>
      <c r="AI651" s="1" t="n">
        <v>21717</v>
      </c>
      <c r="AJ651" s="37" t="n">
        <f aca="false">(AI651/Q651)*100</f>
        <v>15.7138412335478</v>
      </c>
      <c r="AK651" s="1" t="s">
        <v>179</v>
      </c>
      <c r="AL651" s="1" t="s">
        <v>179</v>
      </c>
      <c r="AM651" s="1" t="s">
        <v>3207</v>
      </c>
      <c r="AN651" s="1" t="n">
        <v>3666</v>
      </c>
      <c r="AO651" s="37" t="n">
        <f aca="false">(AN651/Q651)*100</f>
        <v>2.65261969711222</v>
      </c>
      <c r="AP651" s="1" t="s">
        <v>1431</v>
      </c>
      <c r="AQ651" s="1" t="s">
        <v>171</v>
      </c>
      <c r="AR651" s="1" t="s">
        <v>3208</v>
      </c>
      <c r="AS651" s="1" t="n">
        <v>2033</v>
      </c>
      <c r="AT651" s="37" t="n">
        <f aca="false">(AS651/Q651)*100</f>
        <v>1.47102450742748</v>
      </c>
    </row>
    <row r="652" customFormat="false" ht="12.8" hidden="false" customHeight="true" outlineLevel="0" collapsed="false">
      <c r="A652" s="35" t="n">
        <v>2011</v>
      </c>
      <c r="B652" s="36" t="n">
        <v>183</v>
      </c>
      <c r="C652" s="1" t="s">
        <v>1113</v>
      </c>
      <c r="D652" s="1" t="s">
        <v>1084</v>
      </c>
      <c r="E652" s="1" t="s">
        <v>192</v>
      </c>
      <c r="F652" s="1" t="s">
        <v>1085</v>
      </c>
      <c r="G652" s="1" t="s">
        <v>50</v>
      </c>
      <c r="H652" s="1" t="s">
        <v>51</v>
      </c>
      <c r="I652" s="1" t="s">
        <v>526</v>
      </c>
      <c r="J652" s="1" t="s">
        <v>51</v>
      </c>
      <c r="K652" s="1" t="s">
        <v>51</v>
      </c>
      <c r="L652" s="46" t="s">
        <v>1114</v>
      </c>
      <c r="M652" s="1" t="s">
        <v>51</v>
      </c>
      <c r="N652" s="46" t="s">
        <v>1114</v>
      </c>
      <c r="O652" s="1" t="s">
        <v>51</v>
      </c>
      <c r="P652" s="1" t="n">
        <v>170564</v>
      </c>
      <c r="Q652" s="1" t="n">
        <v>128027</v>
      </c>
      <c r="R652" s="37" t="n">
        <f aca="false">(Q652/P652)*100</f>
        <v>75.06097417978</v>
      </c>
      <c r="S652" s="1" t="n">
        <f aca="false">Y652-AD652</f>
        <v>16656</v>
      </c>
      <c r="T652" s="37" t="n">
        <f aca="false">(S652/Q652)*100</f>
        <v>13.0097557546455</v>
      </c>
      <c r="U652" s="37" t="n">
        <f aca="false">Z652+AE652</f>
        <v>92.5289196810048</v>
      </c>
      <c r="V652" s="1" t="s">
        <v>55</v>
      </c>
      <c r="W652" s="1" t="s">
        <v>68</v>
      </c>
      <c r="X652" s="1" t="s">
        <v>3209</v>
      </c>
      <c r="Y652" s="1" t="n">
        <v>67559</v>
      </c>
      <c r="Z652" s="37" t="n">
        <f aca="false">(Y652/Q652)*100</f>
        <v>52.7693377178252</v>
      </c>
      <c r="AA652" s="1" t="s">
        <v>52</v>
      </c>
      <c r="AB652" s="1" t="s">
        <v>66</v>
      </c>
      <c r="AC652" s="1" t="s">
        <v>3210</v>
      </c>
      <c r="AD652" s="1" t="n">
        <v>50903</v>
      </c>
      <c r="AE652" s="37" t="n">
        <f aca="false">(AD652/Q652)*100</f>
        <v>39.7595819631796</v>
      </c>
      <c r="AF652" s="1" t="s">
        <v>197</v>
      </c>
      <c r="AG652" s="1" t="s">
        <v>197</v>
      </c>
      <c r="AH652" s="1" t="s">
        <v>3211</v>
      </c>
      <c r="AI652" s="1" t="n">
        <v>2729</v>
      </c>
      <c r="AJ652" s="37" t="n">
        <f aca="false">(AI652/Q652)*100</f>
        <v>2.13158161950214</v>
      </c>
      <c r="AK652" s="1" t="s">
        <v>179</v>
      </c>
      <c r="AL652" s="1" t="s">
        <v>179</v>
      </c>
      <c r="AM652" s="1" t="s">
        <v>3212</v>
      </c>
      <c r="AN652" s="1" t="n">
        <v>2305</v>
      </c>
      <c r="AO652" s="37" t="n">
        <f aca="false">(AN652/Q652)*100</f>
        <v>1.80040147781327</v>
      </c>
      <c r="AP652" s="1" t="s">
        <v>1431</v>
      </c>
      <c r="AQ652" s="1" t="s">
        <v>171</v>
      </c>
      <c r="AR652" s="1" t="s">
        <v>3213</v>
      </c>
      <c r="AS652" s="1" t="n">
        <v>2218</v>
      </c>
      <c r="AT652" s="37" t="n">
        <f aca="false">(AS652/Q652)*100</f>
        <v>1.73244706194787</v>
      </c>
    </row>
    <row r="653" customFormat="false" ht="12.8" hidden="false" customHeight="true" outlineLevel="0" collapsed="false">
      <c r="A653" s="35" t="n">
        <v>2011</v>
      </c>
      <c r="B653" s="36" t="n">
        <v>184</v>
      </c>
      <c r="C653" s="1" t="s">
        <v>1119</v>
      </c>
      <c r="D653" s="1" t="s">
        <v>1120</v>
      </c>
      <c r="E653" s="1" t="s">
        <v>192</v>
      </c>
      <c r="F653" s="1" t="s">
        <v>1085</v>
      </c>
      <c r="G653" s="1" t="s">
        <v>88</v>
      </c>
      <c r="H653" s="1" t="s">
        <v>51</v>
      </c>
      <c r="I653" s="1" t="s">
        <v>51</v>
      </c>
      <c r="J653" s="1" t="s">
        <v>51</v>
      </c>
      <c r="K653" s="1" t="s">
        <v>51</v>
      </c>
      <c r="L653" s="1" t="s">
        <v>51</v>
      </c>
      <c r="M653" s="1" t="s">
        <v>51</v>
      </c>
      <c r="N653" s="1" t="s">
        <v>51</v>
      </c>
      <c r="O653" s="1" t="s">
        <v>51</v>
      </c>
      <c r="P653" s="1" t="n">
        <v>226934</v>
      </c>
      <c r="Q653" s="1" t="n">
        <v>168797</v>
      </c>
      <c r="R653" s="37" t="n">
        <f aca="false">(Q653/P653)*100</f>
        <v>74.3815382445998</v>
      </c>
      <c r="S653" s="1" t="n">
        <f aca="false">Y653-AD653</f>
        <v>18900</v>
      </c>
      <c r="T653" s="37" t="n">
        <f aca="false">(S653/Q653)*100</f>
        <v>11.1968814611634</v>
      </c>
      <c r="U653" s="37" t="n">
        <f aca="false">Z653+AE653</f>
        <v>90.8238890501608</v>
      </c>
      <c r="V653" s="1" t="s">
        <v>55</v>
      </c>
      <c r="W653" s="1" t="s">
        <v>68</v>
      </c>
      <c r="X653" s="1" t="s">
        <v>3214</v>
      </c>
      <c r="Y653" s="1" t="n">
        <v>86104</v>
      </c>
      <c r="Z653" s="37" t="n">
        <f aca="false">(Y653/Q653)*100</f>
        <v>51.0103852556621</v>
      </c>
      <c r="AA653" s="1" t="s">
        <v>52</v>
      </c>
      <c r="AB653" s="1" t="s">
        <v>66</v>
      </c>
      <c r="AC653" s="1" t="s">
        <v>2224</v>
      </c>
      <c r="AD653" s="1" t="n">
        <v>67204</v>
      </c>
      <c r="AE653" s="37" t="n">
        <f aca="false">(AD653/Q653)*100</f>
        <v>39.8135037944987</v>
      </c>
      <c r="AF653" s="1" t="s">
        <v>1431</v>
      </c>
      <c r="AG653" s="1" t="s">
        <v>171</v>
      </c>
      <c r="AH653" s="1" t="s">
        <v>1949</v>
      </c>
      <c r="AI653" s="1" t="n">
        <v>4194</v>
      </c>
      <c r="AJ653" s="37" t="n">
        <f aca="false">(AI653/Q653)*100</f>
        <v>2.48464131471531</v>
      </c>
      <c r="AK653" s="1" t="s">
        <v>179</v>
      </c>
      <c r="AL653" s="1" t="s">
        <v>179</v>
      </c>
      <c r="AM653" s="1" t="s">
        <v>3215</v>
      </c>
      <c r="AN653" s="1" t="n">
        <v>3895</v>
      </c>
      <c r="AO653" s="37" t="n">
        <f aca="false">(AN653/Q653)*100</f>
        <v>2.30750546514452</v>
      </c>
      <c r="AP653" s="1" t="s">
        <v>85</v>
      </c>
      <c r="AQ653" s="1" t="s">
        <v>85</v>
      </c>
      <c r="AR653" s="1" t="s">
        <v>3216</v>
      </c>
      <c r="AS653" s="1" t="n">
        <v>2272</v>
      </c>
      <c r="AT653" s="37" t="n">
        <f aca="false">(AS653/Q653)*100</f>
        <v>1.34599548570176</v>
      </c>
    </row>
    <row r="654" customFormat="false" ht="12.8" hidden="false" customHeight="true" outlineLevel="0" collapsed="false">
      <c r="A654" s="35" t="n">
        <v>2011</v>
      </c>
      <c r="B654" s="36" t="n">
        <v>185</v>
      </c>
      <c r="C654" s="1" t="s">
        <v>1126</v>
      </c>
      <c r="D654" s="1" t="s">
        <v>1120</v>
      </c>
      <c r="E654" s="1" t="s">
        <v>192</v>
      </c>
      <c r="F654" s="1" t="s">
        <v>1085</v>
      </c>
      <c r="G654" s="1" t="s">
        <v>77</v>
      </c>
      <c r="H654" s="1" t="s">
        <v>51</v>
      </c>
      <c r="I654" s="1" t="s">
        <v>51</v>
      </c>
      <c r="J654" s="1" t="s">
        <v>51</v>
      </c>
      <c r="K654" s="1" t="s">
        <v>53</v>
      </c>
      <c r="L654" s="1" t="s">
        <v>51</v>
      </c>
      <c r="M654" s="1" t="s">
        <v>53</v>
      </c>
      <c r="N654" s="1" t="s">
        <v>51</v>
      </c>
      <c r="O654" s="1" t="s">
        <v>51</v>
      </c>
      <c r="P654" s="1" t="n">
        <v>218453</v>
      </c>
      <c r="Q654" s="1" t="n">
        <v>173020</v>
      </c>
      <c r="R654" s="37" t="n">
        <f aca="false">(Q654/P654)*100</f>
        <v>79.2023913610708</v>
      </c>
      <c r="S654" s="1" t="n">
        <f aca="false">Y654-AD654</f>
        <v>1584</v>
      </c>
      <c r="T654" s="37" t="n">
        <f aca="false">(S654/Q654)*100</f>
        <v>0.915501098138944</v>
      </c>
      <c r="U654" s="37" t="n">
        <f aca="false">Z654+AE654</f>
        <v>95.5877933186915</v>
      </c>
      <c r="V654" s="1" t="s">
        <v>52</v>
      </c>
      <c r="W654" s="1" t="s">
        <v>53</v>
      </c>
      <c r="X654" s="1" t="s">
        <v>3217</v>
      </c>
      <c r="Y654" s="1" t="n">
        <v>83485</v>
      </c>
      <c r="Z654" s="37" t="n">
        <f aca="false">(Y654/Q654)*100</f>
        <v>48.2516472084152</v>
      </c>
      <c r="AA654" s="1" t="s">
        <v>55</v>
      </c>
      <c r="AB654" s="1" t="s">
        <v>68</v>
      </c>
      <c r="AC654" s="1" t="s">
        <v>3218</v>
      </c>
      <c r="AD654" s="1" t="n">
        <v>81901</v>
      </c>
      <c r="AE654" s="37" t="n">
        <f aca="false">(AD654/Q654)*100</f>
        <v>47.3361461102763</v>
      </c>
      <c r="AF654" s="1" t="s">
        <v>197</v>
      </c>
      <c r="AG654" s="1" t="s">
        <v>197</v>
      </c>
      <c r="AH654" s="1" t="s">
        <v>3219</v>
      </c>
      <c r="AI654" s="1" t="n">
        <v>1289</v>
      </c>
      <c r="AJ654" s="37" t="n">
        <f aca="false">(AI654/Q654)*100</f>
        <v>0.745000577967865</v>
      </c>
      <c r="AK654" s="1" t="s">
        <v>179</v>
      </c>
      <c r="AL654" s="1" t="s">
        <v>179</v>
      </c>
      <c r="AM654" s="1" t="s">
        <v>3220</v>
      </c>
      <c r="AN654" s="1" t="n">
        <v>1270</v>
      </c>
      <c r="AO654" s="37" t="n">
        <f aca="false">(AN654/Q654)*100</f>
        <v>0.734019188533118</v>
      </c>
      <c r="AP654" s="1" t="s">
        <v>1431</v>
      </c>
      <c r="AQ654" s="1" t="s">
        <v>171</v>
      </c>
      <c r="AR654" s="1" t="s">
        <v>3221</v>
      </c>
      <c r="AS654" s="1" t="n">
        <v>1154</v>
      </c>
      <c r="AT654" s="37" t="n">
        <f aca="false">(AS654/Q654)*100</f>
        <v>0.66697491619466</v>
      </c>
    </row>
    <row r="655" customFormat="false" ht="12.8" hidden="false" customHeight="true" outlineLevel="0" collapsed="false">
      <c r="A655" s="35" t="n">
        <v>2011</v>
      </c>
      <c r="B655" s="36" t="n">
        <v>186</v>
      </c>
      <c r="C655" s="1" t="s">
        <v>1120</v>
      </c>
      <c r="D655" s="1" t="s">
        <v>1120</v>
      </c>
      <c r="E655" s="1" t="s">
        <v>192</v>
      </c>
      <c r="F655" s="1" t="s">
        <v>1085</v>
      </c>
      <c r="G655" s="1" t="s">
        <v>77</v>
      </c>
      <c r="H655" s="1" t="s">
        <v>51</v>
      </c>
      <c r="I655" s="1" t="s">
        <v>51</v>
      </c>
      <c r="J655" s="1" t="s">
        <v>51</v>
      </c>
      <c r="K655" s="1" t="s">
        <v>51</v>
      </c>
      <c r="L655" s="1" t="s">
        <v>66</v>
      </c>
      <c r="M655" s="1" t="s">
        <v>51</v>
      </c>
      <c r="N655" s="1" t="s">
        <v>51</v>
      </c>
      <c r="O655" s="1" t="s">
        <v>51</v>
      </c>
      <c r="P655" s="1" t="n">
        <v>214027</v>
      </c>
      <c r="Q655" s="1" t="n">
        <v>157216</v>
      </c>
      <c r="R655" s="37" t="n">
        <f aca="false">(Q655/P655)*100</f>
        <v>73.4561527283941</v>
      </c>
      <c r="S655" s="1" t="n">
        <f aca="false">Y655-AD655</f>
        <v>4382</v>
      </c>
      <c r="T655" s="37" t="n">
        <f aca="false">(S655/Q655)*100</f>
        <v>2.78724811723998</v>
      </c>
      <c r="U655" s="37" t="n">
        <f aca="false">Z655+AE655</f>
        <v>92.8467840423367</v>
      </c>
      <c r="V655" s="1" t="s">
        <v>55</v>
      </c>
      <c r="W655" s="1" t="s">
        <v>392</v>
      </c>
      <c r="X655" s="1" t="s">
        <v>1967</v>
      </c>
      <c r="Y655" s="1" t="n">
        <v>75176</v>
      </c>
      <c r="Z655" s="37" t="n">
        <f aca="false">(Y655/Q655)*100</f>
        <v>47.8170160797883</v>
      </c>
      <c r="AA655" s="1" t="s">
        <v>52</v>
      </c>
      <c r="AB655" s="1" t="s">
        <v>66</v>
      </c>
      <c r="AC655" s="1" t="s">
        <v>3222</v>
      </c>
      <c r="AD655" s="1" t="n">
        <v>70794</v>
      </c>
      <c r="AE655" s="37" t="n">
        <f aca="false">(AD655/Q655)*100</f>
        <v>45.0297679625483</v>
      </c>
      <c r="AF655" s="1" t="s">
        <v>1431</v>
      </c>
      <c r="AG655" s="1" t="s">
        <v>171</v>
      </c>
      <c r="AH655" s="1" t="s">
        <v>3223</v>
      </c>
      <c r="AI655" s="1" t="n">
        <v>2957</v>
      </c>
      <c r="AJ655" s="37" t="n">
        <f aca="false">(AI655/Q655)*100</f>
        <v>1.88085182169754</v>
      </c>
      <c r="AK655" s="1" t="s">
        <v>179</v>
      </c>
      <c r="AL655" s="1" t="s">
        <v>179</v>
      </c>
      <c r="AM655" s="1" t="s">
        <v>3224</v>
      </c>
      <c r="AN655" s="1" t="n">
        <v>2484</v>
      </c>
      <c r="AO655" s="37" t="n">
        <f aca="false">(AN655/Q655)*100</f>
        <v>1.57999185833503</v>
      </c>
      <c r="AP655" s="37" t="s">
        <v>197</v>
      </c>
      <c r="AQ655" s="37" t="s">
        <v>197</v>
      </c>
      <c r="AR655" s="1" t="s">
        <v>1608</v>
      </c>
      <c r="AS655" s="1" t="n">
        <v>1815</v>
      </c>
      <c r="AT655" s="37" t="n">
        <f aca="false">(AS655/Q655)*100</f>
        <v>1.15446265011195</v>
      </c>
    </row>
    <row r="656" customFormat="false" ht="12.8" hidden="false" customHeight="true" outlineLevel="0" collapsed="false">
      <c r="A656" s="35" t="n">
        <v>2011</v>
      </c>
      <c r="B656" s="36" t="n">
        <v>187</v>
      </c>
      <c r="C656" s="1" t="s">
        <v>1136</v>
      </c>
      <c r="D656" s="1" t="s">
        <v>1120</v>
      </c>
      <c r="E656" s="1" t="s">
        <v>192</v>
      </c>
      <c r="F656" s="1" t="s">
        <v>1085</v>
      </c>
      <c r="G656" s="1" t="s">
        <v>50</v>
      </c>
      <c r="H656" s="1" t="s">
        <v>65</v>
      </c>
      <c r="I656" s="1" t="s">
        <v>51</v>
      </c>
      <c r="J656" s="1" t="s">
        <v>51</v>
      </c>
      <c r="K656" s="1" t="s">
        <v>51</v>
      </c>
      <c r="L656" s="1" t="s">
        <v>51</v>
      </c>
      <c r="M656" s="1" t="s">
        <v>51</v>
      </c>
      <c r="N656" s="1" t="s">
        <v>51</v>
      </c>
      <c r="O656" s="1" t="s">
        <v>51</v>
      </c>
      <c r="P656" s="1" t="n">
        <v>210956</v>
      </c>
      <c r="Q656" s="1" t="n">
        <v>161626</v>
      </c>
      <c r="R656" s="37" t="n">
        <f aca="false">(Q656/P656)*100</f>
        <v>76.6159767913688</v>
      </c>
      <c r="S656" s="1" t="n">
        <f aca="false">Y656-AD656</f>
        <v>14020</v>
      </c>
      <c r="T656" s="37" t="n">
        <f aca="false">(S656/Q656)*100</f>
        <v>8.67434694912947</v>
      </c>
      <c r="U656" s="37" t="n">
        <f aca="false">Z656+AE656</f>
        <v>94.6939230074369</v>
      </c>
      <c r="V656" s="1" t="s">
        <v>55</v>
      </c>
      <c r="W656" s="1" t="s">
        <v>68</v>
      </c>
      <c r="X656" s="1" t="s">
        <v>1862</v>
      </c>
      <c r="Y656" s="1" t="n">
        <v>83535</v>
      </c>
      <c r="Z656" s="37" t="n">
        <f aca="false">(Y656/Q656)*100</f>
        <v>51.6841349782832</v>
      </c>
      <c r="AA656" s="1" t="s">
        <v>52</v>
      </c>
      <c r="AB656" s="1" t="s">
        <v>53</v>
      </c>
      <c r="AC656" s="1" t="s">
        <v>3225</v>
      </c>
      <c r="AD656" s="1" t="n">
        <v>69515</v>
      </c>
      <c r="AE656" s="37" t="n">
        <f aca="false">(AD656/Q656)*100</f>
        <v>43.0097880291537</v>
      </c>
      <c r="AF656" s="1" t="s">
        <v>85</v>
      </c>
      <c r="AG656" s="1" t="s">
        <v>85</v>
      </c>
      <c r="AH656" s="1" t="s">
        <v>3226</v>
      </c>
      <c r="AI656" s="1" t="n">
        <v>2883</v>
      </c>
      <c r="AJ656" s="37" t="n">
        <f aca="false">(AI656/Q656)*100</f>
        <v>1.78374766436093</v>
      </c>
      <c r="AK656" s="37" t="s">
        <v>197</v>
      </c>
      <c r="AL656" s="1" t="s">
        <v>197</v>
      </c>
      <c r="AM656" s="1" t="s">
        <v>3227</v>
      </c>
      <c r="AN656" s="1" t="n">
        <v>1766</v>
      </c>
      <c r="AO656" s="37" t="n">
        <f aca="false">(AN656/Q656)*100</f>
        <v>1.09264598517565</v>
      </c>
      <c r="AP656" s="1" t="s">
        <v>1431</v>
      </c>
      <c r="AQ656" s="1" t="s">
        <v>171</v>
      </c>
      <c r="AR656" s="1" t="s">
        <v>3228</v>
      </c>
      <c r="AS656" s="1" t="n">
        <v>1185</v>
      </c>
      <c r="AT656" s="37" t="n">
        <f aca="false">(AS656/Q656)*100</f>
        <v>0.733174118025565</v>
      </c>
    </row>
    <row r="657" customFormat="false" ht="12.8" hidden="false" customHeight="true" outlineLevel="0" collapsed="false">
      <c r="A657" s="35" t="n">
        <v>2011</v>
      </c>
      <c r="B657" s="36" t="n">
        <v>188</v>
      </c>
      <c r="C657" s="1" t="s">
        <v>1142</v>
      </c>
      <c r="D657" s="1" t="s">
        <v>1143</v>
      </c>
      <c r="E657" s="1" t="s">
        <v>192</v>
      </c>
      <c r="F657" s="1" t="s">
        <v>1144</v>
      </c>
      <c r="G657" s="1" t="s">
        <v>77</v>
      </c>
      <c r="H657" s="1" t="s">
        <v>51</v>
      </c>
      <c r="I657" s="1" t="s">
        <v>51</v>
      </c>
      <c r="J657" s="1" t="s">
        <v>51</v>
      </c>
      <c r="K657" s="1" t="s">
        <v>51</v>
      </c>
      <c r="L657" s="1" t="s">
        <v>68</v>
      </c>
      <c r="M657" s="1" t="s">
        <v>68</v>
      </c>
      <c r="N657" s="1" t="s">
        <v>66</v>
      </c>
      <c r="O657" s="1" t="s">
        <v>51</v>
      </c>
      <c r="P657" s="1" t="n">
        <v>198652</v>
      </c>
      <c r="Q657" s="1" t="n">
        <v>154050</v>
      </c>
      <c r="R657" s="37" t="n">
        <f aca="false">(Q657/P657)*100</f>
        <v>77.547671304593</v>
      </c>
      <c r="S657" s="1" t="n">
        <f aca="false">Y657-AD657</f>
        <v>24462</v>
      </c>
      <c r="T657" s="37" t="n">
        <f aca="false">(S657/Q657)*100</f>
        <v>15.8792599805258</v>
      </c>
      <c r="U657" s="37" t="n">
        <f aca="false">Z657+AE657</f>
        <v>95.6027263875365</v>
      </c>
      <c r="V657" s="1" t="s">
        <v>55</v>
      </c>
      <c r="W657" s="1" t="s">
        <v>68</v>
      </c>
      <c r="X657" s="1" t="s">
        <v>3229</v>
      </c>
      <c r="Y657" s="1" t="n">
        <v>85869</v>
      </c>
      <c r="Z657" s="37" t="n">
        <f aca="false">(Y657/Q657)*100</f>
        <v>55.7409931840312</v>
      </c>
      <c r="AA657" s="1" t="s">
        <v>52</v>
      </c>
      <c r="AB657" s="1" t="s">
        <v>53</v>
      </c>
      <c r="AC657" s="1" t="s">
        <v>3230</v>
      </c>
      <c r="AD657" s="1" t="n">
        <v>61407</v>
      </c>
      <c r="AE657" s="37" t="n">
        <f aca="false">(AD657/Q657)*100</f>
        <v>39.8617332035054</v>
      </c>
      <c r="AF657" s="1" t="s">
        <v>1431</v>
      </c>
      <c r="AG657" s="1" t="s">
        <v>171</v>
      </c>
      <c r="AH657" s="1" t="s">
        <v>3231</v>
      </c>
      <c r="AI657" s="1" t="n">
        <v>1608</v>
      </c>
      <c r="AJ657" s="37" t="n">
        <f aca="false">(AI657/Q657)*100</f>
        <v>1.04381694255112</v>
      </c>
      <c r="AK657" s="1" t="s">
        <v>85</v>
      </c>
      <c r="AL657" s="1" t="s">
        <v>85</v>
      </c>
      <c r="AM657" s="1" t="s">
        <v>3232</v>
      </c>
      <c r="AN657" s="1" t="n">
        <v>1080</v>
      </c>
      <c r="AO657" s="37" t="n">
        <f aca="false">(AN657/Q657)*100</f>
        <v>0.701071080817916</v>
      </c>
      <c r="AP657" s="37" t="s">
        <v>197</v>
      </c>
      <c r="AQ657" s="1" t="s">
        <v>2472</v>
      </c>
      <c r="AR657" s="1" t="s">
        <v>3233</v>
      </c>
      <c r="AS657" s="1" t="n">
        <v>856</v>
      </c>
      <c r="AT657" s="37" t="n">
        <f aca="false">(AS657/Q657)*100</f>
        <v>0.555663745537163</v>
      </c>
    </row>
    <row r="658" customFormat="false" ht="12.8" hidden="false" customHeight="true" outlineLevel="0" collapsed="false">
      <c r="A658" s="35" t="n">
        <v>2011</v>
      </c>
      <c r="B658" s="36" t="n">
        <v>189</v>
      </c>
      <c r="C658" s="1" t="s">
        <v>1150</v>
      </c>
      <c r="D658" s="1" t="s">
        <v>1143</v>
      </c>
      <c r="E658" s="1" t="s">
        <v>192</v>
      </c>
      <c r="F658" s="1" t="s">
        <v>1144</v>
      </c>
      <c r="G658" s="1" t="s">
        <v>88</v>
      </c>
      <c r="H658" s="1" t="s">
        <v>51</v>
      </c>
      <c r="I658" s="1" t="s">
        <v>51</v>
      </c>
      <c r="J658" s="1" t="s">
        <v>51</v>
      </c>
      <c r="K658" s="1" t="s">
        <v>51</v>
      </c>
      <c r="L658" s="1" t="s">
        <v>51</v>
      </c>
      <c r="M658" s="1" t="s">
        <v>51</v>
      </c>
      <c r="N658" s="1" t="s">
        <v>51</v>
      </c>
      <c r="O658" s="1" t="s">
        <v>51</v>
      </c>
      <c r="P658" s="1" t="n">
        <v>233061</v>
      </c>
      <c r="Q658" s="1" t="n">
        <v>179869</v>
      </c>
      <c r="R658" s="37" t="n">
        <f aca="false">(Q658/P658)*100</f>
        <v>77.1767906256302</v>
      </c>
      <c r="S658" s="1" t="n">
        <f aca="false">Y658-AD658</f>
        <v>28755</v>
      </c>
      <c r="T658" s="37" t="n">
        <f aca="false">(S658/Q658)*100</f>
        <v>15.9866347174888</v>
      </c>
      <c r="U658" s="37" t="n">
        <f aca="false">Z658+AE658</f>
        <v>94.5905075360401</v>
      </c>
      <c r="V658" s="1" t="s">
        <v>55</v>
      </c>
      <c r="W658" s="1" t="s">
        <v>68</v>
      </c>
      <c r="X658" s="1" t="s">
        <v>3234</v>
      </c>
      <c r="Y658" s="1" t="n">
        <v>99447</v>
      </c>
      <c r="Z658" s="37" t="n">
        <f aca="false">(Y658/Q658)*100</f>
        <v>55.2885711267645</v>
      </c>
      <c r="AA658" s="1" t="s">
        <v>52</v>
      </c>
      <c r="AB658" s="1" t="s">
        <v>53</v>
      </c>
      <c r="AC658" s="1" t="s">
        <v>2247</v>
      </c>
      <c r="AD658" s="1" t="n">
        <v>70692</v>
      </c>
      <c r="AE658" s="37" t="n">
        <f aca="false">(AD658/Q658)*100</f>
        <v>39.3019364092756</v>
      </c>
      <c r="AF658" s="1" t="s">
        <v>1431</v>
      </c>
      <c r="AG658" s="1" t="s">
        <v>171</v>
      </c>
      <c r="AH658" s="1" t="s">
        <v>3235</v>
      </c>
      <c r="AI658" s="1" t="n">
        <v>2677</v>
      </c>
      <c r="AJ658" s="37" t="n">
        <f aca="false">(AI658/Q658)*100</f>
        <v>1.48830537780273</v>
      </c>
      <c r="AK658" s="37" t="s">
        <v>197</v>
      </c>
      <c r="AL658" s="1" t="s">
        <v>197</v>
      </c>
      <c r="AM658" s="1" t="s">
        <v>1669</v>
      </c>
      <c r="AN658" s="1" t="n">
        <v>2287</v>
      </c>
      <c r="AO658" s="37" t="n">
        <f aca="false">(AN658/Q658)*100</f>
        <v>1.27148091110753</v>
      </c>
      <c r="AP658" s="1" t="s">
        <v>179</v>
      </c>
      <c r="AQ658" s="1" t="s">
        <v>179</v>
      </c>
      <c r="AR658" s="1" t="s">
        <v>3236</v>
      </c>
      <c r="AS658" s="1" t="n">
        <v>1008</v>
      </c>
      <c r="AT658" s="37" t="n">
        <f aca="false">(AS658/Q658)*100</f>
        <v>0.560407852381455</v>
      </c>
    </row>
    <row r="659" customFormat="false" ht="12.8" hidden="false" customHeight="true" outlineLevel="0" collapsed="false">
      <c r="A659" s="35" t="n">
        <v>2011</v>
      </c>
      <c r="B659" s="36" t="n">
        <v>190</v>
      </c>
      <c r="C659" s="1" t="s">
        <v>1156</v>
      </c>
      <c r="D659" s="1" t="s">
        <v>1143</v>
      </c>
      <c r="E659" s="1" t="s">
        <v>192</v>
      </c>
      <c r="F659" s="1" t="s">
        <v>1144</v>
      </c>
      <c r="G659" s="1" t="s">
        <v>50</v>
      </c>
      <c r="H659" s="1" t="s">
        <v>65</v>
      </c>
      <c r="I659" s="1" t="s">
        <v>51</v>
      </c>
      <c r="J659" s="1" t="s">
        <v>51</v>
      </c>
      <c r="K659" s="1" t="s">
        <v>51</v>
      </c>
      <c r="L659" s="1" t="s">
        <v>51</v>
      </c>
      <c r="M659" s="1" t="s">
        <v>51</v>
      </c>
      <c r="N659" s="1" t="s">
        <v>51</v>
      </c>
      <c r="O659" s="1" t="s">
        <v>51</v>
      </c>
      <c r="P659" s="1" t="n">
        <v>174634</v>
      </c>
      <c r="Q659" s="1" t="n">
        <v>144348</v>
      </c>
      <c r="R659" s="37" t="n">
        <f aca="false">(Q659/P659)*100</f>
        <v>82.6574435676901</v>
      </c>
      <c r="S659" s="1" t="n">
        <f aca="false">Y659-AD659</f>
        <v>36608</v>
      </c>
      <c r="T659" s="37" t="n">
        <f aca="false">(S659/Q659)*100</f>
        <v>25.3609333000804</v>
      </c>
      <c r="U659" s="37" t="n">
        <f aca="false">Z659+AE659</f>
        <v>94.3165128716712</v>
      </c>
      <c r="V659" s="1" t="s">
        <v>55</v>
      </c>
      <c r="W659" s="1" t="s">
        <v>68</v>
      </c>
      <c r="X659" s="1" t="s">
        <v>3237</v>
      </c>
      <c r="Y659" s="1" t="n">
        <v>86376</v>
      </c>
      <c r="Z659" s="37" t="n">
        <f aca="false">(Y659/Q659)*100</f>
        <v>59.8387230858758</v>
      </c>
      <c r="AA659" s="1" t="s">
        <v>52</v>
      </c>
      <c r="AB659" s="1" t="s">
        <v>56</v>
      </c>
      <c r="AC659" s="1" t="s">
        <v>3238</v>
      </c>
      <c r="AD659" s="1" t="n">
        <v>49768</v>
      </c>
      <c r="AE659" s="37" t="n">
        <f aca="false">(AD659/Q659)*100</f>
        <v>34.4777897857954</v>
      </c>
      <c r="AF659" s="1" t="s">
        <v>1431</v>
      </c>
      <c r="AG659" s="1" t="s">
        <v>171</v>
      </c>
      <c r="AH659" s="1" t="s">
        <v>3239</v>
      </c>
      <c r="AI659" s="1" t="n">
        <v>2002</v>
      </c>
      <c r="AJ659" s="37" t="n">
        <f aca="false">(AI659/Q659)*100</f>
        <v>1.38692603984814</v>
      </c>
      <c r="AK659" s="37" t="s">
        <v>197</v>
      </c>
      <c r="AL659" s="1" t="s">
        <v>197</v>
      </c>
      <c r="AM659" s="1" t="s">
        <v>3240</v>
      </c>
      <c r="AN659" s="1" t="n">
        <v>1998</v>
      </c>
      <c r="AO659" s="37" t="n">
        <f aca="false">(AN659/Q659)*100</f>
        <v>1.38415495884945</v>
      </c>
      <c r="AP659" s="37" t="s">
        <v>197</v>
      </c>
      <c r="AQ659" s="1" t="s">
        <v>197</v>
      </c>
      <c r="AR659" s="1" t="s">
        <v>3241</v>
      </c>
      <c r="AS659" s="1" t="n">
        <v>975</v>
      </c>
      <c r="AT659" s="37" t="n">
        <f aca="false">(AS659/Q659)*100</f>
        <v>0.675450993432538</v>
      </c>
    </row>
    <row r="660" customFormat="false" ht="12.8" hidden="false" customHeight="true" outlineLevel="0" collapsed="false">
      <c r="A660" s="35" t="n">
        <v>2011</v>
      </c>
      <c r="B660" s="36" t="n">
        <v>191</v>
      </c>
      <c r="C660" s="1" t="s">
        <v>1162</v>
      </c>
      <c r="D660" s="1" t="s">
        <v>1143</v>
      </c>
      <c r="E660" s="1" t="s">
        <v>192</v>
      </c>
      <c r="F660" s="1" t="s">
        <v>1144</v>
      </c>
      <c r="G660" s="1" t="s">
        <v>88</v>
      </c>
      <c r="H660" s="1" t="s">
        <v>51</v>
      </c>
      <c r="I660" s="1" t="s">
        <v>51</v>
      </c>
      <c r="J660" s="1" t="s">
        <v>51</v>
      </c>
      <c r="K660" s="1" t="s">
        <v>51</v>
      </c>
      <c r="L660" s="1" t="s">
        <v>51</v>
      </c>
      <c r="M660" s="1" t="s">
        <v>51</v>
      </c>
      <c r="N660" s="1" t="s">
        <v>51</v>
      </c>
      <c r="O660" s="1" t="s">
        <v>51</v>
      </c>
      <c r="P660" s="1" t="n">
        <v>195659</v>
      </c>
      <c r="Q660" s="1" t="n">
        <v>142571</v>
      </c>
      <c r="R660" s="37" t="n">
        <f aca="false">(Q660/P660)*100</f>
        <v>72.8670799707655</v>
      </c>
      <c r="S660" s="1" t="n">
        <f aca="false">Y660-AD660</f>
        <v>46400</v>
      </c>
      <c r="T660" s="37" t="n">
        <f aca="false">(S660/Q660)*100</f>
        <v>32.5451880115872</v>
      </c>
      <c r="U660" s="37" t="n">
        <f aca="false">Z660+AE660</f>
        <v>94.6980802547503</v>
      </c>
      <c r="V660" s="1" t="s">
        <v>55</v>
      </c>
      <c r="W660" s="1" t="s">
        <v>68</v>
      </c>
      <c r="X660" s="1" t="s">
        <v>3242</v>
      </c>
      <c r="Y660" s="1" t="n">
        <v>90706</v>
      </c>
      <c r="Z660" s="37" t="n">
        <f aca="false">(Y660/Q660)*100</f>
        <v>63.6216341331687</v>
      </c>
      <c r="AA660" s="1" t="s">
        <v>52</v>
      </c>
      <c r="AB660" s="1" t="s">
        <v>66</v>
      </c>
      <c r="AC660" s="1" t="s">
        <v>3243</v>
      </c>
      <c r="AD660" s="1" t="n">
        <v>44306</v>
      </c>
      <c r="AE660" s="37" t="n">
        <f aca="false">(AD660/Q660)*100</f>
        <v>31.0764461215815</v>
      </c>
      <c r="AF660" s="1" t="s">
        <v>1431</v>
      </c>
      <c r="AG660" s="1" t="s">
        <v>171</v>
      </c>
      <c r="AH660" s="1" t="s">
        <v>3244</v>
      </c>
      <c r="AI660" s="1" t="n">
        <v>3505</v>
      </c>
      <c r="AJ660" s="37" t="n">
        <f aca="false">(AI660/Q660)*100</f>
        <v>2.45842422372011</v>
      </c>
      <c r="AK660" s="1" t="s">
        <v>179</v>
      </c>
      <c r="AL660" s="1" t="s">
        <v>179</v>
      </c>
      <c r="AM660" s="1" t="s">
        <v>2082</v>
      </c>
      <c r="AN660" s="1" t="n">
        <v>1148</v>
      </c>
      <c r="AO660" s="37" t="n">
        <f aca="false">(AN660/Q660)*100</f>
        <v>0.805212841321166</v>
      </c>
      <c r="AP660" s="37" t="s">
        <v>197</v>
      </c>
      <c r="AQ660" s="1" t="s">
        <v>197</v>
      </c>
      <c r="AR660" s="1" t="s">
        <v>3245</v>
      </c>
      <c r="AS660" s="1" t="n">
        <v>780</v>
      </c>
      <c r="AT660" s="37" t="n">
        <f aca="false">(AS660/Q660)*100</f>
        <v>0.547095832953406</v>
      </c>
    </row>
    <row r="661" customFormat="false" ht="12.8" hidden="false" customHeight="true" outlineLevel="0" collapsed="false">
      <c r="A661" s="35" t="n">
        <v>2011</v>
      </c>
      <c r="B661" s="36" t="n">
        <v>192</v>
      </c>
      <c r="C661" s="1" t="s">
        <v>1167</v>
      </c>
      <c r="D661" s="1" t="s">
        <v>1143</v>
      </c>
      <c r="E661" s="1" t="s">
        <v>192</v>
      </c>
      <c r="F661" s="1" t="s">
        <v>1144</v>
      </c>
      <c r="G661" s="1" t="s">
        <v>88</v>
      </c>
      <c r="H661" s="1" t="s">
        <v>51</v>
      </c>
      <c r="I661" s="1" t="s">
        <v>51</v>
      </c>
      <c r="J661" s="1" t="s">
        <v>51</v>
      </c>
      <c r="K661" s="1" t="s">
        <v>51</v>
      </c>
      <c r="L661" s="1" t="s">
        <v>51</v>
      </c>
      <c r="M661" s="1" t="s">
        <v>51</v>
      </c>
      <c r="N661" s="1" t="s">
        <v>51</v>
      </c>
      <c r="O661" s="1" t="s">
        <v>51</v>
      </c>
      <c r="P661" s="1" t="n">
        <v>178736</v>
      </c>
      <c r="Q661" s="1" t="n">
        <v>135472</v>
      </c>
      <c r="R661" s="37" t="n">
        <f aca="false">(Q661/P661)*100</f>
        <v>75.7944678184585</v>
      </c>
      <c r="S661" s="1" t="n">
        <f aca="false">Y661-AD661</f>
        <v>45451</v>
      </c>
      <c r="T661" s="37" t="n">
        <f aca="false">(S661/Q661)*100</f>
        <v>33.5501062950278</v>
      </c>
      <c r="U661" s="37" t="n">
        <f aca="false">Z661+AE661</f>
        <v>89.6354966339908</v>
      </c>
      <c r="V661" s="1" t="s">
        <v>55</v>
      </c>
      <c r="W661" s="1" t="s">
        <v>422</v>
      </c>
      <c r="X661" s="1" t="s">
        <v>2971</v>
      </c>
      <c r="Y661" s="1" t="n">
        <v>83441</v>
      </c>
      <c r="Z661" s="37" t="n">
        <f aca="false">(Y661/Q661)*100</f>
        <v>61.5928014645093</v>
      </c>
      <c r="AA661" s="1" t="s">
        <v>52</v>
      </c>
      <c r="AB661" s="1" t="s">
        <v>66</v>
      </c>
      <c r="AC661" s="1" t="s">
        <v>3246</v>
      </c>
      <c r="AD661" s="1" t="n">
        <v>37990</v>
      </c>
      <c r="AE661" s="37" t="n">
        <f aca="false">(AD661/Q661)*100</f>
        <v>28.0426951694815</v>
      </c>
      <c r="AF661" s="1" t="s">
        <v>197</v>
      </c>
      <c r="AG661" s="1" t="s">
        <v>197</v>
      </c>
      <c r="AH661" s="1" t="s">
        <v>3247</v>
      </c>
      <c r="AI661" s="1" t="n">
        <v>6243</v>
      </c>
      <c r="AJ661" s="37" t="n">
        <f aca="false">(AI661/Q661)*100</f>
        <v>4.60833234912011</v>
      </c>
      <c r="AK661" s="1" t="s">
        <v>1431</v>
      </c>
      <c r="AL661" s="1" t="s">
        <v>171</v>
      </c>
      <c r="AM661" s="1" t="s">
        <v>3248</v>
      </c>
      <c r="AN661" s="1" t="n">
        <v>6204</v>
      </c>
      <c r="AO661" s="37" t="n">
        <f aca="false">(AN661/Q661)*100</f>
        <v>4.57954411243652</v>
      </c>
      <c r="AP661" s="1" t="s">
        <v>179</v>
      </c>
      <c r="AQ661" s="1" t="s">
        <v>179</v>
      </c>
      <c r="AR661" s="1" t="s">
        <v>3249</v>
      </c>
      <c r="AS661" s="1" t="n">
        <v>1061</v>
      </c>
      <c r="AT661" s="37" t="n">
        <f aca="false">(AS661/Q661)*100</f>
        <v>0.783187669776781</v>
      </c>
    </row>
    <row r="662" customFormat="false" ht="12.8" hidden="false" customHeight="true" outlineLevel="0" collapsed="false">
      <c r="A662" s="35" t="n">
        <v>2011</v>
      </c>
      <c r="B662" s="36" t="n">
        <v>193</v>
      </c>
      <c r="C662" s="1" t="s">
        <v>1173</v>
      </c>
      <c r="D662" s="1" t="s">
        <v>1143</v>
      </c>
      <c r="E662" s="1" t="s">
        <v>192</v>
      </c>
      <c r="F662" s="1" t="s">
        <v>1144</v>
      </c>
      <c r="G662" s="1" t="s">
        <v>88</v>
      </c>
      <c r="H662" s="1" t="s">
        <v>51</v>
      </c>
      <c r="I662" s="1" t="s">
        <v>51</v>
      </c>
      <c r="J662" s="1" t="s">
        <v>51</v>
      </c>
      <c r="K662" s="1" t="s">
        <v>51</v>
      </c>
      <c r="L662" s="1" t="s">
        <v>51</v>
      </c>
      <c r="M662" s="1" t="s">
        <v>51</v>
      </c>
      <c r="N662" s="1" t="s">
        <v>51</v>
      </c>
      <c r="O662" s="1" t="s">
        <v>51</v>
      </c>
      <c r="P662" s="1" t="n">
        <v>192815</v>
      </c>
      <c r="Q662" s="1" t="n">
        <v>144151</v>
      </c>
      <c r="R662" s="37" t="n">
        <f aca="false">(Q662/P662)*100</f>
        <v>74.7612996914141</v>
      </c>
      <c r="S662" s="1" t="n">
        <f aca="false">Y662-AD662</f>
        <v>19560</v>
      </c>
      <c r="T662" s="37" t="n">
        <f aca="false">(S662/Q662)*100</f>
        <v>13.5691046194615</v>
      </c>
      <c r="U662" s="37" t="n">
        <f aca="false">Z662+AE662</f>
        <v>91.9632884960909</v>
      </c>
      <c r="V662" s="1" t="s">
        <v>55</v>
      </c>
      <c r="W662" s="1" t="s">
        <v>61</v>
      </c>
      <c r="X662" s="1" t="s">
        <v>3250</v>
      </c>
      <c r="Y662" s="1" t="n">
        <v>76063</v>
      </c>
      <c r="Z662" s="37" t="n">
        <f aca="false">(Y662/Q662)*100</f>
        <v>52.7661965577762</v>
      </c>
      <c r="AA662" s="1" t="s">
        <v>52</v>
      </c>
      <c r="AB662" s="1" t="s">
        <v>53</v>
      </c>
      <c r="AC662" s="1" t="s">
        <v>3251</v>
      </c>
      <c r="AD662" s="1" t="n">
        <v>56503</v>
      </c>
      <c r="AE662" s="37" t="n">
        <f aca="false">(AD662/Q662)*100</f>
        <v>39.1970919383147</v>
      </c>
      <c r="AF662" s="1" t="s">
        <v>1431</v>
      </c>
      <c r="AG662" s="1" t="s">
        <v>171</v>
      </c>
      <c r="AH662" s="1" t="s">
        <v>2271</v>
      </c>
      <c r="AI662" s="1" t="n">
        <v>3708</v>
      </c>
      <c r="AJ662" s="37" t="n">
        <f aca="false">(AI662/Q662)*100</f>
        <v>2.57230265485498</v>
      </c>
      <c r="AK662" s="37" t="s">
        <v>197</v>
      </c>
      <c r="AL662" s="1" t="s">
        <v>197</v>
      </c>
      <c r="AM662" s="1" t="s">
        <v>1736</v>
      </c>
      <c r="AN662" s="1" t="n">
        <v>2569</v>
      </c>
      <c r="AO662" s="37" t="n">
        <f aca="false">(AN662/Q662)*100</f>
        <v>1.78215898606323</v>
      </c>
      <c r="AP662" s="37" t="s">
        <v>197</v>
      </c>
      <c r="AQ662" s="1" t="s">
        <v>197</v>
      </c>
      <c r="AR662" s="1" t="s">
        <v>3252</v>
      </c>
      <c r="AS662" s="1" t="n">
        <v>2140</v>
      </c>
      <c r="AT662" s="37" t="n">
        <f aca="false">(AS662/Q662)*100</f>
        <v>1.48455439088178</v>
      </c>
    </row>
    <row r="663" customFormat="false" ht="12.8" hidden="false" customHeight="true" outlineLevel="0" collapsed="false">
      <c r="A663" s="35" t="n">
        <v>2011</v>
      </c>
      <c r="B663" s="36" t="n">
        <v>194</v>
      </c>
      <c r="C663" s="1" t="s">
        <v>1179</v>
      </c>
      <c r="D663" s="1" t="s">
        <v>1143</v>
      </c>
      <c r="E663" s="1" t="s">
        <v>192</v>
      </c>
      <c r="F663" s="1" t="s">
        <v>1144</v>
      </c>
      <c r="G663" s="1" t="s">
        <v>88</v>
      </c>
      <c r="H663" s="1" t="s">
        <v>51</v>
      </c>
      <c r="I663" s="1" t="s">
        <v>51</v>
      </c>
      <c r="J663" s="1" t="s">
        <v>51</v>
      </c>
      <c r="K663" s="1" t="s">
        <v>68</v>
      </c>
      <c r="L663" s="1" t="s">
        <v>51</v>
      </c>
      <c r="M663" s="1" t="s">
        <v>68</v>
      </c>
      <c r="N663" s="1" t="s">
        <v>51</v>
      </c>
      <c r="O663" s="1" t="s">
        <v>228</v>
      </c>
      <c r="P663" s="1" t="n">
        <v>214423</v>
      </c>
      <c r="Q663" s="1" t="n">
        <v>158950</v>
      </c>
      <c r="R663" s="37" t="n">
        <f aca="false">(Q663/P663)*100</f>
        <v>74.1291745754886</v>
      </c>
      <c r="S663" s="1" t="n">
        <f aca="false">Y663-AD663</f>
        <v>38761</v>
      </c>
      <c r="T663" s="37" t="n">
        <f aca="false">(S663/Q663)*100</f>
        <v>24.3856558666247</v>
      </c>
      <c r="U663" s="37" t="n">
        <f aca="false">Z663+AE663</f>
        <v>94.8946209499843</v>
      </c>
      <c r="V663" s="1" t="s">
        <v>55</v>
      </c>
      <c r="W663" s="1" t="s">
        <v>68</v>
      </c>
      <c r="X663" s="1" t="s">
        <v>2268</v>
      </c>
      <c r="Y663" s="1" t="n">
        <v>94798</v>
      </c>
      <c r="Z663" s="37" t="n">
        <f aca="false">(Y663/Q663)*100</f>
        <v>59.6401384083045</v>
      </c>
      <c r="AA663" s="1" t="s">
        <v>52</v>
      </c>
      <c r="AB663" s="1" t="s">
        <v>53</v>
      </c>
      <c r="AC663" s="1" t="s">
        <v>2269</v>
      </c>
      <c r="AD663" s="1" t="n">
        <v>56037</v>
      </c>
      <c r="AE663" s="37" t="n">
        <f aca="false">(AD663/Q663)*100</f>
        <v>35.2544825416798</v>
      </c>
      <c r="AF663" s="1" t="s">
        <v>1431</v>
      </c>
      <c r="AG663" s="1" t="s">
        <v>171</v>
      </c>
      <c r="AH663" s="1" t="s">
        <v>3253</v>
      </c>
      <c r="AI663" s="1" t="n">
        <v>3149</v>
      </c>
      <c r="AJ663" s="37" t="n">
        <f aca="false">(AI663/Q663)*100</f>
        <v>1.98112614029569</v>
      </c>
      <c r="AK663" s="37" t="s">
        <v>197</v>
      </c>
      <c r="AL663" s="1" t="s">
        <v>197</v>
      </c>
      <c r="AM663" s="1" t="s">
        <v>3254</v>
      </c>
      <c r="AN663" s="1" t="n">
        <v>2959</v>
      </c>
      <c r="AO663" s="37" t="n">
        <f aca="false">(AN663/Q663)*100</f>
        <v>1.86159169550173</v>
      </c>
      <c r="AP663" s="1" t="s">
        <v>179</v>
      </c>
      <c r="AQ663" s="1" t="s">
        <v>179</v>
      </c>
      <c r="AR663" s="1" t="s">
        <v>2247</v>
      </c>
      <c r="AS663" s="1" t="n">
        <v>897</v>
      </c>
      <c r="AT663" s="37" t="n">
        <f aca="false">(AS663/Q663)*100</f>
        <v>0.564328405158855</v>
      </c>
    </row>
    <row r="664" customFormat="false" ht="12.8" hidden="false" customHeight="true" outlineLevel="0" collapsed="false">
      <c r="A664" s="35" t="n">
        <v>2011</v>
      </c>
      <c r="B664" s="36" t="n">
        <v>195</v>
      </c>
      <c r="C664" s="1" t="s">
        <v>1185</v>
      </c>
      <c r="D664" s="1" t="s">
        <v>1143</v>
      </c>
      <c r="E664" s="1" t="s">
        <v>192</v>
      </c>
      <c r="F664" s="1" t="s">
        <v>1144</v>
      </c>
      <c r="G664" s="1" t="s">
        <v>77</v>
      </c>
      <c r="H664" s="1" t="s">
        <v>51</v>
      </c>
      <c r="I664" s="1" t="s">
        <v>51</v>
      </c>
      <c r="J664" s="1" t="s">
        <v>51</v>
      </c>
      <c r="K664" s="1" t="s">
        <v>51</v>
      </c>
      <c r="L664" s="1" t="s">
        <v>51</v>
      </c>
      <c r="M664" s="1" t="s">
        <v>51</v>
      </c>
      <c r="N664" s="1" t="s">
        <v>51</v>
      </c>
      <c r="O664" s="1" t="s">
        <v>51</v>
      </c>
      <c r="P664" s="1" t="n">
        <v>213775</v>
      </c>
      <c r="Q664" s="1" t="n">
        <v>162630</v>
      </c>
      <c r="R664" s="37" t="n">
        <f aca="false">(Q664/P664)*100</f>
        <v>76.0753128289089</v>
      </c>
      <c r="S664" s="1" t="n">
        <f aca="false">Y664-AD664</f>
        <v>48502</v>
      </c>
      <c r="T664" s="37" t="n">
        <f aca="false">(S664/Q664)*100</f>
        <v>29.8235257947488</v>
      </c>
      <c r="U664" s="37" t="n">
        <f aca="false">Z664+AE664</f>
        <v>87.5828567914899</v>
      </c>
      <c r="V664" s="1" t="s">
        <v>55</v>
      </c>
      <c r="W664" s="1" t="s">
        <v>61</v>
      </c>
      <c r="X664" s="1" t="s">
        <v>3255</v>
      </c>
      <c r="Y664" s="1" t="n">
        <v>95469</v>
      </c>
      <c r="Z664" s="37" t="n">
        <f aca="false">(Y664/Q664)*100</f>
        <v>58.7031912931194</v>
      </c>
      <c r="AA664" s="1" t="s">
        <v>52</v>
      </c>
      <c r="AB664" s="1" t="s">
        <v>66</v>
      </c>
      <c r="AC664" s="1" t="s">
        <v>3256</v>
      </c>
      <c r="AD664" s="1" t="n">
        <v>46967</v>
      </c>
      <c r="AE664" s="37" t="n">
        <f aca="false">(AD664/Q664)*100</f>
        <v>28.8796654983705</v>
      </c>
      <c r="AF664" s="1" t="s">
        <v>197</v>
      </c>
      <c r="AG664" s="1" t="s">
        <v>197</v>
      </c>
      <c r="AH664" s="1" t="s">
        <v>3257</v>
      </c>
      <c r="AI664" s="1" t="n">
        <v>9793</v>
      </c>
      <c r="AJ664" s="37" t="n">
        <f aca="false">(AI664/Q664)*100</f>
        <v>6.02164422308307</v>
      </c>
      <c r="AK664" s="1" t="s">
        <v>1431</v>
      </c>
      <c r="AL664" s="1" t="s">
        <v>171</v>
      </c>
      <c r="AM664" s="1" t="s">
        <v>3258</v>
      </c>
      <c r="AN664" s="1" t="n">
        <v>3543</v>
      </c>
      <c r="AO664" s="37" t="n">
        <f aca="false">(AN664/Q664)*100</f>
        <v>2.17856484043534</v>
      </c>
      <c r="AP664" s="1" t="s">
        <v>85</v>
      </c>
      <c r="AQ664" s="1" t="s">
        <v>85</v>
      </c>
      <c r="AR664" s="1" t="s">
        <v>3259</v>
      </c>
      <c r="AS664" s="1" t="n">
        <v>1251</v>
      </c>
      <c r="AT664" s="37" t="n">
        <f aca="false">(AS664/Q664)*100</f>
        <v>0.769230769230769</v>
      </c>
    </row>
    <row r="665" customFormat="false" ht="12.8" hidden="false" customHeight="true" outlineLevel="0" collapsed="false">
      <c r="A665" s="35" t="n">
        <v>2011</v>
      </c>
      <c r="B665" s="36" t="n">
        <v>196</v>
      </c>
      <c r="C665" s="1" t="s">
        <v>1191</v>
      </c>
      <c r="D665" s="1" t="s">
        <v>1143</v>
      </c>
      <c r="E665" s="1" t="s">
        <v>192</v>
      </c>
      <c r="F665" s="1" t="s">
        <v>1144</v>
      </c>
      <c r="G665" s="1" t="s">
        <v>77</v>
      </c>
      <c r="H665" s="1" t="s">
        <v>51</v>
      </c>
      <c r="I665" s="1" t="s">
        <v>526</v>
      </c>
      <c r="J665" s="1" t="s">
        <v>51</v>
      </c>
      <c r="K665" s="1" t="s">
        <v>51</v>
      </c>
      <c r="L665" s="1" t="s">
        <v>51</v>
      </c>
      <c r="M665" s="1" t="s">
        <v>51</v>
      </c>
      <c r="N665" s="1" t="s">
        <v>51</v>
      </c>
      <c r="O665" s="1" t="s">
        <v>51</v>
      </c>
      <c r="P665" s="1" t="n">
        <v>223822</v>
      </c>
      <c r="Q665" s="1" t="n">
        <v>182703</v>
      </c>
      <c r="R665" s="37" t="n">
        <f aca="false">(Q665/P665)*100</f>
        <v>81.628704953043</v>
      </c>
      <c r="S665" s="1" t="n">
        <f aca="false">Y665-AD665</f>
        <v>26367</v>
      </c>
      <c r="T665" s="37" t="n">
        <f aca="false">(S665/Q665)*100</f>
        <v>14.4316185284314</v>
      </c>
      <c r="U665" s="37" t="n">
        <f aca="false">Z665+AE665</f>
        <v>96.6711000914052</v>
      </c>
      <c r="V665" s="1" t="s">
        <v>55</v>
      </c>
      <c r="W665" s="1" t="s">
        <v>68</v>
      </c>
      <c r="X665" s="1" t="s">
        <v>3260</v>
      </c>
      <c r="Y665" s="1" t="n">
        <v>101494</v>
      </c>
      <c r="Z665" s="37" t="n">
        <f aca="false">(Y665/Q665)*100</f>
        <v>55.5513593099183</v>
      </c>
      <c r="AA665" s="1" t="s">
        <v>52</v>
      </c>
      <c r="AB665" s="1" t="s">
        <v>53</v>
      </c>
      <c r="AC665" s="1" t="s">
        <v>2274</v>
      </c>
      <c r="AD665" s="1" t="n">
        <v>75127</v>
      </c>
      <c r="AE665" s="37" t="n">
        <f aca="false">(AD665/Q665)*100</f>
        <v>41.1197407814869</v>
      </c>
      <c r="AF665" s="1" t="s">
        <v>197</v>
      </c>
      <c r="AG665" s="1" t="s">
        <v>197</v>
      </c>
      <c r="AH665" s="1" t="s">
        <v>3261</v>
      </c>
      <c r="AI665" s="1" t="n">
        <v>1469</v>
      </c>
      <c r="AJ665" s="37" t="n">
        <f aca="false">(AI665/Q665)*100</f>
        <v>0.804037153193981</v>
      </c>
      <c r="AK665" s="1" t="s">
        <v>85</v>
      </c>
      <c r="AL665" s="1" t="s">
        <v>85</v>
      </c>
      <c r="AM665" s="1" t="s">
        <v>3262</v>
      </c>
      <c r="AN665" s="1" t="n">
        <v>1389</v>
      </c>
      <c r="AO665" s="37" t="n">
        <f aca="false">(AN665/Q665)*100</f>
        <v>0.760250242196351</v>
      </c>
      <c r="AP665" s="37" t="s">
        <v>197</v>
      </c>
      <c r="AQ665" s="1" t="s">
        <v>197</v>
      </c>
      <c r="AR665" s="1" t="s">
        <v>3263</v>
      </c>
      <c r="AS665" s="1" t="n">
        <v>787</v>
      </c>
      <c r="AT665" s="37" t="n">
        <f aca="false">(AS665/Q665)*100</f>
        <v>0.430753736939186</v>
      </c>
    </row>
    <row r="666" customFormat="false" ht="12.8" hidden="false" customHeight="true" outlineLevel="0" collapsed="false">
      <c r="A666" s="35" t="n">
        <v>2011</v>
      </c>
      <c r="B666" s="36" t="n">
        <v>197</v>
      </c>
      <c r="C666" s="1" t="s">
        <v>1197</v>
      </c>
      <c r="D666" s="1" t="s">
        <v>1143</v>
      </c>
      <c r="E666" s="1" t="s">
        <v>192</v>
      </c>
      <c r="F666" s="1" t="s">
        <v>1144</v>
      </c>
      <c r="G666" s="1" t="s">
        <v>77</v>
      </c>
      <c r="H666" s="1" t="s">
        <v>51</v>
      </c>
      <c r="I666" s="1" t="s">
        <v>51</v>
      </c>
      <c r="J666" s="1" t="s">
        <v>51</v>
      </c>
      <c r="K666" s="1" t="s">
        <v>51</v>
      </c>
      <c r="L666" s="46" t="s">
        <v>1198</v>
      </c>
      <c r="M666" s="1" t="s">
        <v>51</v>
      </c>
      <c r="N666" s="46" t="s">
        <v>1198</v>
      </c>
      <c r="O666" s="1" t="s">
        <v>51</v>
      </c>
      <c r="P666" s="1" t="n">
        <v>217244</v>
      </c>
      <c r="Q666" s="1" t="n">
        <v>172293</v>
      </c>
      <c r="R666" s="37" t="n">
        <f aca="false">(Q666/P666)*100</f>
        <v>79.3085194527812</v>
      </c>
      <c r="S666" s="1" t="n">
        <f aca="false">Y666-AD666</f>
        <v>15320</v>
      </c>
      <c r="T666" s="37" t="n">
        <f aca="false">(S666/Q666)*100</f>
        <v>8.89182961582885</v>
      </c>
      <c r="U666" s="37" t="n">
        <f aca="false">Z666+AE666</f>
        <v>93.5534235285241</v>
      </c>
      <c r="V666" s="1" t="s">
        <v>55</v>
      </c>
      <c r="W666" s="1" t="s">
        <v>1198</v>
      </c>
      <c r="X666" s="1" t="s">
        <v>2285</v>
      </c>
      <c r="Y666" s="1" t="n">
        <v>88253</v>
      </c>
      <c r="Z666" s="37" t="n">
        <f aca="false">(Y666/Q666)*100</f>
        <v>51.2226265721765</v>
      </c>
      <c r="AA666" s="1" t="s">
        <v>52</v>
      </c>
      <c r="AB666" s="1" t="s">
        <v>53</v>
      </c>
      <c r="AC666" s="1" t="s">
        <v>3264</v>
      </c>
      <c r="AD666" s="1" t="n">
        <v>72933</v>
      </c>
      <c r="AE666" s="37" t="n">
        <f aca="false">(AD666/Q666)*100</f>
        <v>42.3307969563476</v>
      </c>
      <c r="AF666" s="1" t="s">
        <v>197</v>
      </c>
      <c r="AG666" s="1" t="s">
        <v>197</v>
      </c>
      <c r="AH666" s="1" t="s">
        <v>3265</v>
      </c>
      <c r="AI666" s="1" t="n">
        <v>3354</v>
      </c>
      <c r="AJ666" s="37" t="n">
        <f aca="false">(AI666/Q666)*100</f>
        <v>1.946683846703</v>
      </c>
      <c r="AK666" s="1" t="s">
        <v>85</v>
      </c>
      <c r="AL666" s="1" t="s">
        <v>85</v>
      </c>
      <c r="AM666" s="1" t="s">
        <v>1650</v>
      </c>
      <c r="AN666" s="1" t="n">
        <v>2235</v>
      </c>
      <c r="AO666" s="37" t="n">
        <f aca="false">(AN666/Q666)*100</f>
        <v>1.29720882450245</v>
      </c>
      <c r="AP666" s="1" t="s">
        <v>1431</v>
      </c>
      <c r="AQ666" s="1" t="s">
        <v>171</v>
      </c>
      <c r="AR666" s="1" t="s">
        <v>3266</v>
      </c>
      <c r="AS666" s="1" t="n">
        <v>1919</v>
      </c>
      <c r="AT666" s="37" t="n">
        <f aca="false">(AS666/Q666)*100</f>
        <v>1.11380032851015</v>
      </c>
    </row>
    <row r="667" customFormat="false" ht="12.8" hidden="false" customHeight="true" outlineLevel="0" collapsed="false">
      <c r="A667" s="35" t="n">
        <v>2011</v>
      </c>
      <c r="B667" s="36" t="n">
        <v>198</v>
      </c>
      <c r="C667" s="1" t="s">
        <v>1203</v>
      </c>
      <c r="D667" s="1" t="s">
        <v>1204</v>
      </c>
      <c r="E667" s="1" t="s">
        <v>192</v>
      </c>
      <c r="F667" s="1" t="s">
        <v>1144</v>
      </c>
      <c r="G667" s="1" t="s">
        <v>77</v>
      </c>
      <c r="H667" s="1" t="s">
        <v>51</v>
      </c>
      <c r="I667" s="1" t="s">
        <v>526</v>
      </c>
      <c r="J667" s="1" t="s">
        <v>51</v>
      </c>
      <c r="K667" s="1" t="s">
        <v>51</v>
      </c>
      <c r="L667" s="1" t="s">
        <v>68</v>
      </c>
      <c r="M667" s="1" t="s">
        <v>51</v>
      </c>
      <c r="N667" s="1" t="s">
        <v>68</v>
      </c>
      <c r="O667" s="1" t="s">
        <v>228</v>
      </c>
      <c r="P667" s="1" t="n">
        <v>209097</v>
      </c>
      <c r="Q667" s="1" t="n">
        <v>170652</v>
      </c>
      <c r="R667" s="37" t="n">
        <f aca="false">(Q667/P667)*100</f>
        <v>81.6137964676681</v>
      </c>
      <c r="S667" s="1" t="n">
        <f aca="false">Y667-AD667</f>
        <v>21031</v>
      </c>
      <c r="T667" s="37" t="n">
        <f aca="false">(S667/Q667)*100</f>
        <v>12.3239106485714</v>
      </c>
      <c r="U667" s="37" t="n">
        <f aca="false">Z667+AE667</f>
        <v>95.1708740594895</v>
      </c>
      <c r="V667" s="1" t="s">
        <v>55</v>
      </c>
      <c r="W667" s="1" t="s">
        <v>68</v>
      </c>
      <c r="X667" s="1" t="s">
        <v>2287</v>
      </c>
      <c r="Y667" s="1" t="n">
        <v>91721</v>
      </c>
      <c r="Z667" s="37" t="n">
        <f aca="false">(Y667/Q667)*100</f>
        <v>53.7473923540304</v>
      </c>
      <c r="AA667" s="1" t="s">
        <v>52</v>
      </c>
      <c r="AB667" s="1" t="s">
        <v>53</v>
      </c>
      <c r="AC667" s="1" t="s">
        <v>2288</v>
      </c>
      <c r="AD667" s="1" t="n">
        <v>70690</v>
      </c>
      <c r="AE667" s="37" t="n">
        <f aca="false">(AD667/Q667)*100</f>
        <v>41.4234817054591</v>
      </c>
      <c r="AF667" s="1" t="s">
        <v>1431</v>
      </c>
      <c r="AG667" s="1" t="s">
        <v>171</v>
      </c>
      <c r="AH667" s="1" t="s">
        <v>2726</v>
      </c>
      <c r="AI667" s="1" t="n">
        <v>1660</v>
      </c>
      <c r="AJ667" s="37" t="n">
        <f aca="false">(AI667/Q667)*100</f>
        <v>0.972739844830415</v>
      </c>
      <c r="AK667" s="37" t="s">
        <v>197</v>
      </c>
      <c r="AL667" s="1" t="s">
        <v>2458</v>
      </c>
      <c r="AM667" s="1" t="s">
        <v>3267</v>
      </c>
      <c r="AN667" s="1" t="n">
        <v>1015</v>
      </c>
      <c r="AO667" s="37" t="n">
        <f aca="false">(AN667/Q667)*100</f>
        <v>0.594777676206549</v>
      </c>
      <c r="AP667" s="37" t="s">
        <v>197</v>
      </c>
      <c r="AQ667" s="1" t="s">
        <v>197</v>
      </c>
      <c r="AR667" s="1" t="s">
        <v>3268</v>
      </c>
      <c r="AS667" s="1" t="n">
        <v>961</v>
      </c>
      <c r="AT667" s="37" t="n">
        <f aca="false">(AS667/Q667)*100</f>
        <v>0.563134331856644</v>
      </c>
    </row>
    <row r="668" customFormat="false" ht="12.8" hidden="false" customHeight="true" outlineLevel="0" collapsed="false">
      <c r="A668" s="35" t="n">
        <v>2011</v>
      </c>
      <c r="B668" s="36" t="n">
        <v>199</v>
      </c>
      <c r="C668" s="1" t="s">
        <v>1209</v>
      </c>
      <c r="D668" s="1" t="s">
        <v>1204</v>
      </c>
      <c r="E668" s="1" t="s">
        <v>192</v>
      </c>
      <c r="F668" s="1" t="s">
        <v>1144</v>
      </c>
      <c r="G668" s="1" t="s">
        <v>77</v>
      </c>
      <c r="H668" s="1" t="s">
        <v>65</v>
      </c>
      <c r="I668" s="1" t="s">
        <v>51</v>
      </c>
      <c r="J668" s="1" t="s">
        <v>51</v>
      </c>
      <c r="K668" s="1" t="s">
        <v>51</v>
      </c>
      <c r="L668" s="1" t="s">
        <v>51</v>
      </c>
      <c r="M668" s="1" t="s">
        <v>51</v>
      </c>
      <c r="N668" s="1" t="s">
        <v>51</v>
      </c>
      <c r="O668" s="1" t="s">
        <v>51</v>
      </c>
      <c r="P668" s="1" t="n">
        <v>203137</v>
      </c>
      <c r="Q668" s="1" t="n">
        <v>160242</v>
      </c>
      <c r="R668" s="37" t="n">
        <f aca="false">(Q668/P668)*100</f>
        <v>78.8837090239592</v>
      </c>
      <c r="S668" s="1" t="n">
        <f aca="false">Y668-AD668</f>
        <v>5641</v>
      </c>
      <c r="T668" s="37" t="n">
        <f aca="false">(S668/Q668)*100</f>
        <v>3.52030054542504</v>
      </c>
      <c r="U668" s="37" t="n">
        <f aca="false">Z668+AE668</f>
        <v>92.1936820558905</v>
      </c>
      <c r="V668" s="1" t="s">
        <v>55</v>
      </c>
      <c r="W668" s="1" t="s">
        <v>422</v>
      </c>
      <c r="X668" s="1" t="s">
        <v>3269</v>
      </c>
      <c r="Y668" s="1" t="n">
        <v>76687</v>
      </c>
      <c r="Z668" s="37" t="n">
        <f aca="false">(Y668/Q668)*100</f>
        <v>47.8569913006578</v>
      </c>
      <c r="AA668" s="1" t="s">
        <v>52</v>
      </c>
      <c r="AB668" s="1" t="s">
        <v>53</v>
      </c>
      <c r="AC668" s="1" t="s">
        <v>3270</v>
      </c>
      <c r="AD668" s="1" t="n">
        <v>71046</v>
      </c>
      <c r="AE668" s="37" t="n">
        <f aca="false">(AD668/Q668)*100</f>
        <v>44.3366907552327</v>
      </c>
      <c r="AF668" s="1" t="s">
        <v>1431</v>
      </c>
      <c r="AG668" s="1" t="s">
        <v>171</v>
      </c>
      <c r="AH668" s="1" t="s">
        <v>3271</v>
      </c>
      <c r="AI668" s="1" t="n">
        <v>3422</v>
      </c>
      <c r="AJ668" s="37" t="n">
        <f aca="false">(AI668/Q668)*100</f>
        <v>2.13552002596073</v>
      </c>
      <c r="AK668" s="37" t="s">
        <v>197</v>
      </c>
      <c r="AL668" s="1" t="s">
        <v>197</v>
      </c>
      <c r="AM668" s="1" t="s">
        <v>3272</v>
      </c>
      <c r="AN668" s="1" t="n">
        <v>2347</v>
      </c>
      <c r="AO668" s="37" t="n">
        <f aca="false">(AN668/Q668)*100</f>
        <v>1.46465970220042</v>
      </c>
      <c r="AP668" s="37" t="s">
        <v>197</v>
      </c>
      <c r="AQ668" s="1" t="s">
        <v>197</v>
      </c>
      <c r="AR668" s="1" t="s">
        <v>3273</v>
      </c>
      <c r="AS668" s="1" t="n">
        <v>1260</v>
      </c>
      <c r="AT668" s="37" t="n">
        <f aca="false">(AS668/Q668)*100</f>
        <v>0.786310705058599</v>
      </c>
    </row>
    <row r="669" customFormat="false" ht="12.8" hidden="false" customHeight="true" outlineLevel="0" collapsed="false">
      <c r="A669" s="35" t="n">
        <v>2011</v>
      </c>
      <c r="B669" s="36" t="n">
        <v>200</v>
      </c>
      <c r="C669" s="1" t="s">
        <v>1215</v>
      </c>
      <c r="D669" s="1" t="s">
        <v>1204</v>
      </c>
      <c r="E669" s="1" t="s">
        <v>192</v>
      </c>
      <c r="F669" s="1" t="s">
        <v>1144</v>
      </c>
      <c r="G669" s="1" t="s">
        <v>77</v>
      </c>
      <c r="H669" s="1" t="s">
        <v>51</v>
      </c>
      <c r="I669" s="1" t="s">
        <v>51</v>
      </c>
      <c r="J669" s="1" t="s">
        <v>51</v>
      </c>
      <c r="K669" s="1" t="s">
        <v>68</v>
      </c>
      <c r="L669" s="1" t="s">
        <v>51</v>
      </c>
      <c r="M669" s="1" t="s">
        <v>68</v>
      </c>
      <c r="N669" s="1" t="s">
        <v>51</v>
      </c>
      <c r="O669" s="1" t="s">
        <v>126</v>
      </c>
      <c r="P669" s="1" t="n">
        <v>207412</v>
      </c>
      <c r="Q669" s="1" t="n">
        <v>167998</v>
      </c>
      <c r="R669" s="37" t="n">
        <f aca="false">(Q669/P669)*100</f>
        <v>80.9972422039226</v>
      </c>
      <c r="S669" s="1" t="n">
        <f aca="false">Y669-AD669</f>
        <v>29906</v>
      </c>
      <c r="T669" s="37" t="n">
        <f aca="false">(S669/Q669)*100</f>
        <v>17.8014023976476</v>
      </c>
      <c r="U669" s="37" t="n">
        <f aca="false">Z669+AE669</f>
        <v>95.5749473208014</v>
      </c>
      <c r="V669" s="1" t="s">
        <v>55</v>
      </c>
      <c r="W669" s="1" t="s">
        <v>68</v>
      </c>
      <c r="X669" s="1" t="s">
        <v>1216</v>
      </c>
      <c r="Y669" s="1" t="n">
        <v>95235</v>
      </c>
      <c r="Z669" s="37" t="n">
        <f aca="false">(Y669/Q669)*100</f>
        <v>56.6881748592245</v>
      </c>
      <c r="AA669" s="1" t="s">
        <v>52</v>
      </c>
      <c r="AB669" s="1" t="s">
        <v>53</v>
      </c>
      <c r="AC669" s="1" t="s">
        <v>3274</v>
      </c>
      <c r="AD669" s="1" t="n">
        <v>65329</v>
      </c>
      <c r="AE669" s="37" t="n">
        <f aca="false">(AD669/Q669)*100</f>
        <v>38.8867724615769</v>
      </c>
      <c r="AF669" s="1" t="s">
        <v>1431</v>
      </c>
      <c r="AG669" s="1" t="s">
        <v>171</v>
      </c>
      <c r="AH669" s="1" t="s">
        <v>3275</v>
      </c>
      <c r="AI669" s="1" t="n">
        <v>1598</v>
      </c>
      <c r="AJ669" s="37" t="n">
        <f aca="false">(AI669/Q669)*100</f>
        <v>0.951201800021429</v>
      </c>
      <c r="AK669" s="1" t="s">
        <v>85</v>
      </c>
      <c r="AL669" s="1" t="s">
        <v>85</v>
      </c>
      <c r="AM669" s="1" t="s">
        <v>2276</v>
      </c>
      <c r="AN669" s="1" t="n">
        <v>927</v>
      </c>
      <c r="AO669" s="37" t="n">
        <f aca="false">(AN669/Q669)*100</f>
        <v>0.551792283241467</v>
      </c>
      <c r="AP669" s="37" t="s">
        <v>197</v>
      </c>
      <c r="AQ669" s="1" t="s">
        <v>197</v>
      </c>
      <c r="AR669" s="1" t="s">
        <v>3276</v>
      </c>
      <c r="AS669" s="1" t="n">
        <v>611</v>
      </c>
      <c r="AT669" s="37" t="n">
        <f aca="false">(AS669/Q669)*100</f>
        <v>0.363694805890546</v>
      </c>
    </row>
    <row r="670" customFormat="false" ht="12.8" hidden="false" customHeight="true" outlineLevel="0" collapsed="false">
      <c r="A670" s="35" t="n">
        <v>2011</v>
      </c>
      <c r="B670" s="36" t="n">
        <v>201</v>
      </c>
      <c r="C670" s="1" t="s">
        <v>1221</v>
      </c>
      <c r="D670" s="1" t="s">
        <v>1204</v>
      </c>
      <c r="E670" s="1" t="s">
        <v>192</v>
      </c>
      <c r="F670" s="1" t="s">
        <v>1144</v>
      </c>
      <c r="G670" s="1" t="s">
        <v>77</v>
      </c>
      <c r="H670" s="1" t="s">
        <v>51</v>
      </c>
      <c r="I670" s="1" t="s">
        <v>526</v>
      </c>
      <c r="J670" s="1" t="s">
        <v>51</v>
      </c>
      <c r="K670" s="1" t="s">
        <v>53</v>
      </c>
      <c r="L670" s="1" t="s">
        <v>51</v>
      </c>
      <c r="M670" s="1" t="s">
        <v>51</v>
      </c>
      <c r="N670" s="1" t="s">
        <v>53</v>
      </c>
      <c r="O670" s="1" t="s">
        <v>51</v>
      </c>
      <c r="P670" s="1" t="n">
        <v>216907</v>
      </c>
      <c r="Q670" s="1" t="n">
        <v>165321</v>
      </c>
      <c r="R670" s="37" t="n">
        <f aca="false">(Q670/P670)*100</f>
        <v>76.2174572512644</v>
      </c>
      <c r="S670" s="1" t="n">
        <f aca="false">Y670-AD670</f>
        <v>12168</v>
      </c>
      <c r="T670" s="37" t="n">
        <f aca="false">(S670/Q670)*100</f>
        <v>7.36022646850672</v>
      </c>
      <c r="U670" s="37" t="n">
        <f aca="false">Z670+AE670</f>
        <v>89.7925853339866</v>
      </c>
      <c r="V670" s="1" t="s">
        <v>52</v>
      </c>
      <c r="W670" s="1" t="s">
        <v>53</v>
      </c>
      <c r="X670" s="1" t="s">
        <v>3277</v>
      </c>
      <c r="Y670" s="1" t="n">
        <v>80307</v>
      </c>
      <c r="Z670" s="37" t="n">
        <f aca="false">(Y670/Q670)*100</f>
        <v>48.5764059012467</v>
      </c>
      <c r="AA670" s="1" t="s">
        <v>55</v>
      </c>
      <c r="AB670" s="1" t="s">
        <v>61</v>
      </c>
      <c r="AC670" s="1" t="s">
        <v>2012</v>
      </c>
      <c r="AD670" s="1" t="n">
        <v>68139</v>
      </c>
      <c r="AE670" s="37" t="n">
        <f aca="false">(AD670/Q670)*100</f>
        <v>41.2161794327399</v>
      </c>
      <c r="AF670" s="1" t="s">
        <v>197</v>
      </c>
      <c r="AG670" s="1" t="s">
        <v>197</v>
      </c>
      <c r="AH670" s="1" t="s">
        <v>3278</v>
      </c>
      <c r="AI670" s="1" t="n">
        <v>6205</v>
      </c>
      <c r="AJ670" s="37" t="n">
        <f aca="false">(AI670/Q670)*100</f>
        <v>3.75330417793263</v>
      </c>
      <c r="AK670" s="37" t="s">
        <v>197</v>
      </c>
      <c r="AL670" s="1" t="s">
        <v>197</v>
      </c>
      <c r="AM670" s="1" t="s">
        <v>3279</v>
      </c>
      <c r="AN670" s="1" t="n">
        <v>2478</v>
      </c>
      <c r="AO670" s="37" t="n">
        <f aca="false">(AN670/Q670)*100</f>
        <v>1.49890213584481</v>
      </c>
      <c r="AP670" s="37" t="s">
        <v>197</v>
      </c>
      <c r="AQ670" s="1" t="s">
        <v>197</v>
      </c>
      <c r="AR670" s="1" t="s">
        <v>3280</v>
      </c>
      <c r="AS670" s="1" t="n">
        <v>1648</v>
      </c>
      <c r="AT670" s="37" t="n">
        <f aca="false">(AS670/Q670)*100</f>
        <v>0.996848555234967</v>
      </c>
    </row>
    <row r="671" customFormat="false" ht="12.8" hidden="false" customHeight="true" outlineLevel="0" collapsed="false">
      <c r="A671" s="35" t="n">
        <v>2011</v>
      </c>
      <c r="B671" s="36" t="n">
        <v>202</v>
      </c>
      <c r="C671" s="1" t="s">
        <v>1227</v>
      </c>
      <c r="D671" s="1" t="s">
        <v>1228</v>
      </c>
      <c r="E671" s="1" t="s">
        <v>192</v>
      </c>
      <c r="F671" s="1" t="s">
        <v>1144</v>
      </c>
      <c r="G671" s="1" t="s">
        <v>88</v>
      </c>
      <c r="H671" s="1" t="s">
        <v>51</v>
      </c>
      <c r="I671" s="1" t="s">
        <v>51</v>
      </c>
      <c r="J671" s="1" t="s">
        <v>51</v>
      </c>
      <c r="K671" s="1" t="s">
        <v>51</v>
      </c>
      <c r="L671" s="1" t="s">
        <v>51</v>
      </c>
      <c r="M671" s="1" t="s">
        <v>51</v>
      </c>
      <c r="N671" s="1" t="s">
        <v>51</v>
      </c>
      <c r="O671" s="1" t="s">
        <v>51</v>
      </c>
      <c r="P671" s="1" t="n">
        <v>185596</v>
      </c>
      <c r="Q671" s="1" t="n">
        <v>148925</v>
      </c>
      <c r="R671" s="37" t="n">
        <f aca="false">(Q671/P671)*100</f>
        <v>80.2414922735404</v>
      </c>
      <c r="S671" s="1" t="n">
        <f aca="false">Y671-AD671</f>
        <v>21432</v>
      </c>
      <c r="T671" s="37" t="n">
        <f aca="false">(S671/Q671)*100</f>
        <v>14.391136478093</v>
      </c>
      <c r="U671" s="37" t="n">
        <f aca="false">Z671+AE671</f>
        <v>93.2133624307537</v>
      </c>
      <c r="V671" s="1" t="s">
        <v>55</v>
      </c>
      <c r="W671" s="1" t="s">
        <v>68</v>
      </c>
      <c r="X671" s="1" t="s">
        <v>3281</v>
      </c>
      <c r="Y671" s="1" t="n">
        <v>80125</v>
      </c>
      <c r="Z671" s="37" t="n">
        <f aca="false">(Y671/Q671)*100</f>
        <v>53.8022494544234</v>
      </c>
      <c r="AA671" s="1" t="s">
        <v>52</v>
      </c>
      <c r="AB671" s="1" t="s">
        <v>53</v>
      </c>
      <c r="AC671" s="1" t="s">
        <v>3282</v>
      </c>
      <c r="AD671" s="1" t="n">
        <v>58693</v>
      </c>
      <c r="AE671" s="37" t="n">
        <f aca="false">(AD671/Q671)*100</f>
        <v>39.4111129763304</v>
      </c>
      <c r="AF671" s="1" t="s">
        <v>1431</v>
      </c>
      <c r="AG671" s="1" t="s">
        <v>171</v>
      </c>
      <c r="AH671" s="1" t="s">
        <v>3283</v>
      </c>
      <c r="AI671" s="1" t="n">
        <v>5428</v>
      </c>
      <c r="AJ671" s="37" t="n">
        <f aca="false">(AI671/Q671)*100</f>
        <v>3.64478764478764</v>
      </c>
      <c r="AK671" s="37" t="s">
        <v>197</v>
      </c>
      <c r="AL671" s="1" t="s">
        <v>197</v>
      </c>
      <c r="AM671" s="1" t="s">
        <v>3284</v>
      </c>
      <c r="AN671" s="1" t="n">
        <v>736</v>
      </c>
      <c r="AO671" s="37" t="n">
        <f aca="false">(AN671/Q671)*100</f>
        <v>0.494208494208494</v>
      </c>
      <c r="AP671" s="37" t="s">
        <v>197</v>
      </c>
      <c r="AQ671" s="1" t="s">
        <v>197</v>
      </c>
      <c r="AR671" s="1" t="s">
        <v>3285</v>
      </c>
      <c r="AS671" s="1" t="n">
        <v>701</v>
      </c>
      <c r="AT671" s="37" t="n">
        <f aca="false">(AS671/Q671)*100</f>
        <v>0.470706731576297</v>
      </c>
    </row>
    <row r="672" customFormat="false" ht="12.8" hidden="false" customHeight="true" outlineLevel="0" collapsed="false">
      <c r="A672" s="35" t="n">
        <v>2011</v>
      </c>
      <c r="B672" s="36" t="n">
        <v>203</v>
      </c>
      <c r="C672" s="1" t="s">
        <v>1234</v>
      </c>
      <c r="D672" s="1" t="s">
        <v>1228</v>
      </c>
      <c r="E672" s="1" t="s">
        <v>192</v>
      </c>
      <c r="F672" s="1" t="s">
        <v>1144</v>
      </c>
      <c r="G672" s="1" t="s">
        <v>77</v>
      </c>
      <c r="H672" s="1" t="s">
        <v>65</v>
      </c>
      <c r="I672" s="1" t="s">
        <v>51</v>
      </c>
      <c r="J672" s="1" t="s">
        <v>51</v>
      </c>
      <c r="K672" s="1" t="s">
        <v>51</v>
      </c>
      <c r="L672" s="1" t="s">
        <v>68</v>
      </c>
      <c r="M672" s="1" t="s">
        <v>51</v>
      </c>
      <c r="N672" s="1" t="s">
        <v>51</v>
      </c>
      <c r="O672" s="1" t="s">
        <v>51</v>
      </c>
      <c r="P672" s="1" t="n">
        <v>192117</v>
      </c>
      <c r="Q672" s="1" t="n">
        <v>153759</v>
      </c>
      <c r="R672" s="37" t="n">
        <f aca="false">(Q672/P672)*100</f>
        <v>80.0340417558051</v>
      </c>
      <c r="S672" s="1" t="n">
        <f aca="false">Y672-AD672</f>
        <v>6228</v>
      </c>
      <c r="T672" s="37" t="n">
        <f aca="false">(S672/Q672)*100</f>
        <v>4.05049460519384</v>
      </c>
      <c r="U672" s="37" t="n">
        <f aca="false">Z672+AE672</f>
        <v>91.5341540982967</v>
      </c>
      <c r="V672" s="1" t="s">
        <v>55</v>
      </c>
      <c r="W672" s="1" t="s">
        <v>392</v>
      </c>
      <c r="X672" s="1" t="s">
        <v>3286</v>
      </c>
      <c r="Y672" s="1" t="n">
        <v>73485</v>
      </c>
      <c r="Z672" s="37" t="n">
        <f aca="false">(Y672/Q672)*100</f>
        <v>47.7923243517453</v>
      </c>
      <c r="AA672" s="1" t="s">
        <v>52</v>
      </c>
      <c r="AB672" s="1" t="s">
        <v>53</v>
      </c>
      <c r="AC672" s="1" t="s">
        <v>3287</v>
      </c>
      <c r="AD672" s="1" t="n">
        <v>67257</v>
      </c>
      <c r="AE672" s="37" t="n">
        <f aca="false">(AD672/Q672)*100</f>
        <v>43.7418297465514</v>
      </c>
      <c r="AF672" s="1" t="s">
        <v>197</v>
      </c>
      <c r="AG672" s="1" t="s">
        <v>197</v>
      </c>
      <c r="AH672" s="1" t="s">
        <v>3288</v>
      </c>
      <c r="AI672" s="1" t="n">
        <v>5720</v>
      </c>
      <c r="AJ672" s="37" t="n">
        <f aca="false">(AI672/Q672)*100</f>
        <v>3.72010744086525</v>
      </c>
      <c r="AK672" s="1" t="s">
        <v>85</v>
      </c>
      <c r="AL672" s="1" t="s">
        <v>85</v>
      </c>
      <c r="AM672" s="1" t="s">
        <v>3289</v>
      </c>
      <c r="AN672" s="1" t="n">
        <v>1309</v>
      </c>
      <c r="AO672" s="37" t="n">
        <f aca="false">(AN672/Q672)*100</f>
        <v>0.851332279736471</v>
      </c>
      <c r="AP672" s="37" t="s">
        <v>197</v>
      </c>
      <c r="AQ672" s="1" t="s">
        <v>197</v>
      </c>
      <c r="AR672" s="1" t="s">
        <v>3290</v>
      </c>
      <c r="AS672" s="1" t="n">
        <v>1263</v>
      </c>
      <c r="AT672" s="37" t="n">
        <f aca="false">(AS672/Q672)*100</f>
        <v>0.821415331785456</v>
      </c>
    </row>
    <row r="673" customFormat="false" ht="12.8" hidden="false" customHeight="true" outlineLevel="0" collapsed="false">
      <c r="A673" s="35" t="n">
        <v>2011</v>
      </c>
      <c r="B673" s="36" t="n">
        <v>204</v>
      </c>
      <c r="C673" s="1" t="s">
        <v>1240</v>
      </c>
      <c r="D673" s="1" t="s">
        <v>1228</v>
      </c>
      <c r="E673" s="1" t="s">
        <v>192</v>
      </c>
      <c r="F673" s="1" t="s">
        <v>1144</v>
      </c>
      <c r="G673" s="1" t="s">
        <v>77</v>
      </c>
      <c r="H673" s="1" t="s">
        <v>51</v>
      </c>
      <c r="I673" s="1" t="s">
        <v>526</v>
      </c>
      <c r="J673" s="1" t="s">
        <v>51</v>
      </c>
      <c r="K673" s="1" t="s">
        <v>51</v>
      </c>
      <c r="L673" s="1" t="s">
        <v>53</v>
      </c>
      <c r="M673" s="1" t="s">
        <v>51</v>
      </c>
      <c r="N673" s="1" t="s">
        <v>51</v>
      </c>
      <c r="O673" s="1" t="s">
        <v>334</v>
      </c>
      <c r="P673" s="1" t="n">
        <v>185572</v>
      </c>
      <c r="Q673" s="1" t="n">
        <v>152462</v>
      </c>
      <c r="R673" s="37" t="n">
        <f aca="false">(Q673/P673)*100</f>
        <v>82.1578686439765</v>
      </c>
      <c r="S673" s="1" t="n">
        <f aca="false">Y673-AD673</f>
        <v>29345</v>
      </c>
      <c r="T673" s="37" t="n">
        <f aca="false">(S673/Q673)*100</f>
        <v>19.2474190290039</v>
      </c>
      <c r="U673" s="37" t="n">
        <f aca="false">Z673+AE673</f>
        <v>97.3954165628157</v>
      </c>
      <c r="V673" s="1" t="s">
        <v>55</v>
      </c>
      <c r="W673" s="1" t="s">
        <v>68</v>
      </c>
      <c r="X673" s="1" t="s">
        <v>3291</v>
      </c>
      <c r="Y673" s="1" t="n">
        <v>88918</v>
      </c>
      <c r="Z673" s="37" t="n">
        <f aca="false">(Y673/Q673)*100</f>
        <v>58.3214177959098</v>
      </c>
      <c r="AA673" s="1" t="s">
        <v>52</v>
      </c>
      <c r="AB673" s="1" t="s">
        <v>53</v>
      </c>
      <c r="AC673" s="1" t="s">
        <v>3292</v>
      </c>
      <c r="AD673" s="1" t="n">
        <v>59573</v>
      </c>
      <c r="AE673" s="37" t="n">
        <f aca="false">(AD673/Q673)*100</f>
        <v>39.0739987669059</v>
      </c>
      <c r="AF673" s="1" t="s">
        <v>197</v>
      </c>
      <c r="AG673" s="1" t="s">
        <v>197</v>
      </c>
      <c r="AH673" s="1" t="s">
        <v>3293</v>
      </c>
      <c r="AI673" s="1" t="n">
        <v>1310</v>
      </c>
      <c r="AJ673" s="37" t="n">
        <f aca="false">(AI673/Q673)*100</f>
        <v>0.859230496779525</v>
      </c>
      <c r="AK673" s="1" t="s">
        <v>85</v>
      </c>
      <c r="AL673" s="1" t="s">
        <v>85</v>
      </c>
      <c r="AM673" s="1" t="s">
        <v>3294</v>
      </c>
      <c r="AN673" s="1" t="n">
        <v>700</v>
      </c>
      <c r="AO673" s="37" t="n">
        <f aca="false">(AN673/Q673)*100</f>
        <v>0.459130799805853</v>
      </c>
      <c r="AP673" s="37" t="s">
        <v>197</v>
      </c>
      <c r="AQ673" s="1" t="s">
        <v>197</v>
      </c>
      <c r="AR673" s="1" t="s">
        <v>3295</v>
      </c>
      <c r="AS673" s="1" t="n">
        <v>647</v>
      </c>
      <c r="AT673" s="37" t="n">
        <f aca="false">(AS673/Q673)*100</f>
        <v>0.424368039249124</v>
      </c>
    </row>
    <row r="674" customFormat="false" ht="12.8" hidden="false" customHeight="true" outlineLevel="0" collapsed="false">
      <c r="A674" s="35" t="n">
        <v>2011</v>
      </c>
      <c r="B674" s="36" t="n">
        <v>205</v>
      </c>
      <c r="C674" s="1" t="s">
        <v>1246</v>
      </c>
      <c r="D674" s="1" t="s">
        <v>1228</v>
      </c>
      <c r="E674" s="1" t="s">
        <v>192</v>
      </c>
      <c r="F674" s="1" t="s">
        <v>1144</v>
      </c>
      <c r="G674" s="1" t="s">
        <v>77</v>
      </c>
      <c r="H674" s="1" t="s">
        <v>51</v>
      </c>
      <c r="I674" s="1" t="s">
        <v>51</v>
      </c>
      <c r="J674" s="1" t="s">
        <v>51</v>
      </c>
      <c r="K674" s="1" t="s">
        <v>51</v>
      </c>
      <c r="L674" s="1" t="s">
        <v>51</v>
      </c>
      <c r="M674" s="1" t="s">
        <v>51</v>
      </c>
      <c r="N674" s="1" t="s">
        <v>51</v>
      </c>
      <c r="O674" s="1" t="s">
        <v>51</v>
      </c>
      <c r="P674" s="1" t="n">
        <v>182125</v>
      </c>
      <c r="Q674" s="1" t="n">
        <v>147605</v>
      </c>
      <c r="R674" s="37" t="n">
        <f aca="false">(Q674/P674)*100</f>
        <v>81.0459849004804</v>
      </c>
      <c r="S674" s="1" t="n">
        <f aca="false">Y674-AD674</f>
        <v>35654</v>
      </c>
      <c r="T674" s="37" t="n">
        <f aca="false">(S674/Q674)*100</f>
        <v>24.1550082991769</v>
      </c>
      <c r="U674" s="37" t="n">
        <f aca="false">Z674+AE674</f>
        <v>94.1783814911419</v>
      </c>
      <c r="V674" s="1" t="s">
        <v>55</v>
      </c>
      <c r="W674" s="1" t="s">
        <v>68</v>
      </c>
      <c r="X674" s="1" t="s">
        <v>3296</v>
      </c>
      <c r="Y674" s="1" t="n">
        <v>87333</v>
      </c>
      <c r="Z674" s="37" t="n">
        <f aca="false">(Y674/Q674)*100</f>
        <v>59.1666948951594</v>
      </c>
      <c r="AA674" s="1" t="s">
        <v>52</v>
      </c>
      <c r="AB674" s="1" t="s">
        <v>53</v>
      </c>
      <c r="AC674" s="1" t="s">
        <v>3297</v>
      </c>
      <c r="AD674" s="1" t="n">
        <v>51679</v>
      </c>
      <c r="AE674" s="37" t="n">
        <f aca="false">(AD674/Q674)*100</f>
        <v>35.0116865959825</v>
      </c>
      <c r="AF674" s="1" t="s">
        <v>1431</v>
      </c>
      <c r="AG674" s="1" t="s">
        <v>171</v>
      </c>
      <c r="AH674" s="1" t="s">
        <v>3298</v>
      </c>
      <c r="AI674" s="1" t="n">
        <v>4198</v>
      </c>
      <c r="AJ674" s="37" t="n">
        <f aca="false">(AI674/Q674)*100</f>
        <v>2.84407709765929</v>
      </c>
      <c r="AK674" s="1" t="s">
        <v>85</v>
      </c>
      <c r="AL674" s="1" t="s">
        <v>85</v>
      </c>
      <c r="AM674" s="1" t="s">
        <v>3299</v>
      </c>
      <c r="AN674" s="1" t="n">
        <v>722</v>
      </c>
      <c r="AO674" s="37" t="n">
        <f aca="false">(AN674/Q674)*100</f>
        <v>0.489143321703194</v>
      </c>
      <c r="AP674" s="37" t="s">
        <v>197</v>
      </c>
      <c r="AQ674" s="1" t="s">
        <v>197</v>
      </c>
      <c r="AR674" s="1" t="s">
        <v>3300</v>
      </c>
      <c r="AS674" s="1" t="n">
        <v>657</v>
      </c>
      <c r="AT674" s="37" t="n">
        <f aca="false">(AS674/Q674)*100</f>
        <v>0.445106873073405</v>
      </c>
    </row>
    <row r="675" customFormat="false" ht="12.8" hidden="false" customHeight="true" outlineLevel="0" collapsed="false">
      <c r="A675" s="35" t="n">
        <v>2011</v>
      </c>
      <c r="B675" s="36" t="n">
        <v>206</v>
      </c>
      <c r="C675" s="1" t="s">
        <v>1228</v>
      </c>
      <c r="D675" s="1" t="s">
        <v>1228</v>
      </c>
      <c r="E675" s="1" t="s">
        <v>192</v>
      </c>
      <c r="F675" s="1" t="s">
        <v>1144</v>
      </c>
      <c r="G675" s="1" t="s">
        <v>77</v>
      </c>
      <c r="H675" s="1" t="s">
        <v>51</v>
      </c>
      <c r="I675" s="1" t="s">
        <v>51</v>
      </c>
      <c r="J675" s="1" t="s">
        <v>51</v>
      </c>
      <c r="K675" s="1" t="s">
        <v>53</v>
      </c>
      <c r="L675" s="1" t="s">
        <v>51</v>
      </c>
      <c r="M675" s="1" t="s">
        <v>51</v>
      </c>
      <c r="N675" s="1" t="s">
        <v>51</v>
      </c>
      <c r="O675" s="1" t="s">
        <v>334</v>
      </c>
      <c r="P675" s="1" t="n">
        <v>170268</v>
      </c>
      <c r="Q675" s="1" t="n">
        <v>134537</v>
      </c>
      <c r="R675" s="37" t="n">
        <f aca="false">(Q675/P675)*100</f>
        <v>79.0148471820894</v>
      </c>
      <c r="S675" s="1" t="n">
        <f aca="false">Y675-AD675</f>
        <v>21438</v>
      </c>
      <c r="T675" s="37" t="n">
        <f aca="false">(S675/Q675)*100</f>
        <v>15.9346499475981</v>
      </c>
      <c r="U675" s="37" t="n">
        <f aca="false">Z675+AE675</f>
        <v>88.7815247850034</v>
      </c>
      <c r="V675" s="1" t="s">
        <v>55</v>
      </c>
      <c r="W675" s="1" t="s">
        <v>61</v>
      </c>
      <c r="X675" s="1" t="s">
        <v>3301</v>
      </c>
      <c r="Y675" s="1" t="n">
        <v>70441</v>
      </c>
      <c r="Z675" s="37" t="n">
        <f aca="false">(Y675/Q675)*100</f>
        <v>52.3580873663007</v>
      </c>
      <c r="AA675" s="1" t="s">
        <v>52</v>
      </c>
      <c r="AB675" s="1" t="s">
        <v>66</v>
      </c>
      <c r="AC675" s="1" t="s">
        <v>3302</v>
      </c>
      <c r="AD675" s="1" t="n">
        <v>49003</v>
      </c>
      <c r="AE675" s="37" t="n">
        <f aca="false">(AD675/Q675)*100</f>
        <v>36.4234374187027</v>
      </c>
      <c r="AF675" s="1" t="s">
        <v>197</v>
      </c>
      <c r="AG675" s="1" t="s">
        <v>197</v>
      </c>
      <c r="AH675" s="1" t="s">
        <v>3303</v>
      </c>
      <c r="AI675" s="1" t="n">
        <v>5652</v>
      </c>
      <c r="AJ675" s="37" t="n">
        <f aca="false">(AI675/Q675)*100</f>
        <v>4.20107479726767</v>
      </c>
      <c r="AK675" s="1" t="s">
        <v>1431</v>
      </c>
      <c r="AL675" s="1" t="s">
        <v>171</v>
      </c>
      <c r="AM675" s="1" t="s">
        <v>2325</v>
      </c>
      <c r="AN675" s="1" t="n">
        <v>3139</v>
      </c>
      <c r="AO675" s="37" t="n">
        <f aca="false">(AN675/Q675)*100</f>
        <v>2.3331871529765</v>
      </c>
      <c r="AP675" s="37" t="s">
        <v>197</v>
      </c>
      <c r="AQ675" s="1" t="s">
        <v>197</v>
      </c>
      <c r="AR675" s="1" t="s">
        <v>3304</v>
      </c>
      <c r="AS675" s="1" t="n">
        <v>1571</v>
      </c>
      <c r="AT675" s="37" t="n">
        <f aca="false">(AS675/Q675)*100</f>
        <v>1.16770851141322</v>
      </c>
    </row>
    <row r="676" customFormat="false" ht="12.8" hidden="false" customHeight="true" outlineLevel="0" collapsed="false">
      <c r="A676" s="35" t="n">
        <v>2011</v>
      </c>
      <c r="B676" s="36" t="n">
        <v>207</v>
      </c>
      <c r="C676" s="1" t="s">
        <v>1258</v>
      </c>
      <c r="D676" s="1" t="s">
        <v>1228</v>
      </c>
      <c r="E676" s="1" t="s">
        <v>192</v>
      </c>
      <c r="F676" s="1" t="s">
        <v>1144</v>
      </c>
      <c r="G676" s="1" t="s">
        <v>77</v>
      </c>
      <c r="H676" s="1" t="s">
        <v>51</v>
      </c>
      <c r="I676" s="1" t="s">
        <v>51</v>
      </c>
      <c r="J676" s="1" t="s">
        <v>51</v>
      </c>
      <c r="K676" s="1" t="s">
        <v>51</v>
      </c>
      <c r="L676" s="1" t="s">
        <v>51</v>
      </c>
      <c r="M676" s="1" t="s">
        <v>51</v>
      </c>
      <c r="N676" s="1" t="s">
        <v>51</v>
      </c>
      <c r="O676" s="1" t="s">
        <v>228</v>
      </c>
      <c r="P676" s="1" t="n">
        <v>179531</v>
      </c>
      <c r="Q676" s="1" t="n">
        <v>149637</v>
      </c>
      <c r="R676" s="37" t="n">
        <f aca="false">(Q676/P676)*100</f>
        <v>83.3488366911564</v>
      </c>
      <c r="S676" s="1" t="n">
        <f aca="false">Y676-AD676</f>
        <v>10638</v>
      </c>
      <c r="T676" s="37" t="n">
        <f aca="false">(S676/Q676)*100</f>
        <v>7.10920427434391</v>
      </c>
      <c r="U676" s="37" t="n">
        <f aca="false">Z676+AE676</f>
        <v>95.1997166476206</v>
      </c>
      <c r="V676" s="1" t="s">
        <v>55</v>
      </c>
      <c r="W676" s="1" t="s">
        <v>68</v>
      </c>
      <c r="X676" s="1" t="s">
        <v>1260</v>
      </c>
      <c r="Y676" s="1" t="n">
        <v>76546</v>
      </c>
      <c r="Z676" s="37" t="n">
        <f aca="false">(Y676/Q676)*100</f>
        <v>51.1544604609822</v>
      </c>
      <c r="AA676" s="1" t="s">
        <v>52</v>
      </c>
      <c r="AB676" s="1" t="s">
        <v>53</v>
      </c>
      <c r="AC676" s="1" t="s">
        <v>2326</v>
      </c>
      <c r="AD676" s="1" t="n">
        <v>65908</v>
      </c>
      <c r="AE676" s="37" t="n">
        <f aca="false">(AD676/Q676)*100</f>
        <v>44.0452561866383</v>
      </c>
      <c r="AF676" s="1" t="s">
        <v>1431</v>
      </c>
      <c r="AG676" s="1" t="s">
        <v>171</v>
      </c>
      <c r="AH676" s="1" t="s">
        <v>3305</v>
      </c>
      <c r="AI676" s="1" t="n">
        <v>1966</v>
      </c>
      <c r="AJ676" s="37" t="n">
        <f aca="false">(AI676/Q676)*100</f>
        <v>1.31384617440874</v>
      </c>
      <c r="AK676" s="37" t="s">
        <v>197</v>
      </c>
      <c r="AL676" s="1" t="s">
        <v>197</v>
      </c>
      <c r="AM676" s="1" t="s">
        <v>3306</v>
      </c>
      <c r="AN676" s="1" t="n">
        <v>1009</v>
      </c>
      <c r="AO676" s="37" t="n">
        <f aca="false">(AN676/Q676)*100</f>
        <v>0.674298468961554</v>
      </c>
      <c r="AP676" s="37" t="s">
        <v>197</v>
      </c>
      <c r="AQ676" s="38" t="s">
        <v>197</v>
      </c>
      <c r="AR676" s="1" t="s">
        <v>1541</v>
      </c>
      <c r="AS676" s="1" t="n">
        <v>747</v>
      </c>
      <c r="AT676" s="37" t="n">
        <f aca="false">(AS676/Q676)*100</f>
        <v>0.499208083562221</v>
      </c>
    </row>
    <row r="677" customFormat="false" ht="12.8" hidden="false" customHeight="true" outlineLevel="0" collapsed="false">
      <c r="A677" s="35" t="n">
        <v>2011</v>
      </c>
      <c r="B677" s="36" t="n">
        <v>208</v>
      </c>
      <c r="C677" s="1" t="s">
        <v>1263</v>
      </c>
      <c r="D677" s="1" t="s">
        <v>1228</v>
      </c>
      <c r="E677" s="1" t="s">
        <v>192</v>
      </c>
      <c r="F677" s="1" t="s">
        <v>1144</v>
      </c>
      <c r="G677" s="1" t="s">
        <v>50</v>
      </c>
      <c r="H677" s="1" t="s">
        <v>51</v>
      </c>
      <c r="I677" s="1" t="s">
        <v>51</v>
      </c>
      <c r="J677" s="1" t="s">
        <v>51</v>
      </c>
      <c r="K677" s="1" t="s">
        <v>53</v>
      </c>
      <c r="L677" s="1" t="s">
        <v>51</v>
      </c>
      <c r="M677" s="1" t="s">
        <v>53</v>
      </c>
      <c r="N677" s="1" t="s">
        <v>51</v>
      </c>
      <c r="O677" s="1" t="s">
        <v>51</v>
      </c>
      <c r="P677" s="1" t="n">
        <v>177683</v>
      </c>
      <c r="Q677" s="1" t="n">
        <v>150146</v>
      </c>
      <c r="R677" s="37" t="n">
        <f aca="false">(Q677/P677)*100</f>
        <v>84.5021752221653</v>
      </c>
      <c r="S677" s="1" t="n">
        <f aca="false">Y677-AD677</f>
        <v>19952</v>
      </c>
      <c r="T677" s="37" t="n">
        <f aca="false">(S677/Q677)*100</f>
        <v>13.2883992913564</v>
      </c>
      <c r="U677" s="37" t="n">
        <f aca="false">Z677+AE677</f>
        <v>95.4231214950781</v>
      </c>
      <c r="V677" s="1" t="s">
        <v>52</v>
      </c>
      <c r="W677" s="1" t="s">
        <v>53</v>
      </c>
      <c r="X677" s="1" t="s">
        <v>2330</v>
      </c>
      <c r="Y677" s="1" t="n">
        <v>81613</v>
      </c>
      <c r="Z677" s="37" t="n">
        <f aca="false">(Y677/Q677)*100</f>
        <v>54.3557603932173</v>
      </c>
      <c r="AA677" s="1" t="s">
        <v>55</v>
      </c>
      <c r="AB677" s="1" t="s">
        <v>68</v>
      </c>
      <c r="AC677" s="1" t="s">
        <v>3307</v>
      </c>
      <c r="AD677" s="1" t="n">
        <v>61661</v>
      </c>
      <c r="AE677" s="37" t="n">
        <f aca="false">(AD677/Q677)*100</f>
        <v>41.0673611018609</v>
      </c>
      <c r="AF677" s="1" t="s">
        <v>1431</v>
      </c>
      <c r="AG677" s="1" t="s">
        <v>171</v>
      </c>
      <c r="AH677" s="1" t="s">
        <v>3308</v>
      </c>
      <c r="AI677" s="1" t="n">
        <v>1998</v>
      </c>
      <c r="AJ677" s="37" t="n">
        <f aca="false">(AI677/Q677)*100</f>
        <v>1.33070478068014</v>
      </c>
      <c r="AK677" s="37" t="s">
        <v>197</v>
      </c>
      <c r="AL677" s="1" t="s">
        <v>197</v>
      </c>
      <c r="AM677" s="1" t="s">
        <v>3309</v>
      </c>
      <c r="AN677" s="1" t="n">
        <v>1103</v>
      </c>
      <c r="AO677" s="37" t="n">
        <f aca="false">(AN677/Q677)*100</f>
        <v>0.734618304849946</v>
      </c>
      <c r="AP677" s="1" t="s">
        <v>85</v>
      </c>
      <c r="AQ677" s="1" t="s">
        <v>85</v>
      </c>
      <c r="AR677" s="1" t="s">
        <v>1959</v>
      </c>
      <c r="AS677" s="1" t="n">
        <v>1082</v>
      </c>
      <c r="AT677" s="37" t="n">
        <f aca="false">(AS677/Q677)*100</f>
        <v>0.720631918266221</v>
      </c>
    </row>
    <row r="678" customFormat="false" ht="12.8" hidden="false" customHeight="true" outlineLevel="0" collapsed="false">
      <c r="A678" s="35" t="n">
        <v>2011</v>
      </c>
      <c r="B678" s="36" t="n">
        <v>209</v>
      </c>
      <c r="C678" s="1" t="s">
        <v>1269</v>
      </c>
      <c r="D678" s="1" t="s">
        <v>1270</v>
      </c>
      <c r="E678" s="1" t="s">
        <v>192</v>
      </c>
      <c r="F678" s="1" t="s">
        <v>1085</v>
      </c>
      <c r="G678" s="1" t="s">
        <v>77</v>
      </c>
      <c r="H678" s="1" t="s">
        <v>65</v>
      </c>
      <c r="I678" s="1" t="s">
        <v>51</v>
      </c>
      <c r="J678" s="1" t="s">
        <v>51</v>
      </c>
      <c r="K678" s="1" t="s">
        <v>51</v>
      </c>
      <c r="L678" s="1" t="s">
        <v>51</v>
      </c>
      <c r="M678" s="1" t="s">
        <v>51</v>
      </c>
      <c r="N678" s="1" t="s">
        <v>68</v>
      </c>
      <c r="O678" s="1" t="s">
        <v>51</v>
      </c>
      <c r="P678" s="1" t="n">
        <v>205541</v>
      </c>
      <c r="Q678" s="1" t="n">
        <v>148855</v>
      </c>
      <c r="R678" s="37" t="n">
        <f aca="false">(Q678/P678)*100</f>
        <v>72.4210741409257</v>
      </c>
      <c r="S678" s="1" t="n">
        <f aca="false">Y678-AD678</f>
        <v>34606</v>
      </c>
      <c r="T678" s="37" t="n">
        <f aca="false">(S678/Q678)*100</f>
        <v>23.248127372275</v>
      </c>
      <c r="U678" s="37" t="n">
        <f aca="false">Z678+AE678</f>
        <v>92.5020993584361</v>
      </c>
      <c r="V678" s="1" t="s">
        <v>55</v>
      </c>
      <c r="W678" s="1" t="s">
        <v>68</v>
      </c>
      <c r="X678" s="1" t="s">
        <v>3310</v>
      </c>
      <c r="Y678" s="1" t="n">
        <v>86150</v>
      </c>
      <c r="Z678" s="37" t="n">
        <f aca="false">(Y678/Q678)*100</f>
        <v>57.8751133653555</v>
      </c>
      <c r="AA678" s="1" t="s">
        <v>52</v>
      </c>
      <c r="AB678" s="1" t="s">
        <v>66</v>
      </c>
      <c r="AC678" s="1" t="s">
        <v>3311</v>
      </c>
      <c r="AD678" s="1" t="n">
        <v>51544</v>
      </c>
      <c r="AE678" s="37" t="n">
        <f aca="false">(AD678/Q678)*100</f>
        <v>34.6269859930805</v>
      </c>
      <c r="AF678" s="1" t="s">
        <v>1431</v>
      </c>
      <c r="AG678" s="1" t="s">
        <v>171</v>
      </c>
      <c r="AH678" s="1" t="s">
        <v>3312</v>
      </c>
      <c r="AI678" s="1" t="n">
        <v>4787</v>
      </c>
      <c r="AJ678" s="37" t="n">
        <f aca="false">(AI678/Q678)*100</f>
        <v>3.21588122669712</v>
      </c>
      <c r="AK678" s="1" t="s">
        <v>1431</v>
      </c>
      <c r="AL678" s="1" t="s">
        <v>85</v>
      </c>
      <c r="AM678" s="1" t="s">
        <v>1608</v>
      </c>
      <c r="AN678" s="1" t="n">
        <v>1538</v>
      </c>
      <c r="AO678" s="37" t="n">
        <f aca="false">(AN678/Q678)*100</f>
        <v>1.03322024789224</v>
      </c>
      <c r="AP678" s="37" t="s">
        <v>197</v>
      </c>
      <c r="AQ678" s="1" t="s">
        <v>197</v>
      </c>
      <c r="AR678" s="1" t="s">
        <v>3313</v>
      </c>
      <c r="AS678" s="1" t="n">
        <v>1522</v>
      </c>
      <c r="AT678" s="37" t="n">
        <f aca="false">(AS678/Q678)*100</f>
        <v>1.02247153269961</v>
      </c>
    </row>
    <row r="679" customFormat="false" ht="12.8" hidden="false" customHeight="true" outlineLevel="0" collapsed="false">
      <c r="A679" s="35" t="n">
        <v>2011</v>
      </c>
      <c r="B679" s="36" t="n">
        <v>210</v>
      </c>
      <c r="C679" s="1" t="s">
        <v>1276</v>
      </c>
      <c r="D679" s="1" t="s">
        <v>1270</v>
      </c>
      <c r="E679" s="1" t="s">
        <v>192</v>
      </c>
      <c r="F679" s="1" t="s">
        <v>1085</v>
      </c>
      <c r="G679" s="1" t="s">
        <v>50</v>
      </c>
      <c r="H679" s="1" t="s">
        <v>51</v>
      </c>
      <c r="I679" s="1" t="s">
        <v>51</v>
      </c>
      <c r="J679" s="1" t="s">
        <v>51</v>
      </c>
      <c r="K679" s="1" t="s">
        <v>51</v>
      </c>
      <c r="L679" s="1" t="s">
        <v>66</v>
      </c>
      <c r="M679" s="1" t="s">
        <v>51</v>
      </c>
      <c r="N679" s="1" t="s">
        <v>66</v>
      </c>
      <c r="O679" s="1" t="s">
        <v>51</v>
      </c>
      <c r="P679" s="1" t="n">
        <v>217955</v>
      </c>
      <c r="Q679" s="1" t="n">
        <v>156072</v>
      </c>
      <c r="R679" s="37" t="n">
        <f aca="false">(Q679/P679)*100</f>
        <v>71.6074419031451</v>
      </c>
      <c r="S679" s="1" t="n">
        <f aca="false">Y679-AD679</f>
        <v>927</v>
      </c>
      <c r="T679" s="37" t="n">
        <f aca="false">(S679/Q679)*100</f>
        <v>0.593956635399047</v>
      </c>
      <c r="U679" s="37" t="n">
        <f aca="false">Z679+AE679</f>
        <v>81.6309139371572</v>
      </c>
      <c r="V679" s="1" t="s">
        <v>52</v>
      </c>
      <c r="W679" s="1" t="s">
        <v>53</v>
      </c>
      <c r="X679" s="1" t="s">
        <v>3314</v>
      </c>
      <c r="Y679" s="1" t="n">
        <v>64165</v>
      </c>
      <c r="Z679" s="37" t="n">
        <f aca="false">(Y679/Q679)*100</f>
        <v>41.1124352862781</v>
      </c>
      <c r="AA679" s="1" t="s">
        <v>55</v>
      </c>
      <c r="AB679" s="1" t="s">
        <v>61</v>
      </c>
      <c r="AC679" s="1" t="s">
        <v>3315</v>
      </c>
      <c r="AD679" s="1" t="n">
        <v>63238</v>
      </c>
      <c r="AE679" s="37" t="n">
        <f aca="false">(AD679/Q679)*100</f>
        <v>40.5184786508791</v>
      </c>
      <c r="AF679" s="1" t="s">
        <v>197</v>
      </c>
      <c r="AG679" s="1" t="s">
        <v>197</v>
      </c>
      <c r="AH679" s="1" t="s">
        <v>3316</v>
      </c>
      <c r="AI679" s="1" t="n">
        <v>6667</v>
      </c>
      <c r="AJ679" s="37" t="n">
        <f aca="false">(AI679/Q679)*100</f>
        <v>4.27174637346866</v>
      </c>
      <c r="AK679" s="37" t="s">
        <v>197</v>
      </c>
      <c r="AL679" s="1" t="s">
        <v>3317</v>
      </c>
      <c r="AM679" s="1" t="s">
        <v>3318</v>
      </c>
      <c r="AN679" s="1" t="n">
        <v>3919</v>
      </c>
      <c r="AO679" s="37" t="n">
        <f aca="false">(AN679/Q679)*100</f>
        <v>2.51102055461582</v>
      </c>
      <c r="AP679" s="37" t="s">
        <v>197</v>
      </c>
      <c r="AQ679" s="1" t="s">
        <v>2458</v>
      </c>
      <c r="AR679" s="1" t="s">
        <v>3319</v>
      </c>
      <c r="AS679" s="1" t="n">
        <v>3871</v>
      </c>
      <c r="AT679" s="37" t="n">
        <f aca="false">(AS679/Q679)*100</f>
        <v>2.48026551847865</v>
      </c>
    </row>
    <row r="680" customFormat="false" ht="12.8" hidden="false" customHeight="true" outlineLevel="0" collapsed="false">
      <c r="A680" s="35" t="n">
        <v>2011</v>
      </c>
      <c r="B680" s="36" t="n">
        <v>211</v>
      </c>
      <c r="C680" s="1" t="s">
        <v>1270</v>
      </c>
      <c r="D680" s="1" t="s">
        <v>1270</v>
      </c>
      <c r="E680" s="1" t="s">
        <v>192</v>
      </c>
      <c r="F680" s="1" t="s">
        <v>1085</v>
      </c>
      <c r="G680" s="1" t="s">
        <v>77</v>
      </c>
      <c r="H680" s="1" t="s">
        <v>51</v>
      </c>
      <c r="I680" s="1" t="s">
        <v>51</v>
      </c>
      <c r="J680" s="1" t="s">
        <v>51</v>
      </c>
      <c r="K680" s="1" t="s">
        <v>51</v>
      </c>
      <c r="L680" s="1" t="s">
        <v>68</v>
      </c>
      <c r="M680" s="1" t="s">
        <v>51</v>
      </c>
      <c r="N680" s="1" t="s">
        <v>51</v>
      </c>
      <c r="O680" s="1" t="s">
        <v>51</v>
      </c>
      <c r="P680" s="1" t="n">
        <v>226191</v>
      </c>
      <c r="Q680" s="1" t="n">
        <v>160703</v>
      </c>
      <c r="R680" s="37" t="n">
        <f aca="false">(Q680/P680)*100</f>
        <v>71.0474775742625</v>
      </c>
      <c r="S680" s="1" t="n">
        <f aca="false">Y680-AD680</f>
        <v>15757</v>
      </c>
      <c r="T680" s="37" t="n">
        <f aca="false">(S680/Q680)*100</f>
        <v>9.80504408754037</v>
      </c>
      <c r="U680" s="37" t="n">
        <f aca="false">Z680+AE680</f>
        <v>72.1237313553574</v>
      </c>
      <c r="V680" s="1" t="s">
        <v>55</v>
      </c>
      <c r="W680" s="1" t="s">
        <v>1646</v>
      </c>
      <c r="X680" s="1" t="s">
        <v>3320</v>
      </c>
      <c r="Y680" s="1" t="n">
        <v>65831</v>
      </c>
      <c r="Z680" s="37" t="n">
        <f aca="false">(Y680/Q680)*100</f>
        <v>40.9643877214489</v>
      </c>
      <c r="AA680" s="1" t="s">
        <v>52</v>
      </c>
      <c r="AB680" s="1" t="s">
        <v>66</v>
      </c>
      <c r="AC680" s="1" t="s">
        <v>3321</v>
      </c>
      <c r="AD680" s="1" t="n">
        <v>50074</v>
      </c>
      <c r="AE680" s="37" t="n">
        <f aca="false">(AD680/Q680)*100</f>
        <v>31.1593436339085</v>
      </c>
      <c r="AF680" s="1" t="s">
        <v>1431</v>
      </c>
      <c r="AG680" s="1" t="s">
        <v>171</v>
      </c>
      <c r="AH680" s="1" t="s">
        <v>2348</v>
      </c>
      <c r="AI680" s="1" t="n">
        <v>28060</v>
      </c>
      <c r="AJ680" s="37" t="n">
        <f aca="false">(AI680/Q680)*100</f>
        <v>17.4607816904476</v>
      </c>
      <c r="AK680" s="37" t="s">
        <v>197</v>
      </c>
      <c r="AL680" s="1" t="s">
        <v>2537</v>
      </c>
      <c r="AM680" s="1" t="s">
        <v>3322</v>
      </c>
      <c r="AN680" s="1" t="n">
        <v>3606</v>
      </c>
      <c r="AO680" s="37" t="n">
        <f aca="false">(AN680/Q680)*100</f>
        <v>2.24389090433906</v>
      </c>
      <c r="AP680" s="37" t="s">
        <v>197</v>
      </c>
      <c r="AQ680" s="1" t="s">
        <v>197</v>
      </c>
      <c r="AR680" s="1" t="s">
        <v>3323</v>
      </c>
      <c r="AS680" s="1" t="n">
        <v>3001</v>
      </c>
      <c r="AT680" s="37" t="n">
        <f aca="false">(AS680/Q680)*100</f>
        <v>1.86742002327275</v>
      </c>
    </row>
    <row r="681" customFormat="false" ht="12.8" hidden="false" customHeight="true" outlineLevel="0" collapsed="false">
      <c r="A681" s="35" t="n">
        <v>2011</v>
      </c>
      <c r="B681" s="36" t="n">
        <v>212</v>
      </c>
      <c r="C681" s="1" t="s">
        <v>1287</v>
      </c>
      <c r="D681" s="1" t="s">
        <v>1270</v>
      </c>
      <c r="E681" s="1" t="s">
        <v>192</v>
      </c>
      <c r="F681" s="1" t="s">
        <v>1085</v>
      </c>
      <c r="G681" s="1" t="s">
        <v>50</v>
      </c>
      <c r="H681" s="1" t="s">
        <v>51</v>
      </c>
      <c r="I681" s="1" t="s">
        <v>526</v>
      </c>
      <c r="J681" s="1" t="s">
        <v>51</v>
      </c>
      <c r="K681" s="1" t="s">
        <v>51</v>
      </c>
      <c r="L681" s="1" t="s">
        <v>51</v>
      </c>
      <c r="M681" s="1" t="s">
        <v>51</v>
      </c>
      <c r="N681" s="1" t="s">
        <v>51</v>
      </c>
      <c r="O681" s="1" t="s">
        <v>51</v>
      </c>
      <c r="P681" s="1" t="n">
        <v>257118</v>
      </c>
      <c r="Q681" s="1" t="n">
        <v>177555</v>
      </c>
      <c r="R681" s="37" t="n">
        <f aca="false">(Q681/P681)*100</f>
        <v>69.0558420647329</v>
      </c>
      <c r="S681" s="1" t="n">
        <f aca="false">Y681-AD681</f>
        <v>20089</v>
      </c>
      <c r="T681" s="37" t="n">
        <f aca="false">(S681/Q681)*100</f>
        <v>11.3142406578243</v>
      </c>
      <c r="U681" s="37" t="n">
        <f aca="false">Z681+AE681</f>
        <v>82.4313592971192</v>
      </c>
      <c r="V681" s="1" t="s">
        <v>55</v>
      </c>
      <c r="W681" s="1" t="s">
        <v>68</v>
      </c>
      <c r="X681" s="1" t="s">
        <v>1728</v>
      </c>
      <c r="Y681" s="1" t="n">
        <v>83225</v>
      </c>
      <c r="Z681" s="37" t="n">
        <f aca="false">(Y681/Q681)*100</f>
        <v>46.8727999774718</v>
      </c>
      <c r="AA681" s="1" t="s">
        <v>52</v>
      </c>
      <c r="AB681" s="1" t="s">
        <v>53</v>
      </c>
      <c r="AC681" s="1" t="s">
        <v>3324</v>
      </c>
      <c r="AD681" s="1" t="n">
        <v>63136</v>
      </c>
      <c r="AE681" s="37" t="n">
        <f aca="false">(AD681/Q681)*100</f>
        <v>35.5585593196474</v>
      </c>
      <c r="AF681" s="1" t="s">
        <v>197</v>
      </c>
      <c r="AG681" s="1" t="s">
        <v>2342</v>
      </c>
      <c r="AH681" s="1" t="s">
        <v>3028</v>
      </c>
      <c r="AI681" s="1" t="n">
        <v>21701</v>
      </c>
      <c r="AJ681" s="37" t="n">
        <f aca="false">(AI681/Q681)*100</f>
        <v>12.2221283545944</v>
      </c>
      <c r="AK681" s="1" t="s">
        <v>1431</v>
      </c>
      <c r="AL681" s="1" t="s">
        <v>171</v>
      </c>
      <c r="AM681" s="1" t="s">
        <v>3325</v>
      </c>
      <c r="AN681" s="1" t="n">
        <v>2784</v>
      </c>
      <c r="AO681" s="37" t="n">
        <f aca="false">(AN681/Q681)*100</f>
        <v>1.56796485596013</v>
      </c>
      <c r="AP681" s="37" t="s">
        <v>197</v>
      </c>
      <c r="AQ681" s="1" t="s">
        <v>2458</v>
      </c>
      <c r="AR681" s="1" t="s">
        <v>3326</v>
      </c>
      <c r="AS681" s="1" t="n">
        <v>2308</v>
      </c>
      <c r="AT681" s="37" t="n">
        <f aca="false">(AS681/Q681)*100</f>
        <v>1.29987891076005</v>
      </c>
    </row>
    <row r="682" customFormat="false" ht="12.8" hidden="false" customHeight="true" outlineLevel="0" collapsed="false">
      <c r="A682" s="35" t="n">
        <v>2011</v>
      </c>
      <c r="B682" s="36" t="n">
        <v>213</v>
      </c>
      <c r="C682" s="1" t="s">
        <v>1292</v>
      </c>
      <c r="D682" s="1" t="s">
        <v>1293</v>
      </c>
      <c r="E682" s="1" t="s">
        <v>192</v>
      </c>
      <c r="F682" s="1" t="s">
        <v>1144</v>
      </c>
      <c r="G682" s="1" t="s">
        <v>50</v>
      </c>
      <c r="H682" s="1" t="s">
        <v>51</v>
      </c>
      <c r="I682" s="1" t="s">
        <v>51</v>
      </c>
      <c r="J682" s="1" t="s">
        <v>51</v>
      </c>
      <c r="K682" s="1" t="s">
        <v>51</v>
      </c>
      <c r="L682" s="1" t="s">
        <v>51</v>
      </c>
      <c r="M682" s="1" t="s">
        <v>51</v>
      </c>
      <c r="N682" s="1" t="s">
        <v>68</v>
      </c>
      <c r="O682" s="1" t="s">
        <v>51</v>
      </c>
      <c r="P682" s="1" t="n">
        <v>175367</v>
      </c>
      <c r="Q682" s="1" t="n">
        <v>133292</v>
      </c>
      <c r="R682" s="37" t="n">
        <f aca="false">(Q682/P682)*100</f>
        <v>76.0074586438726</v>
      </c>
      <c r="S682" s="1" t="n">
        <f aca="false">Y682-AD682</f>
        <v>22597</v>
      </c>
      <c r="T682" s="37" t="n">
        <f aca="false">(S682/Q682)*100</f>
        <v>16.9530054316838</v>
      </c>
      <c r="U682" s="37" t="n">
        <f aca="false">Z682+AE682</f>
        <v>92.2103352039132</v>
      </c>
      <c r="V682" s="1" t="s">
        <v>55</v>
      </c>
      <c r="W682" s="1" t="s">
        <v>68</v>
      </c>
      <c r="X682" s="1" t="s">
        <v>3327</v>
      </c>
      <c r="Y682" s="1" t="n">
        <v>72753</v>
      </c>
      <c r="Z682" s="37" t="n">
        <f aca="false">(Y682/Q682)*100</f>
        <v>54.5816703177985</v>
      </c>
      <c r="AA682" s="1" t="s">
        <v>52</v>
      </c>
      <c r="AB682" s="1" t="s">
        <v>66</v>
      </c>
      <c r="AC682" s="1" t="s">
        <v>3328</v>
      </c>
      <c r="AD682" s="1" t="n">
        <v>50156</v>
      </c>
      <c r="AE682" s="37" t="n">
        <f aca="false">(AD682/Q682)*100</f>
        <v>37.6286648861147</v>
      </c>
      <c r="AF682" s="1" t="s">
        <v>197</v>
      </c>
      <c r="AG682" s="1" t="s">
        <v>197</v>
      </c>
      <c r="AH682" s="1" t="s">
        <v>3329</v>
      </c>
      <c r="AI682" s="1" t="n">
        <v>2378</v>
      </c>
      <c r="AJ682" s="37" t="n">
        <f aca="false">(AI682/Q682)*100</f>
        <v>1.7840530564475</v>
      </c>
      <c r="AK682" s="37" t="s">
        <v>197</v>
      </c>
      <c r="AL682" s="1" t="s">
        <v>197</v>
      </c>
      <c r="AM682" s="1" t="s">
        <v>3330</v>
      </c>
      <c r="AN682" s="1" t="n">
        <v>1795</v>
      </c>
      <c r="AO682" s="37" t="n">
        <f aca="false">(AN682/Q682)*100</f>
        <v>1.34666746691474</v>
      </c>
      <c r="AP682" s="1" t="s">
        <v>1431</v>
      </c>
      <c r="AQ682" s="1" t="s">
        <v>171</v>
      </c>
      <c r="AR682" s="1" t="s">
        <v>3331</v>
      </c>
      <c r="AS682" s="1" t="n">
        <v>1499</v>
      </c>
      <c r="AT682" s="37" t="n">
        <f aca="false">(AS682/Q682)*100</f>
        <v>1.12459862557393</v>
      </c>
    </row>
    <row r="683" customFormat="false" ht="12.8" hidden="false" customHeight="true" outlineLevel="0" collapsed="false">
      <c r="A683" s="35" t="n">
        <v>2011</v>
      </c>
      <c r="B683" s="36" t="n">
        <v>214</v>
      </c>
      <c r="C683" s="1" t="s">
        <v>1299</v>
      </c>
      <c r="D683" s="1" t="s">
        <v>1293</v>
      </c>
      <c r="E683" s="1" t="s">
        <v>192</v>
      </c>
      <c r="F683" s="1" t="s">
        <v>1144</v>
      </c>
      <c r="G683" s="1" t="s">
        <v>88</v>
      </c>
      <c r="H683" s="1" t="s">
        <v>51</v>
      </c>
      <c r="I683" s="1" t="s">
        <v>51</v>
      </c>
      <c r="J683" s="1" t="s">
        <v>51</v>
      </c>
      <c r="K683" s="1" t="s">
        <v>51</v>
      </c>
      <c r="L683" s="1" t="s">
        <v>51</v>
      </c>
      <c r="M683" s="1" t="s">
        <v>51</v>
      </c>
      <c r="N683" s="1" t="s">
        <v>51</v>
      </c>
      <c r="O683" s="1" t="s">
        <v>51</v>
      </c>
      <c r="P683" s="1" t="n">
        <v>212628</v>
      </c>
      <c r="Q683" s="1" t="n">
        <v>156774</v>
      </c>
      <c r="R683" s="37" t="n">
        <f aca="false">(Q683/P683)*100</f>
        <v>73.7315875613748</v>
      </c>
      <c r="S683" s="1" t="n">
        <f aca="false">Y683-AD683</f>
        <v>26193</v>
      </c>
      <c r="T683" s="37" t="n">
        <f aca="false">(S683/Q683)*100</f>
        <v>16.707489762333</v>
      </c>
      <c r="U683" s="37" t="n">
        <f aca="false">Z683+AE683</f>
        <v>96.8445022771633</v>
      </c>
      <c r="V683" s="1" t="s">
        <v>55</v>
      </c>
      <c r="W683" s="1" t="s">
        <v>68</v>
      </c>
      <c r="X683" s="1" t="s">
        <v>2361</v>
      </c>
      <c r="Y683" s="1" t="n">
        <v>89010</v>
      </c>
      <c r="Z683" s="37" t="n">
        <f aca="false">(Y683/Q683)*100</f>
        <v>56.7759960197482</v>
      </c>
      <c r="AA683" s="1" t="s">
        <v>52</v>
      </c>
      <c r="AB683" s="1" t="s">
        <v>53</v>
      </c>
      <c r="AC683" s="1" t="s">
        <v>2360</v>
      </c>
      <c r="AD683" s="1" t="n">
        <v>62817</v>
      </c>
      <c r="AE683" s="37" t="n">
        <f aca="false">(AD683/Q683)*100</f>
        <v>40.0685062574151</v>
      </c>
      <c r="AF683" s="1" t="s">
        <v>197</v>
      </c>
      <c r="AG683" s="1" t="s">
        <v>2458</v>
      </c>
      <c r="AH683" s="1" t="s">
        <v>3332</v>
      </c>
      <c r="AI683" s="1" t="n">
        <v>1025</v>
      </c>
      <c r="AJ683" s="37" t="n">
        <f aca="false">(AI683/Q683)*100</f>
        <v>0.653807391531759</v>
      </c>
      <c r="AK683" s="1" t="s">
        <v>85</v>
      </c>
      <c r="AL683" s="1" t="s">
        <v>85</v>
      </c>
      <c r="AM683" s="1" t="s">
        <v>3333</v>
      </c>
      <c r="AN683" s="1" t="n">
        <v>722</v>
      </c>
      <c r="AO683" s="37" t="n">
        <f aca="false">(AN683/Q683)*100</f>
        <v>0.460535547986273</v>
      </c>
      <c r="AP683" s="37" t="s">
        <v>197</v>
      </c>
      <c r="AQ683" s="1" t="s">
        <v>197</v>
      </c>
      <c r="AR683" s="1" t="s">
        <v>3334</v>
      </c>
      <c r="AS683" s="1" t="n">
        <v>634</v>
      </c>
      <c r="AT683" s="37" t="n">
        <f aca="false">(AS683/Q683)*100</f>
        <v>0.40440379144501</v>
      </c>
    </row>
    <row r="684" customFormat="false" ht="12.8" hidden="false" customHeight="true" outlineLevel="0" collapsed="false">
      <c r="A684" s="35" t="n">
        <v>2011</v>
      </c>
      <c r="B684" s="36" t="n">
        <v>215</v>
      </c>
      <c r="C684" s="1" t="s">
        <v>1305</v>
      </c>
      <c r="D684" s="1" t="s">
        <v>1293</v>
      </c>
      <c r="E684" s="1" t="s">
        <v>192</v>
      </c>
      <c r="F684" s="1" t="s">
        <v>1144</v>
      </c>
      <c r="G684" s="1" t="s">
        <v>50</v>
      </c>
      <c r="H684" s="1" t="s">
        <v>51</v>
      </c>
      <c r="I684" s="1" t="s">
        <v>51</v>
      </c>
      <c r="J684" s="1" t="s">
        <v>51</v>
      </c>
      <c r="K684" s="1" t="s">
        <v>53</v>
      </c>
      <c r="L684" s="1" t="s">
        <v>51</v>
      </c>
      <c r="M684" s="1" t="s">
        <v>53</v>
      </c>
      <c r="N684" s="1" t="s">
        <v>51</v>
      </c>
      <c r="O684" s="1" t="s">
        <v>51</v>
      </c>
      <c r="P684" s="1" t="n">
        <v>189982</v>
      </c>
      <c r="Q684" s="1" t="n">
        <v>146141</v>
      </c>
      <c r="R684" s="37" t="n">
        <f aca="false">(Q684/P684)*100</f>
        <v>76.9236032887326</v>
      </c>
      <c r="S684" s="1" t="n">
        <f aca="false">Y684-AD684</f>
        <v>640</v>
      </c>
      <c r="T684" s="37" t="n">
        <f aca="false">(S684/Q684)*100</f>
        <v>0.437933228868011</v>
      </c>
      <c r="U684" s="37" t="n">
        <f aca="false">Z684+AE684</f>
        <v>93.6369670386818</v>
      </c>
      <c r="V684" s="1" t="s">
        <v>52</v>
      </c>
      <c r="W684" s="1" t="s">
        <v>53</v>
      </c>
      <c r="X684" s="1" t="s">
        <v>1306</v>
      </c>
      <c r="Y684" s="1" t="n">
        <v>68741</v>
      </c>
      <c r="Z684" s="37" t="n">
        <f aca="false">(Y684/Q684)*100</f>
        <v>47.0374501337749</v>
      </c>
      <c r="AA684" s="1" t="s">
        <v>55</v>
      </c>
      <c r="AB684" s="1" t="s">
        <v>68</v>
      </c>
      <c r="AC684" s="1" t="s">
        <v>3335</v>
      </c>
      <c r="AD684" s="1" t="n">
        <v>68101</v>
      </c>
      <c r="AE684" s="37" t="n">
        <f aca="false">(AD684/Q684)*100</f>
        <v>46.5995169049069</v>
      </c>
      <c r="AF684" s="1" t="s">
        <v>197</v>
      </c>
      <c r="AG684" s="1" t="s">
        <v>2458</v>
      </c>
      <c r="AH684" s="1" t="s">
        <v>3336</v>
      </c>
      <c r="AI684" s="1" t="n">
        <v>3240</v>
      </c>
      <c r="AJ684" s="37" t="n">
        <f aca="false">(AI684/Q684)*100</f>
        <v>2.21703697114431</v>
      </c>
      <c r="AK684" s="1" t="s">
        <v>1431</v>
      </c>
      <c r="AL684" s="1" t="s">
        <v>171</v>
      </c>
      <c r="AM684" s="1" t="s">
        <v>3337</v>
      </c>
      <c r="AN684" s="1" t="n">
        <v>2429</v>
      </c>
      <c r="AO684" s="37" t="n">
        <f aca="false">(AN684/Q684)*100</f>
        <v>1.66209345768812</v>
      </c>
      <c r="AP684" s="37" t="s">
        <v>197</v>
      </c>
      <c r="AQ684" s="1" t="s">
        <v>197</v>
      </c>
      <c r="AR684" s="1" t="s">
        <v>3338</v>
      </c>
      <c r="AS684" s="1" t="n">
        <v>693</v>
      </c>
      <c r="AT684" s="37" t="n">
        <f aca="false">(AS684/Q684)*100</f>
        <v>0.474199574383643</v>
      </c>
    </row>
    <row r="685" customFormat="false" ht="12.8" hidden="false" customHeight="true" outlineLevel="0" collapsed="false">
      <c r="A685" s="35" t="n">
        <v>2011</v>
      </c>
      <c r="B685" s="36" t="n">
        <v>216</v>
      </c>
      <c r="C685" s="1" t="s">
        <v>1311</v>
      </c>
      <c r="D685" s="1" t="s">
        <v>1293</v>
      </c>
      <c r="E685" s="1" t="s">
        <v>192</v>
      </c>
      <c r="F685" s="1" t="s">
        <v>1144</v>
      </c>
      <c r="G685" s="1" t="s">
        <v>50</v>
      </c>
      <c r="H685" s="1" t="s">
        <v>51</v>
      </c>
      <c r="I685" s="1" t="s">
        <v>51</v>
      </c>
      <c r="J685" s="1" t="s">
        <v>51</v>
      </c>
      <c r="K685" s="1" t="s">
        <v>51</v>
      </c>
      <c r="L685" s="1" t="s">
        <v>66</v>
      </c>
      <c r="M685" s="1" t="s">
        <v>51</v>
      </c>
      <c r="N685" s="1" t="s">
        <v>66</v>
      </c>
      <c r="O685" s="1" t="s">
        <v>51</v>
      </c>
      <c r="P685" s="1" t="n">
        <v>175769</v>
      </c>
      <c r="Q685" s="1" t="n">
        <v>131879</v>
      </c>
      <c r="R685" s="37" t="n">
        <f aca="false">(Q685/P685)*100</f>
        <v>75.0297265160523</v>
      </c>
      <c r="S685" s="1" t="n">
        <f aca="false">Y685-AD685</f>
        <v>21122</v>
      </c>
      <c r="T685" s="37" t="n">
        <f aca="false">(S685/Q685)*100</f>
        <v>16.0161966651249</v>
      </c>
      <c r="U685" s="37" t="n">
        <f aca="false">Z685+AE685</f>
        <v>89.6988906497623</v>
      </c>
      <c r="V685" s="1" t="s">
        <v>55</v>
      </c>
      <c r="W685" s="1" t="s">
        <v>68</v>
      </c>
      <c r="X685" s="1" t="s">
        <v>3339</v>
      </c>
      <c r="Y685" s="1" t="n">
        <v>69708</v>
      </c>
      <c r="Z685" s="37" t="n">
        <f aca="false">(Y685/Q685)*100</f>
        <v>52.8575436574436</v>
      </c>
      <c r="AA685" s="1" t="s">
        <v>52</v>
      </c>
      <c r="AB685" s="1" t="s">
        <v>66</v>
      </c>
      <c r="AC685" s="1" t="s">
        <v>3340</v>
      </c>
      <c r="AD685" s="1" t="n">
        <v>48586</v>
      </c>
      <c r="AE685" s="37" t="n">
        <f aca="false">(AD685/Q685)*100</f>
        <v>36.8413469923187</v>
      </c>
      <c r="AF685" s="1" t="s">
        <v>197</v>
      </c>
      <c r="AG685" s="1" t="s">
        <v>2458</v>
      </c>
      <c r="AH685" s="1" t="s">
        <v>3341</v>
      </c>
      <c r="AI685" s="1" t="n">
        <v>6033</v>
      </c>
      <c r="AJ685" s="37" t="n">
        <f aca="false">(AI685/Q685)*100</f>
        <v>4.57464797276291</v>
      </c>
      <c r="AK685" s="1" t="s">
        <v>1431</v>
      </c>
      <c r="AL685" s="1" t="s">
        <v>171</v>
      </c>
      <c r="AM685" s="1" t="s">
        <v>2371</v>
      </c>
      <c r="AN685" s="1" t="n">
        <v>4125</v>
      </c>
      <c r="AO685" s="37" t="n">
        <f aca="false">(AN685/Q685)*100</f>
        <v>3.12786721161064</v>
      </c>
      <c r="AP685" s="37" t="s">
        <v>197</v>
      </c>
      <c r="AQ685" s="1" t="s">
        <v>3342</v>
      </c>
      <c r="AR685" s="1" t="s">
        <v>3343</v>
      </c>
      <c r="AS685" s="1" t="n">
        <v>1303</v>
      </c>
      <c r="AT685" s="37" t="n">
        <f aca="false">(AS685/Q685)*100</f>
        <v>0.988026903449374</v>
      </c>
    </row>
    <row r="686" customFormat="false" ht="12.8" hidden="false" customHeight="true" outlineLevel="0" collapsed="false">
      <c r="A686" s="35" t="n">
        <v>2011</v>
      </c>
      <c r="B686" s="36" t="n">
        <v>217</v>
      </c>
      <c r="C686" s="1" t="s">
        <v>1317</v>
      </c>
      <c r="D686" s="1" t="s">
        <v>1293</v>
      </c>
      <c r="E686" s="1" t="s">
        <v>192</v>
      </c>
      <c r="F686" s="1" t="s">
        <v>1144</v>
      </c>
      <c r="G686" s="1" t="s">
        <v>50</v>
      </c>
      <c r="H686" s="1" t="s">
        <v>65</v>
      </c>
      <c r="I686" s="1" t="s">
        <v>51</v>
      </c>
      <c r="J686" s="1" t="s">
        <v>1059</v>
      </c>
      <c r="K686" s="1" t="s">
        <v>51</v>
      </c>
      <c r="L686" s="1" t="s">
        <v>51</v>
      </c>
      <c r="M686" s="1" t="s">
        <v>51</v>
      </c>
      <c r="N686" s="1" t="s">
        <v>51</v>
      </c>
      <c r="O686" s="1" t="s">
        <v>51</v>
      </c>
      <c r="P686" s="1" t="n">
        <v>167524</v>
      </c>
      <c r="Q686" s="1" t="n">
        <v>126453</v>
      </c>
      <c r="R686" s="37" t="n">
        <f aca="false">(Q686/P686)*100</f>
        <v>75.4835128101048</v>
      </c>
      <c r="S686" s="1" t="n">
        <f aca="false">Y686-AD686</f>
        <v>25126</v>
      </c>
      <c r="T686" s="37" t="n">
        <f aca="false">(S686/Q686)*100</f>
        <v>19.8698330605047</v>
      </c>
      <c r="U686" s="37" t="n">
        <f aca="false">Z686+AE686</f>
        <v>92.9467865531067</v>
      </c>
      <c r="V686" s="1" t="s">
        <v>55</v>
      </c>
      <c r="W686" s="1" t="s">
        <v>1059</v>
      </c>
      <c r="X686" s="1" t="s">
        <v>3344</v>
      </c>
      <c r="Y686" s="1" t="n">
        <v>71330</v>
      </c>
      <c r="Z686" s="37" t="n">
        <f aca="false">(Y686/Q686)*100</f>
        <v>56.4083098068057</v>
      </c>
      <c r="AA686" s="1" t="s">
        <v>52</v>
      </c>
      <c r="AB686" s="1" t="s">
        <v>53</v>
      </c>
      <c r="AC686" s="1" t="s">
        <v>354</v>
      </c>
      <c r="AD686" s="1" t="n">
        <v>46204</v>
      </c>
      <c r="AE686" s="37" t="n">
        <f aca="false">(AD686/Q686)*100</f>
        <v>36.538476746301</v>
      </c>
      <c r="AF686" s="1" t="s">
        <v>1431</v>
      </c>
      <c r="AG686" s="1" t="s">
        <v>171</v>
      </c>
      <c r="AH686" s="1" t="s">
        <v>3345</v>
      </c>
      <c r="AI686" s="1" t="n">
        <v>2614</v>
      </c>
      <c r="AJ686" s="37" t="n">
        <f aca="false">(AI686/Q686)*100</f>
        <v>2.06717120194855</v>
      </c>
      <c r="AK686" s="37" t="s">
        <v>197</v>
      </c>
      <c r="AL686" s="1" t="s">
        <v>197</v>
      </c>
      <c r="AM686" s="1" t="s">
        <v>3346</v>
      </c>
      <c r="AN686" s="1" t="n">
        <v>1659</v>
      </c>
      <c r="AO686" s="37" t="n">
        <f aca="false">(AN686/Q686)*100</f>
        <v>1.31194989442718</v>
      </c>
      <c r="AP686" s="37" t="s">
        <v>197</v>
      </c>
      <c r="AQ686" s="1" t="s">
        <v>197</v>
      </c>
      <c r="AR686" s="1" t="s">
        <v>3347</v>
      </c>
      <c r="AS686" s="1" t="n">
        <v>970</v>
      </c>
      <c r="AT686" s="37" t="n">
        <f aca="false">(AS686/Q686)*100</f>
        <v>0.767083422299194</v>
      </c>
    </row>
    <row r="687" customFormat="false" ht="12.8" hidden="false" customHeight="true" outlineLevel="0" collapsed="false">
      <c r="A687" s="35" t="n">
        <v>2011</v>
      </c>
      <c r="B687" s="36" t="n">
        <v>218</v>
      </c>
      <c r="C687" s="1" t="s">
        <v>1323</v>
      </c>
      <c r="D687" s="1" t="s">
        <v>1293</v>
      </c>
      <c r="E687" s="1" t="s">
        <v>192</v>
      </c>
      <c r="F687" s="1" t="s">
        <v>1144</v>
      </c>
      <c r="G687" s="1" t="s">
        <v>50</v>
      </c>
      <c r="H687" s="1" t="s">
        <v>51</v>
      </c>
      <c r="I687" s="1" t="s">
        <v>526</v>
      </c>
      <c r="J687" s="1" t="s">
        <v>51</v>
      </c>
      <c r="K687" s="1" t="s">
        <v>68</v>
      </c>
      <c r="L687" s="1" t="s">
        <v>392</v>
      </c>
      <c r="M687" s="1" t="s">
        <v>68</v>
      </c>
      <c r="N687" s="1" t="s">
        <v>392</v>
      </c>
      <c r="O687" s="1" t="s">
        <v>51</v>
      </c>
      <c r="P687" s="1" t="n">
        <v>181097</v>
      </c>
      <c r="Q687" s="1" t="n">
        <v>130723</v>
      </c>
      <c r="R687" s="37" t="n">
        <f aca="false">(Q687/P687)*100</f>
        <v>72.1839677079134</v>
      </c>
      <c r="S687" s="1" t="n">
        <f aca="false">Y687-AD687</f>
        <v>26480</v>
      </c>
      <c r="T687" s="37" t="n">
        <f aca="false">(S687/Q687)*100</f>
        <v>20.2565730590638</v>
      </c>
      <c r="U687" s="37" t="n">
        <f aca="false">Z687+AE687</f>
        <v>91.4406799109568</v>
      </c>
      <c r="V687" s="1" t="s">
        <v>55</v>
      </c>
      <c r="W687" s="1" t="s">
        <v>68</v>
      </c>
      <c r="X687" s="1" t="s">
        <v>2379</v>
      </c>
      <c r="Y687" s="1" t="n">
        <v>73007</v>
      </c>
      <c r="Z687" s="37" t="n">
        <f aca="false">(Y687/Q687)*100</f>
        <v>55.8486264850103</v>
      </c>
      <c r="AA687" s="1" t="s">
        <v>52</v>
      </c>
      <c r="AB687" s="1" t="s">
        <v>56</v>
      </c>
      <c r="AC687" s="1" t="s">
        <v>3113</v>
      </c>
      <c r="AD687" s="1" t="n">
        <v>46527</v>
      </c>
      <c r="AE687" s="37" t="n">
        <f aca="false">(AD687/Q687)*100</f>
        <v>35.5920534259465</v>
      </c>
      <c r="AF687" s="1" t="s">
        <v>197</v>
      </c>
      <c r="AG687" s="1" t="s">
        <v>197</v>
      </c>
      <c r="AH687" s="1" t="s">
        <v>3348</v>
      </c>
      <c r="AI687" s="1" t="n">
        <v>2685</v>
      </c>
      <c r="AJ687" s="37" t="n">
        <f aca="false">(AI687/Q687)*100</f>
        <v>2.05396142989374</v>
      </c>
      <c r="AK687" s="1" t="s">
        <v>1431</v>
      </c>
      <c r="AL687" s="1" t="s">
        <v>171</v>
      </c>
      <c r="AM687" s="1" t="s">
        <v>3349</v>
      </c>
      <c r="AN687" s="1" t="n">
        <v>2186</v>
      </c>
      <c r="AO687" s="37" t="n">
        <f aca="false">(AN687/Q687)*100</f>
        <v>1.67223824422634</v>
      </c>
      <c r="AP687" s="37" t="s">
        <v>197</v>
      </c>
      <c r="AQ687" s="1" t="s">
        <v>197</v>
      </c>
      <c r="AR687" s="1" t="s">
        <v>3350</v>
      </c>
      <c r="AS687" s="1" t="n">
        <v>1232</v>
      </c>
      <c r="AT687" s="37" t="n">
        <f aca="false">(AS687/Q687)*100</f>
        <v>0.942450831146776</v>
      </c>
    </row>
    <row r="688" customFormat="false" ht="12.8" hidden="false" customHeight="true" outlineLevel="0" collapsed="false">
      <c r="A688" s="35" t="n">
        <v>2011</v>
      </c>
      <c r="B688" s="36" t="n">
        <v>219</v>
      </c>
      <c r="C688" s="1" t="s">
        <v>1330</v>
      </c>
      <c r="D688" s="1" t="s">
        <v>1331</v>
      </c>
      <c r="E688" s="1" t="s">
        <v>192</v>
      </c>
      <c r="F688" s="1" t="s">
        <v>1144</v>
      </c>
      <c r="G688" s="1" t="s">
        <v>50</v>
      </c>
      <c r="H688" s="1" t="s">
        <v>65</v>
      </c>
      <c r="I688" s="1" t="s">
        <v>526</v>
      </c>
      <c r="J688" s="1" t="s">
        <v>51</v>
      </c>
      <c r="K688" s="1" t="s">
        <v>51</v>
      </c>
      <c r="L688" s="1" t="s">
        <v>68</v>
      </c>
      <c r="M688" s="1" t="s">
        <v>51</v>
      </c>
      <c r="N688" s="1" t="s">
        <v>68</v>
      </c>
      <c r="O688" s="1" t="s">
        <v>51</v>
      </c>
      <c r="P688" s="1" t="n">
        <v>191012</v>
      </c>
      <c r="Q688" s="1" t="n">
        <v>144622</v>
      </c>
      <c r="R688" s="37" t="n">
        <f aca="false">(Q688/P688)*100</f>
        <v>75.7135677339644</v>
      </c>
      <c r="S688" s="1" t="n">
        <f aca="false">Y688-AD688</f>
        <v>10395</v>
      </c>
      <c r="T688" s="37" t="n">
        <f aca="false">(S688/Q688)*100</f>
        <v>7.18770311570854</v>
      </c>
      <c r="U688" s="37" t="n">
        <f aca="false">Z688+AE688</f>
        <v>92.7929360678182</v>
      </c>
      <c r="V688" s="1" t="s">
        <v>55</v>
      </c>
      <c r="W688" s="1" t="s">
        <v>68</v>
      </c>
      <c r="X688" s="1" t="s">
        <v>3351</v>
      </c>
      <c r="Y688" s="1" t="n">
        <v>72297</v>
      </c>
      <c r="Z688" s="37" t="n">
        <f aca="false">(Y688/Q688)*100</f>
        <v>49.9903195917634</v>
      </c>
      <c r="AA688" s="1" t="s">
        <v>52</v>
      </c>
      <c r="AB688" s="1" t="s">
        <v>53</v>
      </c>
      <c r="AC688" s="1" t="s">
        <v>3352</v>
      </c>
      <c r="AD688" s="1" t="n">
        <v>61902</v>
      </c>
      <c r="AE688" s="37" t="n">
        <f aca="false">(AD688/Q688)*100</f>
        <v>42.8026164760548</v>
      </c>
      <c r="AF688" s="1" t="s">
        <v>197</v>
      </c>
      <c r="AG688" s="1" t="s">
        <v>197</v>
      </c>
      <c r="AH688" s="1" t="s">
        <v>3353</v>
      </c>
      <c r="AI688" s="1" t="n">
        <v>2198</v>
      </c>
      <c r="AJ688" s="37" t="n">
        <f aca="false">(AI688/Q688)*100</f>
        <v>1.51982409315319</v>
      </c>
      <c r="AK688" s="37" t="s">
        <v>197</v>
      </c>
      <c r="AL688" s="1" t="s">
        <v>197</v>
      </c>
      <c r="AM688" s="1" t="s">
        <v>970</v>
      </c>
      <c r="AN688" s="1" t="n">
        <v>1917</v>
      </c>
      <c r="AO688" s="37" t="n">
        <f aca="false">(AN688/Q688)*100</f>
        <v>1.32552447068911</v>
      </c>
      <c r="AP688" s="1" t="s">
        <v>1431</v>
      </c>
      <c r="AQ688" s="1" t="s">
        <v>171</v>
      </c>
      <c r="AR688" s="1" t="s">
        <v>3354</v>
      </c>
      <c r="AS688" s="1" t="n">
        <v>1862</v>
      </c>
      <c r="AT688" s="37" t="n">
        <f aca="false">(AS688/Q688)*100</f>
        <v>1.28749429547372</v>
      </c>
    </row>
    <row r="689" customFormat="false" ht="12.8" hidden="false" customHeight="true" outlineLevel="0" collapsed="false">
      <c r="A689" s="35" t="n">
        <v>2011</v>
      </c>
      <c r="B689" s="36" t="n">
        <v>220</v>
      </c>
      <c r="C689" s="1" t="s">
        <v>1337</v>
      </c>
      <c r="D689" s="1" t="s">
        <v>1331</v>
      </c>
      <c r="E689" s="1" t="s">
        <v>192</v>
      </c>
      <c r="F689" s="1" t="s">
        <v>1144</v>
      </c>
      <c r="G689" s="1" t="s">
        <v>50</v>
      </c>
      <c r="H689" s="1" t="s">
        <v>65</v>
      </c>
      <c r="I689" s="1" t="s">
        <v>51</v>
      </c>
      <c r="J689" s="1" t="s">
        <v>51</v>
      </c>
      <c r="K689" s="1" t="s">
        <v>51</v>
      </c>
      <c r="L689" s="47" t="s">
        <v>1338</v>
      </c>
      <c r="M689" s="1" t="s">
        <v>51</v>
      </c>
      <c r="N689" s="1" t="s">
        <v>51</v>
      </c>
      <c r="O689" s="1" t="s">
        <v>51</v>
      </c>
      <c r="P689" s="1" t="n">
        <v>185683</v>
      </c>
      <c r="Q689" s="1" t="n">
        <v>142026</v>
      </c>
      <c r="R689" s="37" t="n">
        <f aca="false">(Q689/P689)*100</f>
        <v>76.4884238190895</v>
      </c>
      <c r="S689" s="1" t="n">
        <f aca="false">Y689-AD689</f>
        <v>28090</v>
      </c>
      <c r="T689" s="37" t="n">
        <f aca="false">(S689/Q689)*100</f>
        <v>19.7780688043034</v>
      </c>
      <c r="U689" s="37" t="n">
        <f aca="false">Z689+AE689</f>
        <v>93.7687465675299</v>
      </c>
      <c r="V689" s="1" t="s">
        <v>55</v>
      </c>
      <c r="W689" s="1" t="s">
        <v>68</v>
      </c>
      <c r="X689" s="1" t="s">
        <v>3355</v>
      </c>
      <c r="Y689" s="1" t="n">
        <v>80633</v>
      </c>
      <c r="Z689" s="37" t="n">
        <f aca="false">(Y689/Q689)*100</f>
        <v>56.7734076859167</v>
      </c>
      <c r="AA689" s="1" t="s">
        <v>52</v>
      </c>
      <c r="AB689" s="1" t="s">
        <v>66</v>
      </c>
      <c r="AC689" s="1" t="s">
        <v>2090</v>
      </c>
      <c r="AD689" s="1" t="n">
        <v>52543</v>
      </c>
      <c r="AE689" s="37" t="n">
        <f aca="false">(AD689/Q689)*100</f>
        <v>36.9953388816132</v>
      </c>
      <c r="AF689" s="1" t="s">
        <v>1431</v>
      </c>
      <c r="AG689" s="1" t="s">
        <v>171</v>
      </c>
      <c r="AH689" s="1" t="s">
        <v>1601</v>
      </c>
      <c r="AI689" s="1" t="n">
        <v>2340</v>
      </c>
      <c r="AJ689" s="37" t="n">
        <f aca="false">(AI689/Q689)*100</f>
        <v>1.64758565333108</v>
      </c>
      <c r="AK689" s="37" t="s">
        <v>197</v>
      </c>
      <c r="AL689" s="1" t="s">
        <v>197</v>
      </c>
      <c r="AM689" s="1" t="s">
        <v>3356</v>
      </c>
      <c r="AN689" s="1" t="n">
        <v>2291</v>
      </c>
      <c r="AO689" s="37" t="n">
        <f aca="false">(AN689/Q689)*100</f>
        <v>1.61308492811175</v>
      </c>
      <c r="AP689" s="37" t="s">
        <v>197</v>
      </c>
      <c r="AQ689" s="1" t="s">
        <v>197</v>
      </c>
      <c r="AR689" s="1" t="s">
        <v>3357</v>
      </c>
      <c r="AS689" s="1" t="n">
        <v>1862</v>
      </c>
      <c r="AT689" s="37" t="n">
        <f aca="false">(AS689/Q689)*100</f>
        <v>1.31102755833439</v>
      </c>
    </row>
    <row r="690" customFormat="false" ht="12.8" hidden="false" customHeight="true" outlineLevel="0" collapsed="false">
      <c r="A690" s="35" t="n">
        <v>2011</v>
      </c>
      <c r="B690" s="36" t="n">
        <v>221</v>
      </c>
      <c r="C690" s="1" t="s">
        <v>1344</v>
      </c>
      <c r="D690" s="1" t="s">
        <v>1331</v>
      </c>
      <c r="E690" s="1" t="s">
        <v>192</v>
      </c>
      <c r="F690" s="1" t="s">
        <v>1144</v>
      </c>
      <c r="G690" s="1" t="s">
        <v>50</v>
      </c>
      <c r="H690" s="1" t="s">
        <v>51</v>
      </c>
      <c r="I690" s="1" t="s">
        <v>51</v>
      </c>
      <c r="J690" s="48" t="s">
        <v>51</v>
      </c>
      <c r="K690" s="1" t="s">
        <v>51</v>
      </c>
      <c r="L690" s="1" t="s">
        <v>51</v>
      </c>
      <c r="M690" s="1" t="s">
        <v>51</v>
      </c>
      <c r="N690" s="1" t="s">
        <v>51</v>
      </c>
      <c r="O690" s="1" t="s">
        <v>51</v>
      </c>
      <c r="P690" s="1" t="n">
        <v>214997</v>
      </c>
      <c r="Q690" s="1" t="n">
        <v>162155</v>
      </c>
      <c r="R690" s="37" t="n">
        <f aca="false">(Q690/P690)*100</f>
        <v>75.4219826323158</v>
      </c>
      <c r="S690" s="1" t="n">
        <f aca="false">Y690-AD690</f>
        <v>16086</v>
      </c>
      <c r="T690" s="37" t="n">
        <f aca="false">(S690/Q690)*100</f>
        <v>9.92013813943449</v>
      </c>
      <c r="U690" s="37" t="n">
        <f aca="false">Z690+AE690</f>
        <v>89.7301964170084</v>
      </c>
      <c r="V690" s="1" t="s">
        <v>55</v>
      </c>
      <c r="W690" s="1" t="s">
        <v>68</v>
      </c>
      <c r="X690" s="1" t="s">
        <v>3358</v>
      </c>
      <c r="Y690" s="1" t="n">
        <v>80794</v>
      </c>
      <c r="Z690" s="37" t="n">
        <f aca="false">(Y690/Q690)*100</f>
        <v>49.8251672782215</v>
      </c>
      <c r="AA690" s="1" t="s">
        <v>52</v>
      </c>
      <c r="AB690" s="1" t="s">
        <v>66</v>
      </c>
      <c r="AC690" s="1" t="s">
        <v>3359</v>
      </c>
      <c r="AD690" s="1" t="n">
        <v>64708</v>
      </c>
      <c r="AE690" s="37" t="n">
        <f aca="false">(AD690/Q690)*100</f>
        <v>39.905029138787</v>
      </c>
      <c r="AF690" s="1" t="s">
        <v>352</v>
      </c>
      <c r="AG690" s="1" t="s">
        <v>352</v>
      </c>
      <c r="AH690" s="1" t="s">
        <v>3360</v>
      </c>
      <c r="AI690" s="1" t="n">
        <v>6649</v>
      </c>
      <c r="AJ690" s="37" t="n">
        <f aca="false">(AI690/Q690)*100</f>
        <v>4.10039776756807</v>
      </c>
      <c r="AK690" s="1" t="s">
        <v>1431</v>
      </c>
      <c r="AL690" s="1" t="s">
        <v>171</v>
      </c>
      <c r="AM690" s="1" t="s">
        <v>3361</v>
      </c>
      <c r="AN690" s="1" t="n">
        <v>3233</v>
      </c>
      <c r="AO690" s="37" t="n">
        <f aca="false">(AN690/Q690)*100</f>
        <v>1.99377139156979</v>
      </c>
      <c r="AP690" s="37" t="s">
        <v>197</v>
      </c>
      <c r="AQ690" s="1" t="s">
        <v>197</v>
      </c>
      <c r="AR690" s="1" t="s">
        <v>3362</v>
      </c>
      <c r="AS690" s="1" t="n">
        <v>1753</v>
      </c>
      <c r="AT690" s="37" t="n">
        <f aca="false">(AS690/Q690)*100</f>
        <v>1.08106441367827</v>
      </c>
    </row>
    <row r="691" customFormat="false" ht="12.8" hidden="false" customHeight="true" outlineLevel="0" collapsed="false">
      <c r="A691" s="35" t="n">
        <v>2011</v>
      </c>
      <c r="B691" s="36" t="n">
        <v>222</v>
      </c>
      <c r="C691" s="1" t="s">
        <v>1331</v>
      </c>
      <c r="D691" s="1" t="s">
        <v>1331</v>
      </c>
      <c r="E691" s="1" t="s">
        <v>192</v>
      </c>
      <c r="F691" s="1" t="s">
        <v>1144</v>
      </c>
      <c r="G691" s="1" t="s">
        <v>50</v>
      </c>
      <c r="H691" s="1" t="s">
        <v>51</v>
      </c>
      <c r="I691" s="1" t="s">
        <v>51</v>
      </c>
      <c r="J691" s="1" t="s">
        <v>51</v>
      </c>
      <c r="K691" s="1" t="s">
        <v>51</v>
      </c>
      <c r="L691" s="1" t="s">
        <v>51</v>
      </c>
      <c r="M691" s="1" t="s">
        <v>51</v>
      </c>
      <c r="N691" s="1" t="s">
        <v>51</v>
      </c>
      <c r="O691" s="1" t="s">
        <v>51</v>
      </c>
      <c r="P691" s="1" t="n">
        <v>215324</v>
      </c>
      <c r="Q691" s="1" t="n">
        <v>169910</v>
      </c>
      <c r="R691" s="37" t="n">
        <f aca="false">(Q691/P691)*100</f>
        <v>78.9089929594472</v>
      </c>
      <c r="S691" s="1" t="n">
        <f aca="false">Y691-AD691</f>
        <v>22967</v>
      </c>
      <c r="T691" s="37" t="n">
        <f aca="false">(S691/Q691)*100</f>
        <v>13.5171561414867</v>
      </c>
      <c r="U691" s="37" t="n">
        <f aca="false">Z691+AE691</f>
        <v>95.073274086281</v>
      </c>
      <c r="V691" s="1" t="s">
        <v>55</v>
      </c>
      <c r="W691" s="1" t="s">
        <v>68</v>
      </c>
      <c r="X691" s="1" t="s">
        <v>3363</v>
      </c>
      <c r="Y691" s="1" t="n">
        <v>92253</v>
      </c>
      <c r="Z691" s="37" t="n">
        <f aca="false">(Y691/Q691)*100</f>
        <v>54.2952151138838</v>
      </c>
      <c r="AA691" s="1" t="s">
        <v>52</v>
      </c>
      <c r="AB691" s="1" t="s">
        <v>53</v>
      </c>
      <c r="AC691" s="1" t="s">
        <v>3364</v>
      </c>
      <c r="AD691" s="1" t="n">
        <v>69286</v>
      </c>
      <c r="AE691" s="37" t="n">
        <f aca="false">(AD691/Q691)*100</f>
        <v>40.7780589723972</v>
      </c>
      <c r="AF691" s="1" t="s">
        <v>1431</v>
      </c>
      <c r="AG691" s="1" t="s">
        <v>171</v>
      </c>
      <c r="AH691" s="1" t="s">
        <v>2404</v>
      </c>
      <c r="AI691" s="1" t="n">
        <v>2698</v>
      </c>
      <c r="AJ691" s="37" t="n">
        <f aca="false">(AI691/Q691)*100</f>
        <v>1.58789947619328</v>
      </c>
      <c r="AK691" s="37" t="s">
        <v>197</v>
      </c>
      <c r="AL691" s="1" t="s">
        <v>3037</v>
      </c>
      <c r="AM691" s="1" t="s">
        <v>2276</v>
      </c>
      <c r="AN691" s="1" t="n">
        <v>1507</v>
      </c>
      <c r="AO691" s="37" t="n">
        <f aca="false">(AN691/Q691)*100</f>
        <v>0.886940144782532</v>
      </c>
      <c r="AP691" s="37" t="s">
        <v>197</v>
      </c>
      <c r="AQ691" s="1" t="s">
        <v>197</v>
      </c>
      <c r="AR691" s="1" t="s">
        <v>3365</v>
      </c>
      <c r="AS691" s="1" t="n">
        <v>1140</v>
      </c>
      <c r="AT691" s="37" t="n">
        <f aca="false">(AS691/Q691)*100</f>
        <v>0.670943440645047</v>
      </c>
    </row>
    <row r="692" customFormat="false" ht="12.8" hidden="false" customHeight="true" outlineLevel="0" collapsed="false">
      <c r="A692" s="35" t="n">
        <v>2011</v>
      </c>
      <c r="B692" s="36" t="n">
        <v>223</v>
      </c>
      <c r="C692" s="1" t="s">
        <v>1355</v>
      </c>
      <c r="D692" s="1" t="s">
        <v>1331</v>
      </c>
      <c r="E692" s="1" t="s">
        <v>192</v>
      </c>
      <c r="F692" s="1" t="s">
        <v>1144</v>
      </c>
      <c r="G692" s="1" t="s">
        <v>50</v>
      </c>
      <c r="H692" s="1" t="s">
        <v>51</v>
      </c>
      <c r="I692" s="1" t="s">
        <v>51</v>
      </c>
      <c r="J692" s="1" t="s">
        <v>51</v>
      </c>
      <c r="K692" s="1" t="s">
        <v>51</v>
      </c>
      <c r="L692" s="1" t="s">
        <v>51</v>
      </c>
      <c r="M692" s="1" t="s">
        <v>51</v>
      </c>
      <c r="N692" s="1" t="s">
        <v>51</v>
      </c>
      <c r="O692" s="1" t="s">
        <v>51</v>
      </c>
      <c r="P692" s="1" t="n">
        <v>203826</v>
      </c>
      <c r="Q692" s="1" t="n">
        <v>165134</v>
      </c>
      <c r="R692" s="37" t="n">
        <f aca="false">(Q692/P692)*100</f>
        <v>81.0171420721596</v>
      </c>
      <c r="S692" s="1" t="n">
        <f aca="false">Y692-AD692</f>
        <v>299</v>
      </c>
      <c r="T692" s="37" t="n">
        <f aca="false">(S692/Q692)*100</f>
        <v>0.181065074424407</v>
      </c>
      <c r="U692" s="37" t="n">
        <f aca="false">Z692+AE692</f>
        <v>94.4063608947885</v>
      </c>
      <c r="V692" s="1" t="s">
        <v>55</v>
      </c>
      <c r="W692" s="1" t="s">
        <v>68</v>
      </c>
      <c r="X692" s="1" t="s">
        <v>3366</v>
      </c>
      <c r="Y692" s="1" t="n">
        <v>78098</v>
      </c>
      <c r="Z692" s="37" t="n">
        <f aca="false">(Y692/Q692)*100</f>
        <v>47.2937129846064</v>
      </c>
      <c r="AA692" s="1" t="s">
        <v>52</v>
      </c>
      <c r="AB692" s="1" t="s">
        <v>53</v>
      </c>
      <c r="AC692" s="1" t="s">
        <v>3367</v>
      </c>
      <c r="AD692" s="1" t="n">
        <v>77799</v>
      </c>
      <c r="AE692" s="37" t="n">
        <f aca="false">(AD692/Q692)*100</f>
        <v>47.112647910182</v>
      </c>
      <c r="AF692" s="1" t="s">
        <v>1431</v>
      </c>
      <c r="AG692" s="1" t="s">
        <v>171</v>
      </c>
      <c r="AH692" s="1" t="s">
        <v>3368</v>
      </c>
      <c r="AI692" s="1" t="n">
        <v>2664</v>
      </c>
      <c r="AJ692" s="37" t="n">
        <f aca="false">(AI692/Q692)*100</f>
        <v>1.61323531192849</v>
      </c>
      <c r="AK692" s="1" t="s">
        <v>1431</v>
      </c>
      <c r="AL692" s="1" t="s">
        <v>85</v>
      </c>
      <c r="AM692" s="1" t="s">
        <v>3369</v>
      </c>
      <c r="AN692" s="1" t="n">
        <v>1234</v>
      </c>
      <c r="AO692" s="37" t="n">
        <f aca="false">(AN692/Q692)*100</f>
        <v>0.747271912507418</v>
      </c>
      <c r="AP692" s="37" t="s">
        <v>197</v>
      </c>
      <c r="AQ692" s="1" t="s">
        <v>197</v>
      </c>
      <c r="AR692" s="1" t="s">
        <v>3370</v>
      </c>
      <c r="AS692" s="1" t="n">
        <v>1099</v>
      </c>
      <c r="AT692" s="37" t="n">
        <f aca="false">(AS692/Q692)*100</f>
        <v>0.665520123051582</v>
      </c>
    </row>
    <row r="693" customFormat="false" ht="12.8" hidden="false" customHeight="true" outlineLevel="0" collapsed="false">
      <c r="A693" s="35" t="n">
        <v>2011</v>
      </c>
      <c r="B693" s="36" t="n">
        <v>224</v>
      </c>
      <c r="C693" s="1" t="s">
        <v>1361</v>
      </c>
      <c r="D693" s="1" t="s">
        <v>1361</v>
      </c>
      <c r="E693" s="1" t="s">
        <v>192</v>
      </c>
      <c r="F693" s="1" t="s">
        <v>1362</v>
      </c>
      <c r="G693" s="1" t="s">
        <v>88</v>
      </c>
      <c r="H693" s="1" t="s">
        <v>51</v>
      </c>
      <c r="I693" s="1" t="s">
        <v>51</v>
      </c>
      <c r="J693" s="1" t="s">
        <v>51</v>
      </c>
      <c r="K693" s="1" t="s">
        <v>51</v>
      </c>
      <c r="L693" s="1" t="s">
        <v>51</v>
      </c>
      <c r="M693" s="1" t="s">
        <v>51</v>
      </c>
      <c r="N693" s="1" t="s">
        <v>51</v>
      </c>
      <c r="O693" s="1" t="s">
        <v>51</v>
      </c>
      <c r="P693" s="1" t="n">
        <v>205146</v>
      </c>
      <c r="Q693" s="1" t="n">
        <v>157304</v>
      </c>
      <c r="R693" s="37" t="n">
        <f aca="false">(Q693/P693)*100</f>
        <v>76.679048092578</v>
      </c>
      <c r="S693" s="1" t="n">
        <f aca="false">Y693-AD693</f>
        <v>38491</v>
      </c>
      <c r="T693" s="37" t="n">
        <f aca="false">(S693/Q693)*100</f>
        <v>24.4691806947058</v>
      </c>
      <c r="U693" s="37" t="n">
        <f aca="false">Z693+AE693</f>
        <v>85.1529522453339</v>
      </c>
      <c r="V693" s="1" t="s">
        <v>55</v>
      </c>
      <c r="W693" s="1" t="s">
        <v>68</v>
      </c>
      <c r="X693" s="1" t="s">
        <v>2407</v>
      </c>
      <c r="Y693" s="1" t="n">
        <v>86220</v>
      </c>
      <c r="Z693" s="37" t="n">
        <f aca="false">(Y693/Q693)*100</f>
        <v>54.8110664700198</v>
      </c>
      <c r="AA693" s="1" t="s">
        <v>52</v>
      </c>
      <c r="AB693" s="1" t="s">
        <v>53</v>
      </c>
      <c r="AC693" s="1" t="s">
        <v>2406</v>
      </c>
      <c r="AD693" s="1" t="n">
        <v>47729</v>
      </c>
      <c r="AE693" s="37" t="n">
        <f aca="false">(AD693/Q693)*100</f>
        <v>30.341885775314</v>
      </c>
      <c r="AF693" s="1" t="s">
        <v>197</v>
      </c>
      <c r="AG693" s="1" t="s">
        <v>2458</v>
      </c>
      <c r="AH693" s="1" t="s">
        <v>3371</v>
      </c>
      <c r="AI693" s="1" t="n">
        <v>7771</v>
      </c>
      <c r="AJ693" s="37" t="n">
        <f aca="false">(AI693/Q693)*100</f>
        <v>4.9401159538219</v>
      </c>
      <c r="AK693" s="37" t="s">
        <v>197</v>
      </c>
      <c r="AL693" s="1" t="s">
        <v>197</v>
      </c>
      <c r="AM693" s="1" t="s">
        <v>3372</v>
      </c>
      <c r="AN693" s="1" t="n">
        <v>4307</v>
      </c>
      <c r="AO693" s="37" t="n">
        <f aca="false">(AN693/Q693)*100</f>
        <v>2.73801047652952</v>
      </c>
      <c r="AP693" s="1" t="s">
        <v>179</v>
      </c>
      <c r="AQ693" s="1" t="s">
        <v>179</v>
      </c>
      <c r="AR693" s="1" t="s">
        <v>3373</v>
      </c>
      <c r="AS693" s="1" t="n">
        <v>2696</v>
      </c>
      <c r="AT693" s="37" t="n">
        <f aca="false">(AS693/Q693)*100</f>
        <v>1.71387885877028</v>
      </c>
    </row>
    <row r="694" customFormat="false" ht="12.8" hidden="false" customHeight="true" outlineLevel="0" collapsed="false">
      <c r="A694" s="35" t="n">
        <v>2011</v>
      </c>
      <c r="B694" s="36" t="n">
        <v>225</v>
      </c>
      <c r="C694" s="1" t="s">
        <v>1367</v>
      </c>
      <c r="D694" s="1" t="s">
        <v>1361</v>
      </c>
      <c r="E694" s="1" t="s">
        <v>192</v>
      </c>
      <c r="F694" s="1" t="s">
        <v>1362</v>
      </c>
      <c r="G694" s="1" t="s">
        <v>77</v>
      </c>
      <c r="H694" s="1" t="s">
        <v>51</v>
      </c>
      <c r="I694" s="1" t="s">
        <v>51</v>
      </c>
      <c r="J694" s="1" t="s">
        <v>51</v>
      </c>
      <c r="K694" s="1" t="s">
        <v>51</v>
      </c>
      <c r="L694" s="1" t="s">
        <v>51</v>
      </c>
      <c r="M694" s="1" t="s">
        <v>68</v>
      </c>
      <c r="N694" s="1" t="s">
        <v>51</v>
      </c>
      <c r="O694" s="1" t="s">
        <v>51</v>
      </c>
      <c r="P694" s="1" t="n">
        <v>193734</v>
      </c>
      <c r="Q694" s="1" t="n">
        <v>145460</v>
      </c>
      <c r="R694" s="37" t="n">
        <f aca="false">(Q694/P694)*100</f>
        <v>75.0823293794584</v>
      </c>
      <c r="S694" s="1" t="n">
        <f aca="false">Y694-AD694</f>
        <v>24609</v>
      </c>
      <c r="T694" s="37" t="n">
        <f aca="false">(S694/Q694)*100</f>
        <v>16.9180530730098</v>
      </c>
      <c r="U694" s="37" t="n">
        <f aca="false">Z694+AE694</f>
        <v>93.2923140382236</v>
      </c>
      <c r="V694" s="1" t="s">
        <v>55</v>
      </c>
      <c r="W694" s="1" t="s">
        <v>68</v>
      </c>
      <c r="X694" s="1" t="s">
        <v>3374</v>
      </c>
      <c r="Y694" s="1" t="n">
        <v>80156</v>
      </c>
      <c r="Z694" s="37" t="n">
        <f aca="false">(Y694/Q694)*100</f>
        <v>55.1051835556167</v>
      </c>
      <c r="AA694" s="1" t="s">
        <v>52</v>
      </c>
      <c r="AB694" s="1" t="s">
        <v>53</v>
      </c>
      <c r="AC694" s="1" t="s">
        <v>3375</v>
      </c>
      <c r="AD694" s="1" t="n">
        <v>55547</v>
      </c>
      <c r="AE694" s="37" t="n">
        <f aca="false">(AD694/Q694)*100</f>
        <v>38.1871304826069</v>
      </c>
      <c r="AF694" s="1" t="s">
        <v>197</v>
      </c>
      <c r="AG694" s="1" t="s">
        <v>2458</v>
      </c>
      <c r="AH694" s="1" t="s">
        <v>3376</v>
      </c>
      <c r="AI694" s="1" t="n">
        <v>2971</v>
      </c>
      <c r="AJ694" s="37" t="n">
        <f aca="false">(AI694/Q694)*100</f>
        <v>2.0424859067785</v>
      </c>
      <c r="AK694" s="1" t="s">
        <v>1431</v>
      </c>
      <c r="AL694" s="1" t="s">
        <v>171</v>
      </c>
      <c r="AM694" s="1" t="s">
        <v>3377</v>
      </c>
      <c r="AN694" s="1" t="n">
        <v>2688</v>
      </c>
      <c r="AO694" s="37" t="n">
        <f aca="false">(AN694/Q694)*100</f>
        <v>1.84793070259865</v>
      </c>
      <c r="AP694" s="37" t="s">
        <v>197</v>
      </c>
      <c r="AQ694" s="1" t="s">
        <v>197</v>
      </c>
      <c r="AR694" s="1" t="s">
        <v>3378</v>
      </c>
      <c r="AS694" s="1" t="n">
        <v>1466</v>
      </c>
      <c r="AT694" s="37" t="n">
        <f aca="false">(AS694/Q694)*100</f>
        <v>1.00783720610477</v>
      </c>
    </row>
    <row r="695" customFormat="false" ht="12.8" hidden="false" customHeight="true" outlineLevel="0" collapsed="false">
      <c r="A695" s="35" t="n">
        <v>2011</v>
      </c>
      <c r="B695" s="36" t="n">
        <v>226</v>
      </c>
      <c r="C695" s="1" t="s">
        <v>1373</v>
      </c>
      <c r="D695" s="1" t="s">
        <v>1361</v>
      </c>
      <c r="E695" s="1" t="s">
        <v>192</v>
      </c>
      <c r="F695" s="1" t="s">
        <v>1362</v>
      </c>
      <c r="G695" s="1" t="s">
        <v>77</v>
      </c>
      <c r="H695" s="1" t="s">
        <v>51</v>
      </c>
      <c r="I695" s="1" t="s">
        <v>51</v>
      </c>
      <c r="J695" s="1" t="s">
        <v>51</v>
      </c>
      <c r="K695" s="1" t="s">
        <v>51</v>
      </c>
      <c r="L695" s="1" t="s">
        <v>53</v>
      </c>
      <c r="M695" s="1" t="s">
        <v>53</v>
      </c>
      <c r="N695" s="1" t="s">
        <v>51</v>
      </c>
      <c r="O695" s="1" t="s">
        <v>51</v>
      </c>
      <c r="P695" s="1" t="n">
        <v>197857</v>
      </c>
      <c r="Q695" s="1" t="n">
        <v>135770</v>
      </c>
      <c r="R695" s="37" t="n">
        <f aca="false">(Q695/P695)*100</f>
        <v>68.6202661518167</v>
      </c>
      <c r="S695" s="1" t="n">
        <f aca="false">Y695-AD695</f>
        <v>605</v>
      </c>
      <c r="T695" s="37" t="n">
        <f aca="false">(S695/Q695)*100</f>
        <v>0.445606540472859</v>
      </c>
      <c r="U695" s="37" t="n">
        <f aca="false">Z695+AE695</f>
        <v>85.0651837666642</v>
      </c>
      <c r="V695" s="1" t="s">
        <v>52</v>
      </c>
      <c r="W695" s="1" t="s">
        <v>53</v>
      </c>
      <c r="X695" s="1" t="s">
        <v>3379</v>
      </c>
      <c r="Y695" s="1" t="n">
        <v>58049</v>
      </c>
      <c r="Z695" s="37" t="n">
        <f aca="false">(Y695/Q695)*100</f>
        <v>42.7553951535685</v>
      </c>
      <c r="AA695" s="1" t="s">
        <v>55</v>
      </c>
      <c r="AB695" s="1" t="s">
        <v>422</v>
      </c>
      <c r="AC695" s="1" t="s">
        <v>3380</v>
      </c>
      <c r="AD695" s="1" t="n">
        <v>57444</v>
      </c>
      <c r="AE695" s="37" t="n">
        <f aca="false">(AD695/Q695)*100</f>
        <v>42.3097886130957</v>
      </c>
      <c r="AF695" s="1" t="s">
        <v>197</v>
      </c>
      <c r="AG695" s="1" t="s">
        <v>197</v>
      </c>
      <c r="AH695" s="1" t="s">
        <v>3381</v>
      </c>
      <c r="AI695" s="1" t="n">
        <v>7032</v>
      </c>
      <c r="AJ695" s="37" t="n">
        <f aca="false">(AI695/Q695)*100</f>
        <v>5.17934742579362</v>
      </c>
      <c r="AK695" s="1" t="s">
        <v>1431</v>
      </c>
      <c r="AL695" s="1" t="s">
        <v>171</v>
      </c>
      <c r="AM695" s="1" t="s">
        <v>3382</v>
      </c>
      <c r="AN695" s="1" t="n">
        <v>6939</v>
      </c>
      <c r="AO695" s="37" t="n">
        <f aca="false">(AN695/Q695)*100</f>
        <v>5.11084923031598</v>
      </c>
      <c r="AP695" s="37" t="s">
        <v>197</v>
      </c>
      <c r="AQ695" s="1" t="s">
        <v>197</v>
      </c>
      <c r="AR695" s="1" t="s">
        <v>3383</v>
      </c>
      <c r="AS695" s="1" t="n">
        <v>2624</v>
      </c>
      <c r="AT695" s="37" t="n">
        <f aca="false">(AS695/Q695)*100</f>
        <v>1.93268026810046</v>
      </c>
    </row>
    <row r="696" customFormat="false" ht="12.8" hidden="false" customHeight="true" outlineLevel="0" collapsed="false">
      <c r="A696" s="35" t="n">
        <v>2011</v>
      </c>
      <c r="B696" s="36" t="n">
        <v>227</v>
      </c>
      <c r="C696" s="1" t="s">
        <v>1379</v>
      </c>
      <c r="D696" s="1" t="s">
        <v>1361</v>
      </c>
      <c r="E696" s="1" t="s">
        <v>192</v>
      </c>
      <c r="F696" s="1" t="s">
        <v>1362</v>
      </c>
      <c r="G696" s="1" t="s">
        <v>50</v>
      </c>
      <c r="H696" s="1" t="s">
        <v>51</v>
      </c>
      <c r="I696" s="1" t="s">
        <v>51</v>
      </c>
      <c r="J696" s="1" t="s">
        <v>51</v>
      </c>
      <c r="K696" s="1" t="s">
        <v>51</v>
      </c>
      <c r="L696" s="1" t="s">
        <v>68</v>
      </c>
      <c r="M696" s="1" t="s">
        <v>51</v>
      </c>
      <c r="N696" s="1" t="s">
        <v>51</v>
      </c>
      <c r="O696" s="1" t="s">
        <v>51</v>
      </c>
      <c r="P696" s="1" t="n">
        <v>190748</v>
      </c>
      <c r="Q696" s="1" t="n">
        <v>142677</v>
      </c>
      <c r="R696" s="37" t="n">
        <f aca="false">(Q696/P696)*100</f>
        <v>74.7986872732611</v>
      </c>
      <c r="S696" s="1" t="n">
        <f aca="false">Y696-AD696</f>
        <v>12280</v>
      </c>
      <c r="T696" s="37" t="n">
        <f aca="false">(S696/Q696)*100</f>
        <v>8.60685324193808</v>
      </c>
      <c r="U696" s="37" t="n">
        <f aca="false">Z696+AE696</f>
        <v>83.2229441325512</v>
      </c>
      <c r="V696" s="1" t="s">
        <v>55</v>
      </c>
      <c r="W696" s="1" t="s">
        <v>68</v>
      </c>
      <c r="X696" s="1" t="s">
        <v>3384</v>
      </c>
      <c r="Y696" s="1" t="n">
        <v>65510</v>
      </c>
      <c r="Z696" s="37" t="n">
        <f aca="false">(Y696/Q696)*100</f>
        <v>45.9148986872446</v>
      </c>
      <c r="AA696" s="1" t="s">
        <v>52</v>
      </c>
      <c r="AB696" s="1" t="s">
        <v>66</v>
      </c>
      <c r="AC696" s="1" t="s">
        <v>3385</v>
      </c>
      <c r="AD696" s="1" t="n">
        <v>53230</v>
      </c>
      <c r="AE696" s="37" t="n">
        <f aca="false">(AD696/Q696)*100</f>
        <v>37.3080454453065</v>
      </c>
      <c r="AF696" s="1" t="s">
        <v>197</v>
      </c>
      <c r="AG696" s="1" t="s">
        <v>2458</v>
      </c>
      <c r="AH696" s="1" t="s">
        <v>3386</v>
      </c>
      <c r="AI696" s="1" t="n">
        <v>13425</v>
      </c>
      <c r="AJ696" s="37" t="n">
        <f aca="false">(AI696/Q696)*100</f>
        <v>9.40936520952922</v>
      </c>
      <c r="AK696" s="1" t="s">
        <v>1431</v>
      </c>
      <c r="AL696" s="1" t="s">
        <v>171</v>
      </c>
      <c r="AM696" s="1" t="s">
        <v>3387</v>
      </c>
      <c r="AN696" s="1" t="n">
        <v>5290</v>
      </c>
      <c r="AO696" s="37" t="n">
        <f aca="false">(AN696/Q696)*100</f>
        <v>3.70767537865248</v>
      </c>
      <c r="AP696" s="37" t="s">
        <v>197</v>
      </c>
      <c r="AQ696" s="1" t="s">
        <v>197</v>
      </c>
      <c r="AR696" s="1" t="s">
        <v>507</v>
      </c>
      <c r="AS696" s="1" t="n">
        <v>2207</v>
      </c>
      <c r="AT696" s="37" t="n">
        <f aca="false">(AS696/Q696)*100</f>
        <v>1.54685057857959</v>
      </c>
    </row>
    <row r="697" customFormat="false" ht="12.8" hidden="false" customHeight="true" outlineLevel="0" collapsed="false">
      <c r="A697" s="35" t="n">
        <v>2011</v>
      </c>
      <c r="B697" s="36" t="n">
        <v>228</v>
      </c>
      <c r="C697" s="1" t="s">
        <v>1384</v>
      </c>
      <c r="D697" s="1" t="s">
        <v>1361</v>
      </c>
      <c r="E697" s="1" t="s">
        <v>192</v>
      </c>
      <c r="F697" s="1" t="s">
        <v>1362</v>
      </c>
      <c r="G697" s="1" t="s">
        <v>50</v>
      </c>
      <c r="H697" s="1" t="s">
        <v>51</v>
      </c>
      <c r="I697" s="1" t="s">
        <v>51</v>
      </c>
      <c r="J697" s="1" t="s">
        <v>51</v>
      </c>
      <c r="K697" s="1" t="s">
        <v>53</v>
      </c>
      <c r="L697" s="1" t="s">
        <v>51</v>
      </c>
      <c r="M697" s="1" t="s">
        <v>51</v>
      </c>
      <c r="N697" s="1" t="s">
        <v>51</v>
      </c>
      <c r="O697" s="1" t="s">
        <v>51</v>
      </c>
      <c r="P697" s="1" t="n">
        <v>195099</v>
      </c>
      <c r="Q697" s="1" t="n">
        <v>138694</v>
      </c>
      <c r="R697" s="37" t="n">
        <f aca="false">(Q697/P697)*100</f>
        <v>71.0890368479592</v>
      </c>
      <c r="S697" s="1" t="n">
        <f aca="false">Y697-AD697</f>
        <v>21475</v>
      </c>
      <c r="T697" s="37" t="n">
        <f aca="false">(S697/Q697)*100</f>
        <v>15.4837267653972</v>
      </c>
      <c r="U697" s="37" t="n">
        <f aca="false">Z697+AE697</f>
        <v>81.2356698919924</v>
      </c>
      <c r="V697" s="1" t="s">
        <v>55</v>
      </c>
      <c r="W697" s="1" t="s">
        <v>61</v>
      </c>
      <c r="X697" s="1" t="s">
        <v>3388</v>
      </c>
      <c r="Y697" s="1" t="n">
        <v>67072</v>
      </c>
      <c r="Z697" s="37" t="n">
        <f aca="false">(Y697/Q697)*100</f>
        <v>48.3596983286948</v>
      </c>
      <c r="AA697" s="1" t="s">
        <v>52</v>
      </c>
      <c r="AB697" s="1" t="s">
        <v>66</v>
      </c>
      <c r="AC697" s="1" t="s">
        <v>3389</v>
      </c>
      <c r="AD697" s="1" t="n">
        <v>45597</v>
      </c>
      <c r="AE697" s="37" t="n">
        <f aca="false">(AD697/Q697)*100</f>
        <v>32.8759715632976</v>
      </c>
      <c r="AF697" s="1" t="s">
        <v>197</v>
      </c>
      <c r="AG697" s="1" t="s">
        <v>2458</v>
      </c>
      <c r="AH697" s="1" t="s">
        <v>3390</v>
      </c>
      <c r="AI697" s="1" t="n">
        <v>6336</v>
      </c>
      <c r="AJ697" s="37" t="n">
        <f aca="false">(AI697/Q697)*100</f>
        <v>4.56833028105037</v>
      </c>
      <c r="AK697" s="37" t="s">
        <v>197</v>
      </c>
      <c r="AL697" s="1" t="s">
        <v>197</v>
      </c>
      <c r="AM697" s="1" t="s">
        <v>3391</v>
      </c>
      <c r="AN697" s="1" t="n">
        <v>6154</v>
      </c>
      <c r="AO697" s="37" t="n">
        <f aca="false">(AN697/Q697)*100</f>
        <v>4.43710614734596</v>
      </c>
      <c r="AP697" s="1" t="s">
        <v>1431</v>
      </c>
      <c r="AQ697" s="1" t="s">
        <v>171</v>
      </c>
      <c r="AR697" s="1" t="s">
        <v>3392</v>
      </c>
      <c r="AS697" s="1" t="n">
        <v>5305</v>
      </c>
      <c r="AT697" s="37" t="n">
        <f aca="false">(AS697/Q697)*100</f>
        <v>3.82496719396657</v>
      </c>
    </row>
    <row r="698" customFormat="false" ht="12.8" hidden="false" customHeight="true" outlineLevel="0" collapsed="false">
      <c r="A698" s="35" t="n">
        <v>2011</v>
      </c>
      <c r="B698" s="36" t="n">
        <v>229</v>
      </c>
      <c r="C698" s="1" t="s">
        <v>1390</v>
      </c>
      <c r="D698" s="1" t="s">
        <v>1390</v>
      </c>
      <c r="E698" s="1" t="s">
        <v>192</v>
      </c>
      <c r="F698" s="1" t="s">
        <v>1362</v>
      </c>
      <c r="G698" s="1" t="s">
        <v>50</v>
      </c>
      <c r="H698" s="1" t="s">
        <v>51</v>
      </c>
      <c r="I698" s="1" t="s">
        <v>526</v>
      </c>
      <c r="J698" s="1" t="s">
        <v>51</v>
      </c>
      <c r="K698" s="1" t="s">
        <v>51</v>
      </c>
      <c r="L698" s="1" t="s">
        <v>51</v>
      </c>
      <c r="M698" s="1" t="s">
        <v>51</v>
      </c>
      <c r="N698" s="1" t="s">
        <v>51</v>
      </c>
      <c r="O698" s="1" t="s">
        <v>51</v>
      </c>
      <c r="P698" s="1" t="n">
        <v>237865</v>
      </c>
      <c r="Q698" s="1" t="n">
        <v>180206</v>
      </c>
      <c r="R698" s="37" t="n">
        <f aca="false">(Q698/P698)*100</f>
        <v>75.7597797069766</v>
      </c>
      <c r="S698" s="1" t="n">
        <f aca="false">Y698-AD698</f>
        <v>17804</v>
      </c>
      <c r="T698" s="37" t="n">
        <f aca="false">(S698/Q698)*100</f>
        <v>9.87980422405469</v>
      </c>
      <c r="U698" s="37" t="n">
        <f aca="false">Z698+AE698</f>
        <v>86.5687047046158</v>
      </c>
      <c r="V698" s="1" t="s">
        <v>55</v>
      </c>
      <c r="W698" s="1" t="s">
        <v>68</v>
      </c>
      <c r="X698" s="1" t="s">
        <v>2440</v>
      </c>
      <c r="Y698" s="1" t="n">
        <v>86903</v>
      </c>
      <c r="Z698" s="37" t="n">
        <f aca="false">(Y698/Q698)*100</f>
        <v>48.2242544643353</v>
      </c>
      <c r="AA698" s="1" t="s">
        <v>52</v>
      </c>
      <c r="AB698" s="1" t="s">
        <v>53</v>
      </c>
      <c r="AC698" s="1" t="s">
        <v>2433</v>
      </c>
      <c r="AD698" s="1" t="n">
        <v>69099</v>
      </c>
      <c r="AE698" s="37" t="n">
        <f aca="false">(AD698/Q698)*100</f>
        <v>38.3444502402806</v>
      </c>
      <c r="AF698" s="1" t="s">
        <v>1431</v>
      </c>
      <c r="AG698" s="1" t="s">
        <v>171</v>
      </c>
      <c r="AH698" s="1" t="s">
        <v>2434</v>
      </c>
      <c r="AI698" s="1" t="n">
        <v>20094</v>
      </c>
      <c r="AJ698" s="37" t="n">
        <f aca="false">(AI698/Q698)*100</f>
        <v>11.1505721230148</v>
      </c>
      <c r="AK698" s="37" t="s">
        <v>197</v>
      </c>
      <c r="AL698" s="1" t="s">
        <v>3037</v>
      </c>
      <c r="AM698" s="1" t="s">
        <v>3393</v>
      </c>
      <c r="AN698" s="1" t="n">
        <v>734</v>
      </c>
      <c r="AO698" s="37" t="n">
        <f aca="false">(AN698/Q698)*100</f>
        <v>0.4073116322431</v>
      </c>
      <c r="AP698" s="37" t="s">
        <v>197</v>
      </c>
      <c r="AQ698" s="1" t="s">
        <v>197</v>
      </c>
      <c r="AR698" s="1" t="s">
        <v>3394</v>
      </c>
      <c r="AS698" s="1" t="n">
        <v>538</v>
      </c>
      <c r="AT698" s="37" t="n">
        <f aca="false">(AS698/Q698)*100</f>
        <v>0.298547218183634</v>
      </c>
    </row>
    <row r="699" customFormat="false" ht="12.8" hidden="false" customHeight="true" outlineLevel="0" collapsed="false">
      <c r="A699" s="35" t="n">
        <v>2011</v>
      </c>
      <c r="B699" s="36" t="n">
        <v>230</v>
      </c>
      <c r="C699" s="1" t="s">
        <v>1396</v>
      </c>
      <c r="D699" s="1" t="s">
        <v>1390</v>
      </c>
      <c r="E699" s="1" t="s">
        <v>192</v>
      </c>
      <c r="F699" s="1" t="s">
        <v>1362</v>
      </c>
      <c r="G699" s="1" t="s">
        <v>88</v>
      </c>
      <c r="H699" s="1" t="s">
        <v>51</v>
      </c>
      <c r="I699" s="1" t="s">
        <v>51</v>
      </c>
      <c r="J699" s="1" t="s">
        <v>51</v>
      </c>
      <c r="K699" s="1" t="s">
        <v>51</v>
      </c>
      <c r="L699" s="1" t="s">
        <v>66</v>
      </c>
      <c r="M699" s="1" t="s">
        <v>51</v>
      </c>
      <c r="N699" s="1" t="s">
        <v>51</v>
      </c>
      <c r="O699" s="1" t="s">
        <v>51</v>
      </c>
      <c r="P699" s="1" t="n">
        <v>209685</v>
      </c>
      <c r="Q699" s="1" t="n">
        <v>147019</v>
      </c>
      <c r="R699" s="37" t="n">
        <f aca="false">(Q699/P699)*100</f>
        <v>70.1142189474688</v>
      </c>
      <c r="S699" s="1" t="n">
        <f aca="false">Y699-AD699</f>
        <v>6727</v>
      </c>
      <c r="T699" s="37" t="n">
        <f aca="false">(S699/Q699)*100</f>
        <v>4.57559907222876</v>
      </c>
      <c r="U699" s="37" t="n">
        <f aca="false">Z699+AE699</f>
        <v>75.4399091273917</v>
      </c>
      <c r="V699" s="1" t="s">
        <v>55</v>
      </c>
      <c r="W699" s="1" t="s">
        <v>68</v>
      </c>
      <c r="X699" s="1" t="s">
        <v>2435</v>
      </c>
      <c r="Y699" s="1" t="n">
        <v>58819</v>
      </c>
      <c r="Z699" s="37" t="n">
        <f aca="false">(Y699/Q699)*100</f>
        <v>40.0077540998102</v>
      </c>
      <c r="AA699" s="1" t="s">
        <v>52</v>
      </c>
      <c r="AB699" s="1" t="s">
        <v>53</v>
      </c>
      <c r="AC699" s="1" t="s">
        <v>3395</v>
      </c>
      <c r="AD699" s="1" t="n">
        <v>52092</v>
      </c>
      <c r="AE699" s="37" t="n">
        <f aca="false">(AD699/Q699)*100</f>
        <v>35.4321550275815</v>
      </c>
      <c r="AF699" s="1" t="s">
        <v>1431</v>
      </c>
      <c r="AG699" s="1" t="s">
        <v>171</v>
      </c>
      <c r="AH699" s="1" t="s">
        <v>3396</v>
      </c>
      <c r="AI699" s="1" t="n">
        <v>33623</v>
      </c>
      <c r="AJ699" s="37" t="n">
        <f aca="false">(AI699/Q699)*100</f>
        <v>22.8698331508172</v>
      </c>
      <c r="AK699" s="37" t="s">
        <v>197</v>
      </c>
      <c r="AL699" s="1" t="s">
        <v>3037</v>
      </c>
      <c r="AM699" s="1" t="s">
        <v>1573</v>
      </c>
      <c r="AN699" s="1" t="n">
        <v>588</v>
      </c>
      <c r="AO699" s="37" t="n">
        <f aca="false">(AN699/Q699)*100</f>
        <v>0.399948306001265</v>
      </c>
      <c r="AP699" s="37" t="s">
        <v>197</v>
      </c>
      <c r="AQ699" s="1" t="s">
        <v>197</v>
      </c>
      <c r="AR699" s="1" t="s">
        <v>3395</v>
      </c>
      <c r="AS699" s="1" t="n">
        <v>500</v>
      </c>
      <c r="AT699" s="37" t="n">
        <f aca="false">(AS699/Q699)*100</f>
        <v>0.340092096939851</v>
      </c>
    </row>
    <row r="700" customFormat="false" ht="12.8" hidden="false" customHeight="true" outlineLevel="0" collapsed="false">
      <c r="A700" s="35" t="n">
        <v>2011</v>
      </c>
      <c r="B700" s="36" t="n">
        <v>231</v>
      </c>
      <c r="C700" s="1" t="s">
        <v>1402</v>
      </c>
      <c r="D700" s="1" t="s">
        <v>1390</v>
      </c>
      <c r="E700" s="1" t="s">
        <v>192</v>
      </c>
      <c r="F700" s="1" t="s">
        <v>1362</v>
      </c>
      <c r="G700" s="1" t="s">
        <v>77</v>
      </c>
      <c r="H700" s="1" t="s">
        <v>51</v>
      </c>
      <c r="I700" s="1" t="s">
        <v>51</v>
      </c>
      <c r="J700" s="1" t="s">
        <v>51</v>
      </c>
      <c r="K700" s="1" t="s">
        <v>66</v>
      </c>
      <c r="L700" s="1" t="s">
        <v>51</v>
      </c>
      <c r="M700" s="1" t="s">
        <v>66</v>
      </c>
      <c r="N700" s="1" t="s">
        <v>51</v>
      </c>
      <c r="O700" s="1" t="s">
        <v>51</v>
      </c>
      <c r="P700" s="1" t="n">
        <v>226321</v>
      </c>
      <c r="Q700" s="1" t="n">
        <v>145488</v>
      </c>
      <c r="R700" s="37" t="n">
        <f aca="false">(Q700/P700)*100</f>
        <v>64.28391532381</v>
      </c>
      <c r="S700" s="1" t="n">
        <f aca="false">Y700-AD700</f>
        <v>11821</v>
      </c>
      <c r="T700" s="37" t="n">
        <f aca="false">(S700/Q700)*100</f>
        <v>8.12506873419114</v>
      </c>
      <c r="U700" s="37" t="n">
        <f aca="false">Z700+AE700</f>
        <v>72.1949576597383</v>
      </c>
      <c r="V700" s="1" t="s">
        <v>52</v>
      </c>
      <c r="W700" s="1" t="s">
        <v>66</v>
      </c>
      <c r="X700" s="1" t="s">
        <v>2438</v>
      </c>
      <c r="Y700" s="1" t="n">
        <v>58428</v>
      </c>
      <c r="Z700" s="37" t="n">
        <f aca="false">(Y700/Q700)*100</f>
        <v>40.1600131969647</v>
      </c>
      <c r="AA700" s="1" t="s">
        <v>55</v>
      </c>
      <c r="AB700" s="1" t="s">
        <v>68</v>
      </c>
      <c r="AC700" s="1" t="s">
        <v>3397</v>
      </c>
      <c r="AD700" s="1" t="n">
        <v>46607</v>
      </c>
      <c r="AE700" s="37" t="n">
        <f aca="false">(AD700/Q700)*100</f>
        <v>32.0349444627736</v>
      </c>
      <c r="AF700" s="1" t="s">
        <v>1431</v>
      </c>
      <c r="AG700" s="1" t="s">
        <v>171</v>
      </c>
      <c r="AH700" s="1" t="s">
        <v>1404</v>
      </c>
      <c r="AI700" s="1" t="n">
        <v>35778</v>
      </c>
      <c r="AJ700" s="37" t="n">
        <f aca="false">(AI700/Q700)*100</f>
        <v>24.5917189046519</v>
      </c>
      <c r="AK700" s="37" t="s">
        <v>197</v>
      </c>
      <c r="AL700" s="1" t="s">
        <v>2953</v>
      </c>
      <c r="AM700" s="1" t="s">
        <v>3398</v>
      </c>
      <c r="AN700" s="1" t="n">
        <v>1566</v>
      </c>
      <c r="AO700" s="37" t="n">
        <f aca="false">(AN700/Q700)*100</f>
        <v>1.07637743319037</v>
      </c>
      <c r="AP700" s="37" t="s">
        <v>197</v>
      </c>
      <c r="AQ700" s="1" t="s">
        <v>197</v>
      </c>
      <c r="AR700" s="1" t="s">
        <v>3399</v>
      </c>
      <c r="AS700" s="1" t="n">
        <v>1262</v>
      </c>
      <c r="AT700" s="37" t="n">
        <f aca="false">(AS700/Q700)*100</f>
        <v>0.867425492136809</v>
      </c>
    </row>
    <row r="701" customFormat="false" ht="12.8" hidden="false" customHeight="true" outlineLevel="0" collapsed="false">
      <c r="A701" s="35" t="n">
        <v>2011</v>
      </c>
      <c r="B701" s="36" t="n">
        <v>232</v>
      </c>
      <c r="C701" s="1" t="s">
        <v>1408</v>
      </c>
      <c r="D701" s="1" t="s">
        <v>1390</v>
      </c>
      <c r="E701" s="1" t="s">
        <v>192</v>
      </c>
      <c r="F701" s="1" t="s">
        <v>1362</v>
      </c>
      <c r="G701" s="1" t="s">
        <v>77</v>
      </c>
      <c r="H701" s="1" t="s">
        <v>51</v>
      </c>
      <c r="I701" s="1" t="s">
        <v>51</v>
      </c>
      <c r="J701" s="1" t="s">
        <v>51</v>
      </c>
      <c r="K701" s="1" t="s">
        <v>51</v>
      </c>
      <c r="L701" s="1" t="s">
        <v>51</v>
      </c>
      <c r="M701" s="1" t="s">
        <v>53</v>
      </c>
      <c r="N701" s="1" t="s">
        <v>51</v>
      </c>
      <c r="O701" s="1" t="s">
        <v>51</v>
      </c>
      <c r="P701" s="1" t="n">
        <v>206399</v>
      </c>
      <c r="Q701" s="1" t="n">
        <v>144362</v>
      </c>
      <c r="R701" s="37" t="n">
        <f aca="false">(Q701/P701)*100</f>
        <v>69.9431683293039</v>
      </c>
      <c r="S701" s="1" t="n">
        <f aca="false">Y701-AD701</f>
        <v>19321</v>
      </c>
      <c r="T701" s="37" t="n">
        <f aca="false">(S701/Q701)*100</f>
        <v>13.3837159363267</v>
      </c>
      <c r="U701" s="37" t="n">
        <f aca="false">Z701+AE701</f>
        <v>69.5771740485724</v>
      </c>
      <c r="V701" s="1" t="s">
        <v>52</v>
      </c>
      <c r="W701" s="1" t="s">
        <v>53</v>
      </c>
      <c r="X701" s="1" t="s">
        <v>3400</v>
      </c>
      <c r="Y701" s="1" t="n">
        <v>59882</v>
      </c>
      <c r="Z701" s="37" t="n">
        <f aca="false">(Y701/Q701)*100</f>
        <v>41.4804449924495</v>
      </c>
      <c r="AA701" s="1" t="s">
        <v>55</v>
      </c>
      <c r="AB701" s="1" t="s">
        <v>61</v>
      </c>
      <c r="AC701" s="1" t="s">
        <v>1392</v>
      </c>
      <c r="AD701" s="1" t="n">
        <v>40561</v>
      </c>
      <c r="AE701" s="37" t="n">
        <f aca="false">(AD701/Q701)*100</f>
        <v>28.0967290561228</v>
      </c>
      <c r="AF701" s="1" t="s">
        <v>1431</v>
      </c>
      <c r="AG701" s="1" t="s">
        <v>171</v>
      </c>
      <c r="AH701" s="1" t="s">
        <v>3401</v>
      </c>
      <c r="AI701" s="1" t="n">
        <v>34491</v>
      </c>
      <c r="AJ701" s="37" t="n">
        <f aca="false">(AI701/Q701)*100</f>
        <v>23.8920214460869</v>
      </c>
      <c r="AK701" s="37" t="s">
        <v>197</v>
      </c>
      <c r="AL701" s="1" t="s">
        <v>197</v>
      </c>
      <c r="AM701" s="1" t="s">
        <v>3402</v>
      </c>
      <c r="AN701" s="1" t="n">
        <v>4029</v>
      </c>
      <c r="AO701" s="37" t="n">
        <f aca="false">(AN701/Q701)*100</f>
        <v>2.79090065252629</v>
      </c>
      <c r="AP701" s="37" t="s">
        <v>197</v>
      </c>
      <c r="AQ701" s="1" t="s">
        <v>197</v>
      </c>
      <c r="AR701" s="1" t="s">
        <v>3403</v>
      </c>
      <c r="AS701" s="1" t="n">
        <v>1803</v>
      </c>
      <c r="AT701" s="37" t="n">
        <f aca="false">(AS701/Q701)*100</f>
        <v>1.2489436278245</v>
      </c>
    </row>
    <row r="702" customFormat="false" ht="12.8" hidden="false" customHeight="true" outlineLevel="0" collapsed="false">
      <c r="A702" s="35" t="n">
        <v>2011</v>
      </c>
      <c r="B702" s="36" t="n">
        <v>233</v>
      </c>
      <c r="C702" s="1" t="s">
        <v>1414</v>
      </c>
      <c r="D702" s="1" t="s">
        <v>1390</v>
      </c>
      <c r="E702" s="1" t="s">
        <v>192</v>
      </c>
      <c r="F702" s="1" t="s">
        <v>1362</v>
      </c>
      <c r="G702" s="1" t="s">
        <v>50</v>
      </c>
      <c r="H702" s="1" t="s">
        <v>51</v>
      </c>
      <c r="I702" s="1" t="s">
        <v>526</v>
      </c>
      <c r="J702" s="1" t="s">
        <v>51</v>
      </c>
      <c r="K702" s="1" t="s">
        <v>66</v>
      </c>
      <c r="L702" s="1" t="s">
        <v>66</v>
      </c>
      <c r="M702" s="1" t="s">
        <v>66</v>
      </c>
      <c r="N702" s="1" t="s">
        <v>51</v>
      </c>
      <c r="O702" s="1" t="s">
        <v>51</v>
      </c>
      <c r="P702" s="1" t="n">
        <v>207644</v>
      </c>
      <c r="Q702" s="1" t="n">
        <v>143948</v>
      </c>
      <c r="R702" s="37" t="n">
        <f aca="false">(Q702/P702)*100</f>
        <v>69.3244206430236</v>
      </c>
      <c r="S702" s="1" t="n">
        <f aca="false">Y702-AD702</f>
        <v>23789</v>
      </c>
      <c r="T702" s="37" t="n">
        <f aca="false">(S702/Q702)*100</f>
        <v>16.5261066496235</v>
      </c>
      <c r="U702" s="37" t="n">
        <f aca="false">Z702+AE702</f>
        <v>70.8637841442743</v>
      </c>
      <c r="V702" s="1" t="s">
        <v>52</v>
      </c>
      <c r="W702" s="1" t="s">
        <v>66</v>
      </c>
      <c r="X702" s="1" t="s">
        <v>2447</v>
      </c>
      <c r="Y702" s="1" t="n">
        <v>62898</v>
      </c>
      <c r="Z702" s="37" t="n">
        <f aca="false">(Y702/Q702)*100</f>
        <v>43.6949453969489</v>
      </c>
      <c r="AA702" s="1" t="s">
        <v>55</v>
      </c>
      <c r="AB702" s="1" t="s">
        <v>422</v>
      </c>
      <c r="AC702" s="1" t="s">
        <v>3404</v>
      </c>
      <c r="AD702" s="1" t="n">
        <v>39109</v>
      </c>
      <c r="AE702" s="37" t="n">
        <f aca="false">(AD702/Q702)*100</f>
        <v>27.1688387473254</v>
      </c>
      <c r="AF702" s="1" t="s">
        <v>1431</v>
      </c>
      <c r="AG702" s="1" t="s">
        <v>171</v>
      </c>
      <c r="AH702" s="1" t="s">
        <v>3405</v>
      </c>
      <c r="AI702" s="1" t="n">
        <v>37763</v>
      </c>
      <c r="AJ702" s="37" t="n">
        <f aca="false">(AI702/Q702)*100</f>
        <v>26.23377886459</v>
      </c>
      <c r="AK702" s="37" t="s">
        <v>197</v>
      </c>
      <c r="AL702" s="1" t="s">
        <v>197</v>
      </c>
      <c r="AM702" s="1" t="s">
        <v>3406</v>
      </c>
      <c r="AN702" s="1" t="n">
        <v>1144</v>
      </c>
      <c r="AO702" s="37" t="n">
        <f aca="false">(AN702/Q702)*100</f>
        <v>0.794731430794454</v>
      </c>
      <c r="AP702" s="1" t="s">
        <v>85</v>
      </c>
      <c r="AQ702" s="38" t="s">
        <v>85</v>
      </c>
      <c r="AR702" s="1" t="s">
        <v>3407</v>
      </c>
      <c r="AS702" s="1" t="n">
        <v>911</v>
      </c>
      <c r="AT702" s="37" t="n">
        <f aca="false">(AS702/Q702)*100</f>
        <v>0.632867424347681</v>
      </c>
    </row>
    <row r="703" customFormat="false" ht="12.8" hidden="false" customHeight="true" outlineLevel="0" collapsed="false">
      <c r="A703" s="35" t="n">
        <v>2011</v>
      </c>
      <c r="B703" s="36" t="n">
        <v>234</v>
      </c>
      <c r="C703" s="1" t="s">
        <v>1420</v>
      </c>
      <c r="D703" s="1" t="s">
        <v>1390</v>
      </c>
      <c r="E703" s="1" t="s">
        <v>192</v>
      </c>
      <c r="F703" s="1" t="s">
        <v>1362</v>
      </c>
      <c r="G703" s="1" t="s">
        <v>50</v>
      </c>
      <c r="H703" s="1" t="s">
        <v>51</v>
      </c>
      <c r="I703" s="1" t="s">
        <v>51</v>
      </c>
      <c r="J703" s="1" t="s">
        <v>51</v>
      </c>
      <c r="K703" s="1" t="s">
        <v>51</v>
      </c>
      <c r="L703" s="47" t="s">
        <v>1338</v>
      </c>
      <c r="M703" s="1" t="s">
        <v>66</v>
      </c>
      <c r="N703" s="1" t="s">
        <v>51</v>
      </c>
      <c r="O703" s="1" t="s">
        <v>51</v>
      </c>
      <c r="P703" s="1" t="n">
        <v>213668</v>
      </c>
      <c r="Q703" s="1" t="n">
        <v>136544</v>
      </c>
      <c r="R703" s="37" t="n">
        <f aca="false">(Q703/P703)*100</f>
        <v>63.9047494243406</v>
      </c>
      <c r="S703" s="1" t="n">
        <f aca="false">Y703-AD703</f>
        <v>24486</v>
      </c>
      <c r="T703" s="37" t="n">
        <f aca="false">(S703/Q703)*100</f>
        <v>17.9326810405437</v>
      </c>
      <c r="U703" s="37" t="n">
        <f aca="false">Z703+AJ703</f>
        <v>63.6073353644247</v>
      </c>
      <c r="V703" s="1" t="s">
        <v>52</v>
      </c>
      <c r="W703" s="1" t="s">
        <v>66</v>
      </c>
      <c r="X703" s="1" t="s">
        <v>3408</v>
      </c>
      <c r="Y703" s="1" t="n">
        <v>56932</v>
      </c>
      <c r="Z703" s="37" t="n">
        <f aca="false">(Y703/Q703)*100</f>
        <v>41.6949847668151</v>
      </c>
      <c r="AA703" s="1" t="s">
        <v>1431</v>
      </c>
      <c r="AB703" s="1" t="s">
        <v>171</v>
      </c>
      <c r="AC703" s="1" t="s">
        <v>3409</v>
      </c>
      <c r="AD703" s="1" t="n">
        <v>32446</v>
      </c>
      <c r="AE703" s="37" t="n">
        <f aca="false">(AD703/Q703)*100</f>
        <v>23.7623037262714</v>
      </c>
      <c r="AF703" s="1" t="s">
        <v>55</v>
      </c>
      <c r="AG703" s="1" t="s">
        <v>68</v>
      </c>
      <c r="AH703" s="1" t="s">
        <v>3410</v>
      </c>
      <c r="AI703" s="1" t="n">
        <v>29920</v>
      </c>
      <c r="AJ703" s="37" t="n">
        <f aca="false">(AI703/Q703)*100</f>
        <v>21.9123505976096</v>
      </c>
      <c r="AK703" s="37" t="s">
        <v>197</v>
      </c>
      <c r="AL703" s="1" t="s">
        <v>197</v>
      </c>
      <c r="AM703" s="1" t="s">
        <v>2454</v>
      </c>
      <c r="AN703" s="1" t="n">
        <v>10238</v>
      </c>
      <c r="AO703" s="37" t="n">
        <f aca="false">(AN703/Q703)*100</f>
        <v>7.49794937895477</v>
      </c>
      <c r="AP703" s="37" t="s">
        <v>197</v>
      </c>
      <c r="AQ703" s="1" t="s">
        <v>197</v>
      </c>
      <c r="AR703" s="1" t="s">
        <v>3411</v>
      </c>
      <c r="AS703" s="1" t="n">
        <v>3457</v>
      </c>
      <c r="AT703" s="37" t="n">
        <f aca="false">(AS703/Q703)*100</f>
        <v>2.53178462620108</v>
      </c>
    </row>
  </sheetData>
  <conditionalFormatting sqref="B1:AT1">
    <cfRule type="containsText" priority="2" operator="containsText" aboveAverage="0" equalAverage="0" bottom="0" percent="0" rank="0" text="AIADMK" dxfId="0">
      <formula>NOT(ISERROR(SEARCH("AIADMK",B1)))</formula>
    </cfRule>
    <cfRule type="containsText" priority="3" operator="containsText" aboveAverage="0" equalAverage="0" bottom="0" percent="0" rank="0" text="DMDK" dxfId="1">
      <formula>NOT(ISERROR(SEARCH("DMDK",B1)))</formula>
    </cfRule>
    <cfRule type="containsText" priority="4" operator="containsText" aboveAverage="0" equalAverage="0" bottom="0" percent="0" rank="0" text="MDMK" dxfId="2">
      <formula>NOT(ISERROR(SEARCH("MDMK",B1)))</formula>
    </cfRule>
    <cfRule type="beginsWith" priority="5" operator="beginsWith" aboveAverage="0" equalAverage="0" bottom="0" percent="0" rank="0" text="DMK" dxfId="3">
      <formula>LEFT(B1,LEN("DMK"))="DMK"</formula>
    </cfRule>
    <cfRule type="cellIs" priority="6" operator="equal" aboveAverage="0" equalAverage="0" bottom="0" percent="0" rank="0" text="" dxfId="4">
      <formula>"PMK"</formula>
    </cfRule>
    <cfRule type="cellIs" priority="7" operator="equal" aboveAverage="0" equalAverage="0" bottom="0" percent="0" rank="0" text="" dxfId="5">
      <formula>"VCK"</formula>
    </cfRule>
    <cfRule type="containsText" priority="8" operator="containsText" aboveAverage="0" equalAverage="0" bottom="0" percent="0" rank="0" text="CPI" dxfId="6">
      <formula>NOT(ISERROR(SEARCH("CPI",B1)))</formula>
    </cfRule>
    <cfRule type="cellIs" priority="9" operator="equal" aboveAverage="0" equalAverage="0" bottom="0" percent="0" rank="0" text="" dxfId="7">
      <formula>"NTK"</formula>
    </cfRule>
    <cfRule type="cellIs" priority="10" operator="equal" aboveAverage="0" equalAverage="0" bottom="0" percent="0" rank="0" text="" dxfId="8">
      <formula>"MNK"</formula>
    </cfRule>
    <cfRule type="cellIs" priority="11" operator="equal" aboveAverage="0" equalAverage="0" bottom="0" percent="0" rank="0" text="" dxfId="9">
      <formula>"Independant"</formula>
    </cfRule>
    <cfRule type="cellIs" priority="12" operator="equal" aboveAverage="0" equalAverage="0" bottom="0" percent="0" rank="0" text="" dxfId="10">
      <formula>"NOTA"</formula>
    </cfRule>
    <cfRule type="cellIs" priority="13" operator="equal" aboveAverage="0" equalAverage="0" bottom="0" percent="0" rank="0" text="" dxfId="11">
      <formula>"PFA"</formula>
    </cfRule>
    <cfRule type="cellIs" priority="14" operator="equal" aboveAverage="0" equalAverage="0" bottom="0" percent="0" rank="0" text="" dxfId="12">
      <formula>"BJP"</formula>
    </cfRule>
    <cfRule type="cellIs" priority="15" operator="equal" aboveAverage="0" equalAverage="0" bottom="0" percent="0" rank="0" text="" dxfId="13">
      <formula>"INC"</formula>
    </cfRule>
    <cfRule type="cellIs" priority="16" operator="equal" aboveAverage="0" equalAverage="0" bottom="0" percent="0" rank="0" text="" dxfId="14">
      <formula>"MNM"</formula>
    </cfRule>
    <cfRule type="cellIs" priority="17" operator="equal" aboveAverage="0" equalAverage="0" bottom="0" percent="0" rank="0" text="" dxfId="15">
      <formula>"AMMK"</formula>
    </cfRule>
    <cfRule type="cellIs" priority="18" operator="equal" aboveAverage="0" equalAverage="0" bottom="0" percent="0" rank="0" text="" dxfId="15">
      <formula>"People's Front"</formula>
    </cfRule>
    <cfRule type="cellIs" priority="19" operator="equal" aboveAverage="0" equalAverage="0" bottom="0" percent="0" rank="0" text="" dxfId="15">
      <formula>"PF"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ontainsText" priority="20" operator="containsText" aboveAverage="0" equalAverage="0" bottom="0" percent="0" rank="0" text="AIADMK" dxfId="16">
      <formula>NOT(ISERROR(SEARCH("AIADMK",B2)))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ontainsText" priority="21" operator="containsText" aboveAverage="0" equalAverage="0" bottom="0" percent="0" rank="0" text="DMDK" dxfId="17">
      <formula>NOT(ISERROR(SEARCH("DMDK",B2)))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ontainsText" priority="22" operator="containsText" aboveAverage="0" equalAverage="0" bottom="0" percent="0" rank="0" text="MDMK" dxfId="18">
      <formula>NOT(ISERROR(SEARCH("MDMK",B2)))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beginsWith" priority="23" operator="beginsWith" aboveAverage="0" equalAverage="0" bottom="0" percent="0" rank="0" text="DMK" dxfId="19">
      <formula>LEFT(B2,LEN("DMK"))="DMK"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24" operator="equal" aboveAverage="0" equalAverage="0" bottom="0" percent="0" rank="0" text="" dxfId="20">
      <formula>"PMK"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25" operator="equal" aboveAverage="0" equalAverage="0" bottom="0" percent="0" rank="0" text="" dxfId="21">
      <formula>"VCK"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ontainsText" priority="26" operator="containsText" aboveAverage="0" equalAverage="0" bottom="0" percent="0" rank="0" text="CPI" dxfId="22">
      <formula>NOT(ISERROR(SEARCH("CPI",B2)))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27" operator="equal" aboveAverage="0" equalAverage="0" bottom="0" percent="0" rank="0" text="" dxfId="23">
      <formula>"NTK"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28" operator="equal" aboveAverage="0" equalAverage="0" bottom="0" percent="0" rank="0" text="" dxfId="24">
      <formula>"MNK"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29" operator="equal" aboveAverage="0" equalAverage="0" bottom="0" percent="0" rank="0" text="" dxfId="25">
      <formula>"Independant"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30" operator="equal" aboveAverage="0" equalAverage="0" bottom="0" percent="0" rank="0" text="" dxfId="26">
      <formula>"NOTA"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31" operator="equal" aboveAverage="0" equalAverage="0" bottom="0" percent="0" rank="0" text="" dxfId="27">
      <formula>"PFA"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32" operator="equal" aboveAverage="0" equalAverage="0" bottom="0" percent="0" rank="0" text="" dxfId="28">
      <formula>"BJP"</formula>
    </cfRule>
  </conditionalFormatting>
  <conditionalFormatting sqref="U2:AI2 V9:AE235 AT89:AT235 V3:AI8 AK2:AT8 U3:U235 AF9:AI59 AF61:AI235 AL89:AS90 AO88:AT88 AL9:AT87 AK9:AK90 AK91:AS235 AJ2:AJ235 E395:Q469 AB278:AI292 AB293:AD408 AA278:AA409 AF293:AI408 V278:V508 W410:Y469 AF410:AI469 AK278:AK409 AO293:AS294 AL294:AN408 AQ294:AT294 AO295:AT408 AP410:AS469 W278:Y408 Z278:Z469 AA410:AD469 AE293:AE469 AK236:AT277 AT278:AT293 AK410:AN469 AO409:AO469 AT409:AT469 V236:AI277 AL278:AS292 W409 AB409 AG409 AL409:AM409 AJ236:AJ469 P236:S277 R278:S469 T236:U703 P278:Q394 AK293:AN321 B470:D703 AB550:AD642 W644:Y703 AF644:AI703 AC512:AD549 AB471:AD479 AB480:AB482 W470:AJ470 AF512:AI642 AL526:AL549 AR528:AT528 W643 AG643 AA643:AB643 V512:V703 AE471:AK508 AA471:AA482 AA512:AB540 AB541:AB549 AA541:AA642 AK470:AK642 AP472:AT496 AO527:AS529 AQ529:AT529 AO530:AT642 AO643:AP643 E629:Q703 W512:Y642 Z512:Z703 AA644:AD703 AE512:AE703 AJ512:AJ703 AL470:AT471 AM528:AN549 AK550:AN555 AK486:AO486 AL487:AO496 AK644:AS703 AL472:AO485 AK497:AT497 AK513:AT513 AL514:AT524 AK525:AT525 AL526:AT526 AT527 AT643:AT703 AC480:AD508 AA483:AB508 W471:Z508 AL498:AT510 AL512:AT512 V509:AL510 V511:AT511 AP497:AP498 AP519:AP529 AP508:AP513 P470:S511 R512:S703 P512:Q628 AK566:AN606 AL470:AL474 AL495:AL498 AL513:AL515 AL527:AN534 AK535:AN537 AL538:AN642 E470:O636 B2:T235 B236:O469">
    <cfRule type="cellIs" priority="33" operator="equal" aboveAverage="0" equalAverage="0" bottom="0" percent="0" rank="0" text="" dxfId="29">
      <formula>"INC"</formula>
    </cfRule>
  </conditionalFormatting>
  <conditionalFormatting sqref="AJ2:AJ235 AO60 Y9:Y12 AJ236:AJ469 Y243:Y246 AK556:AK558 AK560 AK563:AK564 AK566 AK568:AK569 AK571 AK579:AK582 AK585:AK591 AK593 AK595:AK600 AK602:AK603 AK605 AK607 AK609:AK617 AK619:AK620 AK622 AK624:AK629 AK634:AK635 AK639 AK641:AK642 AK644 AK646:AK647 AK649:AK650 AK656 AK658:AK659 AK662:AK663 AK667:AK668 AK670:AK671 AK676:AK677 AK679:AK680 AK682 AK686 AK688:AK689 AK691 AK693 AK697:AK703 AP470:AP471 AP473 AP478 AP480 AP482 AP486:AP487 AP489:AP491 AP494:AP495 AP497:AP498 AP501:AP502 AP504:AP506 AP516 AP519:AP529 AP531:AQ531 AP533 AP535:AP536 AP539:AP540 AP542:AP544 AP546:AP547 AP549:AP552 AP554 AP556:AP558 AP565 AP569:AP570 AP572:AP573 AP578 AP580 AP582:AP584 AP586:AP593 AP595:AP597 AP599:AP600 AP602:AP605 AP608:AP610 AP614 AP618:AP624 AP628:AP631 AP633:AP638 AP641 AP643 AP645:AP646 AP648 AP650 AP655:AQ655 AP657 AP659:AP660 AP662 AP665 AP667:AP676 AP678:AP681 AP683:AP687 AP689:AP692 AP694:AP696 AP698:AP701 AP703 AK470:AK554 AP508:AP513">
    <cfRule type="cellIs" priority="34" operator="equal" aboveAverage="0" equalAverage="0" bottom="0" percent="0" rank="0" text="" dxfId="30">
      <formula>"People's Front"</formula>
    </cfRule>
  </conditionalFormatting>
  <conditionalFormatting sqref="V3:AT8 U2:AT2 U3:U235 V60:AE60 AL89:AT90 AO88:AT88 V9:AJ59 V61:AJ90 AJ60 AK9:AK90 V91:AT235 AL9:AT87 AT89:AT235 E395:Q469 AT409:AT469 V278:Y373 V374:V508 AA278:AD408 AA410:AD461 AK243:AK276 AK293:AS294 AP410:AS414 AO415:AS469 W374:Y408 W410:Y469 Z278:Z469 AA462:AI469 AE278:AI292 AE293:AE382 AE406:AE414 AF406:AI408 AE383:AI405 AF410:AI414 AE415:AI461 AJ278:AJ469 AL236:AT237 AK278:AT292 AK241:AO242 AK324:AN382 AK410:AN469 AL238:AO240 AO322:AS382 AO409:AO414 AK383:AT408 AT293:AT382 AP238:AT274 AL243:AO274 V236:AJ276 AL275:AT276 V277:AT277 W409 AA409:AB409 AG409 AK409:AM409 P236:S277 R278:S469 T236:U703 P278:Q394 AK236:AK240 AK295:AK323 AL295:AS321 AF293:AI293 AF295:AI382 AL323:AN323 B470:D703 AB550:AD612 AK524:AL526 W470:AK470 AK477:AL503 AK527:AS549 W643 AG643 AA643:AB643 V640:V701 AA526:AB540 AB541:AB549 AA541:AA612 AA613:AD642 AK471:AK554 AK556:AK559 AO550:AP554 AP555:AP558 AO643:AP643 AT527:AT703 E629:Q703 Z512:Z703 W640:Y642 W644:Y701 V702:Y703 V512:Y639 AC526:AD549 AA512:AD525 AA644:AD703 AE512:AE703 AF512:AI527 AF644:AI703 AJ512:AJ703 AM470:AT471 AK475:AO476 AK644:AS703 AM477:AT510 AL512:AT516 AM517:AT526 AM472:AO474 AO555:AO575 AP472:AT476 AO576:AS642 W471:AJ508 V509:AK510 V511:AT511 P470:S511 R512:S703 P512:Q628 AK560:AN642 AF528 AL470:AL474 AL504:AL510 AL517:AL523 AP556:AS575 AP474:AP477 AL550:AN551 AQ550:AS551 AP554:AS554 AQ553:AS553 AK552:AN555 AQ555:AS555 AP519:AP529 AP549:AP551 AP552:AS552 AF529:AI642 AL557:AN559 AP508:AP513 E470:O636 B2:T235 B236:O469">
    <cfRule type="cellIs" priority="35" operator="equal" aboveAverage="0" equalAverage="0" bottom="0" percent="0" rank="0" text="" dxfId="31">
      <formula>"MNM"</formula>
    </cfRule>
  </conditionalFormatting>
  <conditionalFormatting sqref="V3:AT8 U2:AT2 U3:U235 V60:AE60 AL89:AT90 AO88:AT88 V9:AJ59 V61:AJ90 AJ60 AK9:AK90 V91:AT235 AL9:AT87 AT89:AT235 E395:Q469 AT409:AT469 V278:Y373 V374:V508 AA278:AD408 AA410:AD461 AK243:AK276 AK293:AS294 AP410:AS414 AO415:AS469 W374:Y408 W410:Y469 Z278:Z469 AA462:AI469 AE278:AI292 AE293:AE382 AE406:AE414 AF406:AI408 AE383:AI405 AF410:AI414 AE415:AI461 AJ278:AJ469 AL236:AT237 AK278:AT292 AK241:AO242 AK324:AN382 AK410:AN469 AL238:AO240 AO322:AS382 AO409:AO414 AK383:AT408 AT293:AT382 AP238:AT274 AL243:AO274 V236:AJ276 AL275:AT276 V277:AT277 W409 AA409:AB409 AG409 AK409:AM409 P236:S277 R278:S469 T236:U703 P278:Q394 AK236:AK240 AK295:AK323 AL295:AS321 AF293:AI293 AF295:AI382 AL323:AN323 B470:D703 AB550:AD612 AK524:AL526 W470:AK470 AK477:AL503 AK527:AS549 W643 AG643 AA643:AB643 V640:V701 AA526:AB540 AB541:AB549 AA541:AA612 AA613:AD642 AK471:AK554 AK556:AK559 AO550:AP554 AP555:AP558 AO643:AP643 AT527:AT703 E629:Q703 Z512:Z703 W640:Y642 W644:Y701 V702:Y703 V512:Y639 AC526:AD549 AA512:AD525 AA644:AD703 AE512:AE703 AF512:AI527 AF644:AI703 AJ512:AJ703 AM470:AT471 AK475:AO476 AK644:AS703 AM477:AT510 AL512:AT516 AM517:AT526 AM472:AO474 AO555:AO575 AP472:AT476 AO576:AS642 W471:AJ508 V509:AK510 V511:AT511 P470:S511 R512:S703 P512:Q628 AK560:AN642 AF528 AL470:AL474 AL504:AL510 AL517:AL523 AP556:AS575 AP474:AP477 AL550:AN551 AQ550:AS551 AP554:AS554 AQ553:AS553 AK552:AN555 AQ555:AS555 AP519:AP529 AP549:AP551 AP552:AS552 AF529:AI642 AL557:AN559 AP508:AP513 E470:O636 B2:T235 B236:O469">
    <cfRule type="cellIs" priority="36" operator="equal" aboveAverage="0" equalAverage="0" bottom="0" percent="0" rank="0" text="" dxfId="32">
      <formula>"AMMK"</formula>
    </cfRule>
  </conditionalFormatting>
  <conditionalFormatting sqref="V3:AT8 U2:AT2 U3:U235 V60:AE60 AL89:AT90 AO88:AT88 V9:AJ59 V61:AJ90 AJ60 AK9:AK90 V91:AT235 AL9:AT87 AT89:AT235 E395:Q469 AT409:AT469 V278:Y373 V374:V508 AA292:AA374 AP238:AT256 AB293:AD374 AA375:AD408 AA410:AD461 AK278:AT292 AK293:AS294 AP410:AS414 AO415:AS469 W374:Y408 W410:Y469 Z278:Z469 AB292:AI292 AA462:AI469 AE293:AE382 AE406:AE414 AA278:AI291 AF406:AI408 AE383:AI405 AF410:AI414 AE415:AI461 AJ278:AJ469 AL236:AT237 AK241:AO253 AK254:AN269 AL270:AN274 AK324:AN382 AK410:AN469 AL238:AO240 AO254:AO256 AO322:AS382 AO409:AO414 AK383:AT408 AT293:AT382 AO257:AT274 V236:AJ276 AL275:AT276 V277:AT277 W409 AA409:AB409 AG409 AK409:AM409 P236:S277 R278:S469 T236:U703 P278:Q394 AK236:AK240 AK270:AK276 AK295:AK323 AL295:AS321 AF293:AI293 AF295:AI382 AL323:AN323 B470:D703 AB550:AD612 W470:AK470 AK527:AS549 W643 AG643 AA643:AB643 V640:V701 W471:AA471 AA526:AB540 AB541:AB549 AA541:AA612 AA613:AD642 AK471:AK554 AK556:AK559 AO550:AP554 AP555:AP558 AO643:AP643 AT527:AT703 E629:Q703 W640:Y642 W644:Y701 AA472:AA482 V702:Y703 V512:Y639 Z512:Z703 AB471:AD482 AA512:AD525 AC526:AD549 AA644:AD703 AE512:AE703 AF512:AI527 AF644:AI703 AJ512:AJ703 AM470:AT471 AK475:AO487 AK644:AS703 AK488:AN503 AM504:AN508 AM472:AO474 AO488:AO490 AO555:AO575 AP472:AT490 AO576:AS642 W472:Z508 AA483:AD508 AE471:AJ508 AO491:AT508 AK512:AT526 V509:AK510 AM509:AT510 V511:AT511 P470:S511 R512:S703 P512:Q628 AK560:AN642 AF528 AL470:AL474 AL504:AL510 AP556:AS575 AL550:AN551 AQ550:AS551 AP554:AS554 AQ553:AS553 AK552:AN555 AQ555:AS555 AP489:AP491 AP519:AP529 AP549:AP551 AP552:AS552 AF529:AI642 AL557:AN559 AP508:AP513 E470:O636 B2:T235 B236:O469">
    <cfRule type="cellIs" priority="37" operator="equal" aboveAverage="0" equalAverage="0" bottom="0" percent="0" rank="0" text="" dxfId="32">
      <formula>"People's Front"</formula>
    </cfRule>
  </conditionalFormatting>
  <conditionalFormatting sqref="B236:D703 AA292:AA374 V408:V469 AT409:AT469 AB293:AD374 AA375:AD408 AA410:AD461 AP410:AS414 AO415:AS469 E395:Q469 V278:Y407 W408:Y408 W410:Y469 Z278:Z469 AB292:AI292 AA462:AI469 AE406:AE414 AA278:AI291 AF406:AI408 AE293:AI405 AF410:AI414 AE415:AI461 AJ278:AJ469 AL236:AT237 AK241:AO269 AK278:AO291 AL270:AO274 AL292:AO292 AK296:AN382 AK410:AN469 AL238:AO240 AO409:AO414 AK383:AT408 AO293:AT382 AP238:AT274 AP278:AT292 V236:AJ276 AL275:AT276 V277:AT277 W409 AA409:AB409 AG409 AK409:AM409 P236:U277 R278:U469 P278:Q394 AK236:AK240 AK270:AK276 AK292:AK295 AL293:AN295 X470:AK470 AK504:AK508 AK531:AS549 W643 AG643 AA643:AB643 V642:V701 X471:AA471 AK471:AK474 AA526:AB540 AB541:AB549 AA541:AA607 AB550:AD607 AA608:AD642 AK526:AK530 AO527:AS530 AK550:AP554 AP555:AP558 AO643:AP643 E629:Q703 W644:Y701 AA472:AA482 V512:Y641 V702:Y703 W642:Y642 Z512:Z703 AB471:AD482 AA512:AD525 AC526:AD549 AA644:AD703 AE512:AE703 AF644:AI703 AJ512:AJ703 AM470:AT471 AK644:AS703 AK475:AO503 AM504:AO508 AK512:AO525 AM526:AO526 AM472:AO474 AO555:AO575 AO576:AS642 AT527:AT703 V470:W508 X472:Z508 AA483:AD508 AE471:AJ508 AP472:AT508 AP512:AT526 V509:AK510 AM509:AT510 V511:AT511 P470:U511 R512:U703 P512:Q628 AL470:AL474 AL504:AL510 AL526:AL529 AF512:AI642 AM527:AN529 AL530:AN530 AQ550:AS558 AP559:AS575 AK555:AN642 E236:O394 E470:O628 B2:AT235">
    <cfRule type="cellIs" priority="38" operator="equal" aboveAverage="0" equalAverage="0" bottom="0" percent="0" rank="0" text="" dxfId="32">
      <formula>"PF"</formula>
    </cfRule>
  </conditionalFormatting>
  <conditionalFormatting sqref="O2:O235 O236:O703">
    <cfRule type="cellIs" priority="39" operator="equal" aboveAverage="0" equalAverage="0" bottom="0" percent="0" rank="0" text="" dxfId="33">
      <formula>"Amma"</formula>
    </cfRule>
  </conditionalFormatting>
  <conditionalFormatting sqref="O2:O235 O236:O703">
    <cfRule type="cellIs" priority="40" operator="equal" aboveAverage="0" equalAverage="0" bottom="0" percent="0" rank="0" text="" dxfId="33">
      <formula>"MGR"</formula>
    </cfRule>
  </conditionalFormatting>
  <conditionalFormatting sqref="O2:O235 O236:O703">
    <cfRule type="cellIs" priority="41" operator="equal" aboveAverage="0" equalAverage="0" bottom="0" percent="0" rank="0" text="" dxfId="34">
      <formula>"Kalignar"</formula>
    </cfRule>
  </conditionalFormatting>
  <conditionalFormatting sqref="O2:O235 O236:O703">
    <cfRule type="cellIs" priority="42" operator="equal" aboveAverage="0" equalAverage="0" bottom="0" percent="0" rank="0" text="" dxfId="34">
      <formula>"Anna"</formula>
    </cfRule>
    <cfRule type="cellIs" priority="43" operator="equal" aboveAverage="0" equalAverage="0" bottom="0" percent="0" rank="0" text="" dxfId="17">
      <formula>"Captain"</formula>
    </cfRule>
    <cfRule type="cellIs" priority="44" operator="equal" aboveAverage="0" equalAverage="0" bottom="0" percent="0" rank="0" text="" dxfId="29">
      <formula>"Kamarajar"</formula>
    </cfRule>
  </conditionalFormatting>
  <conditionalFormatting sqref="W239 X473">
    <cfRule type="containsText" priority="45" operator="containsText" aboveAverage="0" equalAverage="0" bottom="0" percent="0" rank="0" text="" dxfId="35">
      <formula>NOT(ISERROR(SEARCH("",W239)))</formula>
    </cfRule>
  </conditionalFormatting>
  <conditionalFormatting sqref="AA304:AE307 AB302:AE303 AA310:AE311 AB308:AE309 AA333:AE333 AB334:AE338 AA365:AE365 AA370:AE373 AB374:AE374 AA378:AE378 AA381:AE381 AB379:AE380 B236:AT236 B237:O241 AB296:AE296 AA301:AE301 AA313:AE314 AB312:AE312 AA318:AE318 AA321:AE322 AB319:AE320 AA339:AE339 AA352:AE353 AA386:AE387 AB388:AE389 AA405:AE406 AC408:AE410 AA419:AE420 AB376:AE377 AA384:AE384 AA390:AE390 AA399:AE399 AA401:AE403 AA415:AE417 AB418:AE418 AB421:AE423 AA424:AE424 AB429:AI436 AA297:AE299 AB331:AE332 AB346:AE351 AB382:AE383 AB395:AE398 AB400:AE400 AB407:AE407 AA428:AI428 AA437:AI437 AB438:AI440 AA441:AI443 AB300:AE300 AB315:AE315 AA316:AE316 AB317:AE317 AB323:AE329 AA330:AE330 AB340:AE344 AA345:AE345 AB354:AE364 AB366:AE369 AA375:AE375 AB385:AE385 AB391:AE393 AA394:AE394 AB404:AE404 AB411:AE414 AB425:AE427 AA278:AE295 AB444:AI446 AA449:AI450 AA458:AI459 AB462:AI463 AA447:AI447 AB448:AI448 AB451:AI455 AA456:AI456 AA461:AI461 AB457:AI457 AB460:AI460 AA464:AI469 P237:AT277 P278:Z469 AA408:AB408 AA410:AB410 AB409 AF278:AI427 AJ278:AT469 AA462 V574:Y586 V589:Y605 V608:Y611 V613:Y620 V622:Y622 V627:Y627 V629:Y629 V638:Y638 V641:Y644 V646:Y653 V655:Y655 W656:Y670 V678:Y678 V685:Y694 V696:Y696 AB550:AD586 AA606:AD606 AB607:AD611 AA526:AA532 AA534:AA539 V559:V573 V623:V625 W623:Y626 W630:Y637 V630:V635 V656:V669 V680:Y683 V697:V699 W697:Y703 AA541:AA558 AA607 AA640 AB547:AD548 AC546:AD546 AB544:AD545 AC549:AD549 V470:AT470 W606:Y607 W512:Y573 W587:Y588 V671:Y676 W639:Y640 W654:Y654 W677:Y677 W612:Y612 W621:Y621 W628:Y628 W645:Y645 W679:Y679 W684:Y684 W695:Y695 V472:Y481 Z512:Z703 AB696:AD697 AB640:AD641 AC542:AD543 AC534:AD534 AC536:AD537 AA587:AD588 AA635:AD637 AB531:AD532 AB538:AD539 AB541:AD541 AA654:AD654 AC530:AD530 AA612:AD612 AA626:AD626 AB627:AD627 AA639:AD639 AA512:AD525 AB526:AD529 AA533:AD533 AB535:AD535 AA540:AD540 AB589:AD605 AB613:AD620 AA621:AD621 AB622:AD625 AA628:AD628 AB629:AD634 AB638:AD638 AA642:AD645 AB646:AD653 AB655:AD669 AA670:AD677 AB678:AD678 AA679:AD679 AB680:AD683 AA684:AD684 AB685:AD694 AA695:AD695 AA698:AD703 V471:AD471 AE512:AT703 W482:Y508 Z472:AD508 AE471:AT508 W509:AT511 B470:U475 AA696 B380:O469 B379:F379 H379:O379 B614:U703 B613:F613 H613:U613 B264:O378 B242:D263 F242:O263 B498:U612 B476:D497 F476:U497">
    <cfRule type="cellIs" priority="46" operator="equal" aboveAverage="0" equalAverage="0" bottom="0" percent="0" rank="0" text="" dxfId="36">
      <formula>"MMA"</formula>
    </cfRule>
  </conditionalFormatting>
  <conditionalFormatting sqref="AA304:AE307 AB302:AE303 AA310:AE311 AB308:AE309 AA333:AE333 AB334:AE338 AA365:AE365 AA370:AE373 AB374:AE374 AA378:AE378 AA381:AE381 AB379:AE380 B236:AT236 B237:O241 AB296:AE296 AA301:AE301 AA313:AE314 AB312:AE312 AA318:AE318 AA321:AE322 AB319:AE320 AA339:AE339 AA352:AE353 AA386:AE387 AB388:AE389 AA405:AE406 AC408:AE410 AA419:AE420 AB376:AE377 AA384:AE384 AA390:AE390 AA399:AE399 AA401:AE403 AA415:AE417 AB418:AE418 AB421:AE423 AA424:AE424 AB429:AI436 AA297:AE299 AB331:AE332 AB346:AE351 AB382:AE383 AB395:AE398 AB400:AE400 AB407:AE407 AA428:AI428 AA437:AI437 AB438:AI440 AA441:AI443 AB300:AE300 AB315:AE315 AA316:AE316 AB317:AE317 AB323:AE329 AA330:AE330 AB340:AE344 AA345:AE345 AB354:AE364 AB366:AE369 AA375:AE375 AB385:AE385 AB391:AE393 AA394:AE394 AB404:AE404 AB411:AE414 AB425:AE427 AA278:AE295 AB444:AI446 AA449:AI450 AA458:AI459 AB462:AI463 AA447:AI447 AB448:AI448 AB451:AI455 AA456:AI456 AA461:AI461 AB457:AI457 AB460:AI460 AA464:AI469 P237:AT277 P278:Z469 AA408:AB408 AA410:AB410 AB409 AF278:AI427 AJ278:AT469 AA462 V574:Y586 V589:Y605 V608:Y611 V613:Y620 V622:Y622 V627:Y627 V629:Y629 V638:Y638 V641:Y644 V646:Y653 V655:Y655 W656:Y670 V678:Y678 V685:Y694 V696:Y696 AB550:AD586 AA606:AD606 AB607:AD611 AA526:AA532 AA534:AA539 V559:V573 V623:V625 W623:Y626 W630:Y637 V630:V635 V656:V669 V680:Y683 V697:V699 W697:Y703 AA541:AA558 AA607 AA640 AB547:AD548 AC546:AD546 AB544:AD545 AC549:AD549 V470:AT470 W606:Y607 W512:Y573 W587:Y588 V671:Y676 W639:Y640 W654:Y654 W677:Y677 W612:Y612 W621:Y621 W628:Y628 W645:Y645 W679:Y679 W684:Y684 W695:Y695 V472:Y481 Z512:Z703 AB696:AD697 AB640:AD641 AC542:AD543 AC534:AD534 AC536:AD537 AA587:AD588 AA635:AD637 AB531:AD532 AB538:AD539 AB541:AD541 AA654:AD654 AC530:AD530 AA612:AD612 AA626:AD626 AB627:AD627 AA639:AD639 AA512:AD525 AB526:AD529 AA533:AD533 AB535:AD535 AA540:AD540 AB589:AD605 AB613:AD620 AA621:AD621 AB622:AD625 AA628:AD628 AB629:AD634 AB638:AD638 AA642:AD645 AB646:AD653 AB655:AD669 AA670:AD677 AB678:AD678 AA679:AD679 AB680:AD683 AA684:AD684 AB685:AD694 AA695:AD695 AA698:AD703 V471:AD471 AE512:AT703 W482:Y508 Z472:AD508 AE471:AT508 W509:AT511 B470:U475 AA696 B380:O469 B379:F379 H379:O379 B614:U703 B613:F613 H613:U613 B264:O378 B242:D263 F242:O263 B498:U612 B476:D497 F476:U497">
    <cfRule type="cellIs" priority="47" operator="equal" aboveAverage="0" equalAverage="0" bottom="0" percent="0" rank="0" text="" dxfId="37">
      <formula>"NDA"</formula>
    </cfRule>
  </conditionalFormatting>
  <conditionalFormatting sqref="B236:AT241 V574:Y586 V589:Y605 V608:Y611 V613:Y620 V627:Y627 V638:Y638 V641:Y644 V646:Y653 W656:Y670 V678:Y678 V685:Y694 V559:V573 V622:Y625 W623:Y626 W630:Y637 V629:Y635 V655:Y669 V680:Y683 V696:Y699 W697:Y703 AA541:AA558 V470:AT470 W606:Y607 W512:Y573 W587:Y588 V671:Y676 W639:Y640 W654:Y654 W677:Y677 W612:Y612 W621:Y621 W628:Y628 W645:Y645 W679:Y679 W684:Y684 W695:Y695 V472:Y481 Z512:Z703 AB541:AD586 AA512:AD540 AA574:AD703 V471:AD471 AE512:AT703 W482:Y508 Z472:AD508 AE471:AT508 W509:AT511 B470:U475 AA564:AA573 AA559:AD563 B380:AT469 B379:F379 H379:AT379 B614:U703 B613:F613 H613:U613 B264:AT378 B242:D263 F242:AT263 B498:U612 B476:D497 F476:U497">
    <cfRule type="cellIs" priority="48" operator="equal" aboveAverage="0" equalAverage="0" bottom="0" percent="0" rank="0" text="" dxfId="38">
      <formula>"MNK"</formula>
    </cfRule>
  </conditionalFormatting>
  <conditionalFormatting sqref="B470:AT475 B614:AT703 B613:F613 H613:AT613 B498:AT612 B476:D497 F476:AT497">
    <cfRule type="cellIs" priority="49" operator="equal" aboveAverage="0" equalAverage="0" bottom="0" percent="0" rank="0" text="" dxfId="39">
      <formula>"PB"</formula>
    </cfRule>
  </conditionalFormatting>
  <conditionalFormatting sqref="B470:AT475 B614:AT703 B613:F613 H613:AT613 B498:AT612 B476:D497 F476:AT497">
    <cfRule type="cellIs" priority="50" operator="equal" aboveAverage="0" equalAverage="0" bottom="0" percent="0" rank="0" text="" dxfId="39">
      <formula>"IJK"</formula>
    </cfRule>
  </conditionalFormatting>
  <conditionalFormatting sqref="B470:AT475 B614:AT703 B613:F613 H613:AT613 B498:AT612 B476:D497 F476:AT497">
    <cfRule type="cellIs" priority="51" operator="equal" aboveAverage="0" equalAverage="0" bottom="0" percent="0" rank="0" text="" dxfId="40">
      <formula>"BSP"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2026-02-10T15:12:46Z</dcterms:created>
  <dc:creator/>
  <dc:description/>
  <dc:language>en-GB</dc:language>
  <cp:lastModifiedBy/>
  <dcterms:modified xsi:type="dcterms:W3CDTF">2026-03-26T18:23:07Z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