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<sst xmlns="http://schemas.openxmlformats.org/spreadsheetml/2006/main" count="6597" uniqueCount="1424">
  <si>
    <t xml:space="preserve">number</t>
  </si>
  <si>
    <t xml:space="preserve">constituency</t>
  </si>
  <si>
    <t xml:space="preserve">district</t>
  </si>
  <si>
    <t xml:space="preserve">region</t>
  </si>
  <si>
    <t xml:space="preserve">subregion</t>
  </si>
  <si>
    <t xml:space="preserve">urbanism</t>
  </si>
  <si>
    <t xml:space="preserve">reserved</t>
  </si>
  <si>
    <t xml:space="preserve">special</t>
  </si>
  <si>
    <t xml:space="preserve">leader</t>
  </si>
  <si>
    <t xml:space="preserve">satrapy</t>
  </si>
  <si>
    <t xml:space="preserve">lsatrapy</t>
  </si>
  <si>
    <t xml:space="preserve">kottai</t>
  </si>
  <si>
    <t xml:space="preserve">lkottai</t>
  </si>
  <si>
    <t xml:space="preserve">heritage</t>
  </si>
  <si>
    <t xml:space="preserve">electorate</t>
  </si>
  <si>
    <t xml:space="preserve">turnout</t>
  </si>
  <si>
    <t xml:space="preserve">turnoutp</t>
  </si>
  <si>
    <t xml:space="preserve">margin</t>
  </si>
  <si>
    <t xml:space="preserve">marginp</t>
  </si>
  <si>
    <t xml:space="preserve">ai</t>
  </si>
  <si>
    <t xml:space="preserve">alliance_one</t>
  </si>
  <si>
    <t xml:space="preserve">party_one</t>
  </si>
  <si>
    <t xml:space="preserve">name_one</t>
  </si>
  <si>
    <t xml:space="preserve">vote_one</t>
  </si>
  <si>
    <t xml:space="preserve">vshare_one</t>
  </si>
  <si>
    <t xml:space="preserve">alliance_two</t>
  </si>
  <si>
    <t xml:space="preserve">party_two</t>
  </si>
  <si>
    <t xml:space="preserve">name_two</t>
  </si>
  <si>
    <t xml:space="preserve">vote_two</t>
  </si>
  <si>
    <t xml:space="preserve">vshare_two</t>
  </si>
  <si>
    <t xml:space="preserve">alliance_three</t>
  </si>
  <si>
    <t xml:space="preserve">party_three</t>
  </si>
  <si>
    <t xml:space="preserve">name_three</t>
  </si>
  <si>
    <t xml:space="preserve">vote_three</t>
  </si>
  <si>
    <t xml:space="preserve">vshare_three</t>
  </si>
  <si>
    <t xml:space="preserve">alliance_four</t>
  </si>
  <si>
    <t xml:space="preserve">party_four</t>
  </si>
  <si>
    <t xml:space="preserve">name_four</t>
  </si>
  <si>
    <t xml:space="preserve">vote_four</t>
  </si>
  <si>
    <t xml:space="preserve">vshare_four</t>
  </si>
  <si>
    <t xml:space="preserve">alliance_five</t>
  </si>
  <si>
    <t xml:space="preserve">party_five</t>
  </si>
  <si>
    <t xml:space="preserve">name_five</t>
  </si>
  <si>
    <t xml:space="preserve">vote_five</t>
  </si>
  <si>
    <t xml:space="preserve">vshare_five</t>
  </si>
  <si>
    <t xml:space="preserve">Gummidipoondi</t>
  </si>
  <si>
    <t xml:space="preserve">Tiruvallur</t>
  </si>
  <si>
    <t xml:space="preserve">North</t>
  </si>
  <si>
    <t xml:space="preserve">Peri Chennai</t>
  </si>
  <si>
    <t xml:space="preserve">Rural</t>
  </si>
  <si>
    <t xml:space="preserve">No</t>
  </si>
  <si>
    <t xml:space="preserve">DMK+</t>
  </si>
  <si>
    <t xml:space="preserve">DMK</t>
  </si>
  <si>
    <t xml:space="preserve">TJ Govindrajan</t>
  </si>
  <si>
    <t xml:space="preserve">AIADMK+</t>
  </si>
  <si>
    <t xml:space="preserve">PMK</t>
  </si>
  <si>
    <t xml:space="preserve">M Prakash</t>
  </si>
  <si>
    <t xml:space="preserve">NTK</t>
  </si>
  <si>
    <t xml:space="preserve">Usha</t>
  </si>
  <si>
    <t xml:space="preserve">PF</t>
  </si>
  <si>
    <t xml:space="preserve">DMDK</t>
  </si>
  <si>
    <t xml:space="preserve">KM Dilliy</t>
  </si>
  <si>
    <t xml:space="preserve">NOTA</t>
  </si>
  <si>
    <t xml:space="preserve">Ponneri</t>
  </si>
  <si>
    <t xml:space="preserve">SC</t>
  </si>
  <si>
    <t xml:space="preserve">INC</t>
  </si>
  <si>
    <t xml:space="preserve">Durai Chandrasekar</t>
  </si>
  <si>
    <t xml:space="preserve">AIADMK</t>
  </si>
  <si>
    <t xml:space="preserve">P Balaraman</t>
  </si>
  <si>
    <t xml:space="preserve">A Maheshwari</t>
  </si>
  <si>
    <t xml:space="preserve">PFA</t>
  </si>
  <si>
    <t xml:space="preserve">MNM</t>
  </si>
  <si>
    <t xml:space="preserve">D Desingurajan</t>
  </si>
  <si>
    <t xml:space="preserve">AMMK</t>
  </si>
  <si>
    <t xml:space="preserve">Pon Raja</t>
  </si>
  <si>
    <t xml:space="preserve">Tiruttani</t>
  </si>
  <si>
    <t xml:space="preserve">Town</t>
  </si>
  <si>
    <t xml:space="preserve">S Chandran</t>
  </si>
  <si>
    <t xml:space="preserve">G Hari</t>
  </si>
  <si>
    <t xml:space="preserve">L Akila</t>
  </si>
  <si>
    <t xml:space="preserve">D Krishnamoorthi</t>
  </si>
  <si>
    <t xml:space="preserve">VG Raajendran</t>
  </si>
  <si>
    <t xml:space="preserve">Be Vee Ramanah</t>
  </si>
  <si>
    <t xml:space="preserve">P Pasupathy</t>
  </si>
  <si>
    <t xml:space="preserve">BSP</t>
  </si>
  <si>
    <t xml:space="preserve">D Doss</t>
  </si>
  <si>
    <t xml:space="preserve">Poonamallee</t>
  </si>
  <si>
    <t xml:space="preserve">City</t>
  </si>
  <si>
    <t xml:space="preserve">A Krishnaswamy</t>
  </si>
  <si>
    <t xml:space="preserve">SX Rajamannar</t>
  </si>
  <si>
    <t xml:space="preserve">A Manimekalai</t>
  </si>
  <si>
    <t xml:space="preserve">J Revathi Manimegalai</t>
  </si>
  <si>
    <t xml:space="preserve">TA Elumalai</t>
  </si>
  <si>
    <t xml:space="preserve">Avadi</t>
  </si>
  <si>
    <t xml:space="preserve">SM Nasar</t>
  </si>
  <si>
    <t xml:space="preserve">K Pandiarajan</t>
  </si>
  <si>
    <t xml:space="preserve">G Vijayalakshmi</t>
  </si>
  <si>
    <t xml:space="preserve">V Udhayakumar</t>
  </si>
  <si>
    <t xml:space="preserve">Maduravoyal</t>
  </si>
  <si>
    <t xml:space="preserve">Chennai</t>
  </si>
  <si>
    <t xml:space="preserve">K Ganapathy</t>
  </si>
  <si>
    <t xml:space="preserve">P Benjamin</t>
  </si>
  <si>
    <t xml:space="preserve">S Padma Priya</t>
  </si>
  <si>
    <t xml:space="preserve">G Ganeshkumar</t>
  </si>
  <si>
    <t xml:space="preserve">E Lucky Murugan</t>
  </si>
  <si>
    <t xml:space="preserve">Ambattur</t>
  </si>
  <si>
    <t xml:space="preserve">Joseph Samuel</t>
  </si>
  <si>
    <t xml:space="preserve">V Alexander</t>
  </si>
  <si>
    <t xml:space="preserve">H Mahendran</t>
  </si>
  <si>
    <t xml:space="preserve">S Vaitheswaran</t>
  </si>
  <si>
    <t xml:space="preserve">S Vedachalam</t>
  </si>
  <si>
    <t xml:space="preserve">Madavaram</t>
  </si>
  <si>
    <t xml:space="preserve">S Sudharsanam</t>
  </si>
  <si>
    <t xml:space="preserve">V Moorthy</t>
  </si>
  <si>
    <t xml:space="preserve">R Elumalai</t>
  </si>
  <si>
    <t xml:space="preserve">Ramesh</t>
  </si>
  <si>
    <t xml:space="preserve">D Dhakshnamoorthy</t>
  </si>
  <si>
    <t xml:space="preserve">Tiruvottiyur</t>
  </si>
  <si>
    <t xml:space="preserve">KP Shankar</t>
  </si>
  <si>
    <t xml:space="preserve">K Kuppan</t>
  </si>
  <si>
    <t xml:space="preserve">Seeman</t>
  </si>
  <si>
    <t xml:space="preserve">D Mohan</t>
  </si>
  <si>
    <t xml:space="preserve">M Soundara Pandian</t>
  </si>
  <si>
    <t xml:space="preserve">Radhakrishnan Nagar</t>
  </si>
  <si>
    <t xml:space="preserve">Metro</t>
  </si>
  <si>
    <t xml:space="preserve">Amma</t>
  </si>
  <si>
    <t xml:space="preserve">J John Ebenezer</t>
  </si>
  <si>
    <t xml:space="preserve">RS Raajesh</t>
  </si>
  <si>
    <t xml:space="preserve">K Gowrishankar</t>
  </si>
  <si>
    <t xml:space="preserve">Fazil A</t>
  </si>
  <si>
    <t xml:space="preserve">P Kalidas</t>
  </si>
  <si>
    <t xml:space="preserve">Perambur</t>
  </si>
  <si>
    <t xml:space="preserve">RD Sekar</t>
  </si>
  <si>
    <t xml:space="preserve">NR Dhanapalan</t>
  </si>
  <si>
    <t xml:space="preserve">S Merlin Suganthi</t>
  </si>
  <si>
    <t xml:space="preserve">A Ponnusamy</t>
  </si>
  <si>
    <t xml:space="preserve">E Lakshmi Narayanan</t>
  </si>
  <si>
    <t xml:space="preserve">Kolathur</t>
  </si>
  <si>
    <t xml:space="preserve">MK Stalin</t>
  </si>
  <si>
    <t xml:space="preserve">Aadi Rajaram</t>
  </si>
  <si>
    <t xml:space="preserve">A Jagadish Kumar</t>
  </si>
  <si>
    <t xml:space="preserve">Camilus Selva</t>
  </si>
  <si>
    <t xml:space="preserve">Villivakkam</t>
  </si>
  <si>
    <t xml:space="preserve">Central</t>
  </si>
  <si>
    <t xml:space="preserve">A Vetriazhagan</t>
  </si>
  <si>
    <t xml:space="preserve">JCD Prabhakar</t>
  </si>
  <si>
    <t xml:space="preserve">Sriharan</t>
  </si>
  <si>
    <t xml:space="preserve">R Sridar</t>
  </si>
  <si>
    <t xml:space="preserve">Thiru ViKa Nagar</t>
  </si>
  <si>
    <t xml:space="preserve">P Sivakumar</t>
  </si>
  <si>
    <t xml:space="preserve">PL Kalyani</t>
  </si>
  <si>
    <t xml:space="preserve">R Illavanji</t>
  </si>
  <si>
    <t xml:space="preserve">S Obath</t>
  </si>
  <si>
    <t xml:space="preserve">MP Sekar</t>
  </si>
  <si>
    <t xml:space="preserve">Egmore</t>
  </si>
  <si>
    <t xml:space="preserve">I Paranthamen</t>
  </si>
  <si>
    <t xml:space="preserve">B John Pandian</t>
  </si>
  <si>
    <t xml:space="preserve">U Priyadarsini</t>
  </si>
  <si>
    <t xml:space="preserve">P Geetha Lakshmi</t>
  </si>
  <si>
    <t xml:space="preserve">T Prabhu</t>
  </si>
  <si>
    <t xml:space="preserve">Royapuram</t>
  </si>
  <si>
    <t xml:space="preserve">AIADMKDMK</t>
  </si>
  <si>
    <t xml:space="preserve">Idreams Murthy</t>
  </si>
  <si>
    <t xml:space="preserve">D Jayakumar</t>
  </si>
  <si>
    <t xml:space="preserve">S Gunasekaran</t>
  </si>
  <si>
    <t xml:space="preserve">S Kamali</t>
  </si>
  <si>
    <t xml:space="preserve">C Ramajayam</t>
  </si>
  <si>
    <t xml:space="preserve">Harbour</t>
  </si>
  <si>
    <t xml:space="preserve">Kalignar</t>
  </si>
  <si>
    <t xml:space="preserve">Sekar Babu</t>
  </si>
  <si>
    <t xml:space="preserve">BJP</t>
  </si>
  <si>
    <t xml:space="preserve">Vinoj P Selvam</t>
  </si>
  <si>
    <t xml:space="preserve">A Ramesh</t>
  </si>
  <si>
    <t xml:space="preserve">A Ahamed Fazil</t>
  </si>
  <si>
    <t xml:space="preserve">Chepauk Tiruvallikeni</t>
  </si>
  <si>
    <t xml:space="preserve">Udhayanidhi Stalin</t>
  </si>
  <si>
    <t xml:space="preserve">Kassali</t>
  </si>
  <si>
    <t xml:space="preserve">Jayasimmaraja SM</t>
  </si>
  <si>
    <t xml:space="preserve">IJK</t>
  </si>
  <si>
    <t xml:space="preserve">Mohammed Idris K</t>
  </si>
  <si>
    <t xml:space="preserve">Thousand Lights</t>
  </si>
  <si>
    <t xml:space="preserve">Ezhilan Naganathan</t>
  </si>
  <si>
    <t xml:space="preserve">Khushbu</t>
  </si>
  <si>
    <t xml:space="preserve">KM Shariff</t>
  </si>
  <si>
    <t xml:space="preserve">AJ Sherine</t>
  </si>
  <si>
    <t xml:space="preserve">Anna Nagar</t>
  </si>
  <si>
    <t xml:space="preserve">MK Mohan</t>
  </si>
  <si>
    <t xml:space="preserve">S Gokula Indira</t>
  </si>
  <si>
    <t xml:space="preserve">V Ponraj</t>
  </si>
  <si>
    <t xml:space="preserve">S Shankar</t>
  </si>
  <si>
    <t xml:space="preserve">Virugampakkam</t>
  </si>
  <si>
    <t xml:space="preserve">South</t>
  </si>
  <si>
    <t xml:space="preserve">AMV Prabhakara Raja</t>
  </si>
  <si>
    <t xml:space="preserve">VN Ravi</t>
  </si>
  <si>
    <t xml:space="preserve">Senegan</t>
  </si>
  <si>
    <t xml:space="preserve">TS Rajendran</t>
  </si>
  <si>
    <t xml:space="preserve">Independant</t>
  </si>
  <si>
    <t xml:space="preserve">Star M Gunasekaran</t>
  </si>
  <si>
    <t xml:space="preserve">Saidapet</t>
  </si>
  <si>
    <t xml:space="preserve">Ma Subramanian</t>
  </si>
  <si>
    <t xml:space="preserve">Saidai Duraisamy</t>
  </si>
  <si>
    <t xml:space="preserve">Snegapriya</t>
  </si>
  <si>
    <t xml:space="preserve">B Sureshkumar</t>
  </si>
  <si>
    <t xml:space="preserve">G Senthamizhan</t>
  </si>
  <si>
    <t xml:space="preserve">Thiyagaraya Nagar</t>
  </si>
  <si>
    <t xml:space="preserve">J Karunanithi</t>
  </si>
  <si>
    <t xml:space="preserve">B Sathiyanarayanan</t>
  </si>
  <si>
    <t xml:space="preserve">Pala Karuppiah</t>
  </si>
  <si>
    <t xml:space="preserve">S Sivasankari</t>
  </si>
  <si>
    <t xml:space="preserve">Mylapore</t>
  </si>
  <si>
    <t xml:space="preserve">Dha Velu</t>
  </si>
  <si>
    <t xml:space="preserve">R Nataraj</t>
  </si>
  <si>
    <t xml:space="preserve">Sripriya</t>
  </si>
  <si>
    <t xml:space="preserve">K Mahalakshmi</t>
  </si>
  <si>
    <t xml:space="preserve">Velachery</t>
  </si>
  <si>
    <t xml:space="preserve">JMH Aassan Maulaana</t>
  </si>
  <si>
    <t xml:space="preserve">MK Ashok</t>
  </si>
  <si>
    <t xml:space="preserve">Santosh Babu</t>
  </si>
  <si>
    <t xml:space="preserve">M Keerthana</t>
  </si>
  <si>
    <t xml:space="preserve">M Chandrabose</t>
  </si>
  <si>
    <t xml:space="preserve">Sholinganallur</t>
  </si>
  <si>
    <t xml:space="preserve">S Aravind Ramesh</t>
  </si>
  <si>
    <t xml:space="preserve">KP Kandan</t>
  </si>
  <si>
    <t xml:space="preserve">S Michael</t>
  </si>
  <si>
    <t xml:space="preserve">Rajiv Kumar</t>
  </si>
  <si>
    <t xml:space="preserve">R Murugan</t>
  </si>
  <si>
    <t xml:space="preserve">Alandur</t>
  </si>
  <si>
    <t xml:space="preserve">MGR</t>
  </si>
  <si>
    <t xml:space="preserve">TM Anbarasan</t>
  </si>
  <si>
    <t xml:space="preserve">B Valarmathi</t>
  </si>
  <si>
    <t xml:space="preserve">Sarathbabu</t>
  </si>
  <si>
    <t xml:space="preserve">R Karthikeyan</t>
  </si>
  <si>
    <t xml:space="preserve">Sriperumbudur</t>
  </si>
  <si>
    <t xml:space="preserve">Kanchipuram</t>
  </si>
  <si>
    <t xml:space="preserve">K Selvaperunthagai</t>
  </si>
  <si>
    <t xml:space="preserve">Palani</t>
  </si>
  <si>
    <t xml:space="preserve">Pushparaj</t>
  </si>
  <si>
    <t xml:space="preserve">Thanigaivel</t>
  </si>
  <si>
    <t xml:space="preserve">Vairamuthu</t>
  </si>
  <si>
    <t xml:space="preserve">Pallavaram</t>
  </si>
  <si>
    <t xml:space="preserve">Chengalpattu</t>
  </si>
  <si>
    <t xml:space="preserve">I Karunanithi</t>
  </si>
  <si>
    <t xml:space="preserve">S Rajendran</t>
  </si>
  <si>
    <t xml:space="preserve">Senthil Arumugam</t>
  </si>
  <si>
    <t xml:space="preserve">Minishree Kanagaraj</t>
  </si>
  <si>
    <t xml:space="preserve">Tambaram</t>
  </si>
  <si>
    <t xml:space="preserve">SR Raja</t>
  </si>
  <si>
    <t xml:space="preserve">TKM Chinnayya</t>
  </si>
  <si>
    <t xml:space="preserve">Elango Silva</t>
  </si>
  <si>
    <t xml:space="preserve">T Sureshkumar</t>
  </si>
  <si>
    <t xml:space="preserve">M Karikalan</t>
  </si>
  <si>
    <t xml:space="preserve">M Varalakshmi</t>
  </si>
  <si>
    <t xml:space="preserve">Gajendran M</t>
  </si>
  <si>
    <t xml:space="preserve">Sanjeevinathan</t>
  </si>
  <si>
    <t xml:space="preserve">Muthamilselvan</t>
  </si>
  <si>
    <t xml:space="preserve">Thiruporur</t>
  </si>
  <si>
    <t xml:space="preserve">VCK</t>
  </si>
  <si>
    <t xml:space="preserve">SS Balaji</t>
  </si>
  <si>
    <t xml:space="preserve">K Arumugam</t>
  </si>
  <si>
    <t xml:space="preserve">S Mohana Sundari</t>
  </si>
  <si>
    <t xml:space="preserve">Lavanya N</t>
  </si>
  <si>
    <t xml:space="preserve">Kothandapani M</t>
  </si>
  <si>
    <t xml:space="preserve">Cheyyur</t>
  </si>
  <si>
    <t xml:space="preserve">M Babu</t>
  </si>
  <si>
    <t xml:space="preserve">S Kanitha</t>
  </si>
  <si>
    <t xml:space="preserve">R Rajesh</t>
  </si>
  <si>
    <t xml:space="preserve">A Siva</t>
  </si>
  <si>
    <t xml:space="preserve">P Anbu Tamilsekaran</t>
  </si>
  <si>
    <t xml:space="preserve">Maduranthakam</t>
  </si>
  <si>
    <t xml:space="preserve">K Maragatham</t>
  </si>
  <si>
    <t xml:space="preserve">MDMK</t>
  </si>
  <si>
    <t xml:space="preserve">CE Satya</t>
  </si>
  <si>
    <t xml:space="preserve">P Sumitha</t>
  </si>
  <si>
    <t xml:space="preserve">N Moorthi</t>
  </si>
  <si>
    <t xml:space="preserve">K Dinesh</t>
  </si>
  <si>
    <t xml:space="preserve">Uthiramerur</t>
  </si>
  <si>
    <t xml:space="preserve">K Sundar</t>
  </si>
  <si>
    <t xml:space="preserve">V Somasundari</t>
  </si>
  <si>
    <t xml:space="preserve">S Kamatchi</t>
  </si>
  <si>
    <t xml:space="preserve">RV Ranjithkumar</t>
  </si>
  <si>
    <t xml:space="preserve">A Susaiappar</t>
  </si>
  <si>
    <t xml:space="preserve">Anna</t>
  </si>
  <si>
    <t xml:space="preserve">CVMP Ezhilarasan</t>
  </si>
  <si>
    <t xml:space="preserve">P Magesh Kumar</t>
  </si>
  <si>
    <t xml:space="preserve">S Saldin</t>
  </si>
  <si>
    <t xml:space="preserve">B Gopinath</t>
  </si>
  <si>
    <t xml:space="preserve">Arakkonam</t>
  </si>
  <si>
    <t xml:space="preserve">Ranipet</t>
  </si>
  <si>
    <t xml:space="preserve">North Arcot</t>
  </si>
  <si>
    <t xml:space="preserve">S Ravi</t>
  </si>
  <si>
    <t xml:space="preserve">J Gowthama Sannah</t>
  </si>
  <si>
    <t xml:space="preserve">E. Abirami</t>
  </si>
  <si>
    <t xml:space="preserve">KC Manivannan</t>
  </si>
  <si>
    <t xml:space="preserve">S Baskaran</t>
  </si>
  <si>
    <t xml:space="preserve">Sholingur</t>
  </si>
  <si>
    <t xml:space="preserve">AM Munirathinam</t>
  </si>
  <si>
    <t xml:space="preserve">AM Krishnan</t>
  </si>
  <si>
    <t xml:space="preserve">NG Parthiban</t>
  </si>
  <si>
    <t xml:space="preserve">YR Pavendhan</t>
  </si>
  <si>
    <t xml:space="preserve">R Jawahar</t>
  </si>
  <si>
    <t xml:space="preserve">R Gandhi</t>
  </si>
  <si>
    <t xml:space="preserve">SM Sugumar</t>
  </si>
  <si>
    <t xml:space="preserve">V Shylaja</t>
  </si>
  <si>
    <t xml:space="preserve">M Atham Basha</t>
  </si>
  <si>
    <t xml:space="preserve">Arcot</t>
  </si>
  <si>
    <t xml:space="preserve">JL Eswarappan</t>
  </si>
  <si>
    <t xml:space="preserve">KL Elavazhagan</t>
  </si>
  <si>
    <t xml:space="preserve">R Kathiravan</t>
  </si>
  <si>
    <t xml:space="preserve">AR Mohamed Raffi</t>
  </si>
  <si>
    <t xml:space="preserve">Katpadi</t>
  </si>
  <si>
    <t xml:space="preserve">Vellore</t>
  </si>
  <si>
    <t xml:space="preserve">Durai Murugan</t>
  </si>
  <si>
    <t xml:space="preserve">V Ramu</t>
  </si>
  <si>
    <t xml:space="preserve">S Tirukkumaran</t>
  </si>
  <si>
    <t xml:space="preserve">AS Raja</t>
  </si>
  <si>
    <t xml:space="preserve">Root</t>
  </si>
  <si>
    <t xml:space="preserve">INCDMK</t>
  </si>
  <si>
    <t xml:space="preserve">P Karthikeyan</t>
  </si>
  <si>
    <t xml:space="preserve">SRK Appu</t>
  </si>
  <si>
    <t xml:space="preserve">N Poonkundran</t>
  </si>
  <si>
    <t xml:space="preserve">G Vikram Chakravarthy</t>
  </si>
  <si>
    <t xml:space="preserve">Anaicut</t>
  </si>
  <si>
    <t xml:space="preserve">AP Nandakumar</t>
  </si>
  <si>
    <t xml:space="preserve">D Velazhagan</t>
  </si>
  <si>
    <t xml:space="preserve">A Sumithra</t>
  </si>
  <si>
    <t xml:space="preserve">M Senthil Kumar</t>
  </si>
  <si>
    <t xml:space="preserve">Kilvaithinankuppam</t>
  </si>
  <si>
    <t xml:space="preserve">PBK</t>
  </si>
  <si>
    <t xml:space="preserve">M Jagan Moorthy</t>
  </si>
  <si>
    <t xml:space="preserve">K Seetharaman</t>
  </si>
  <si>
    <t xml:space="preserve">J Divya Rani</t>
  </si>
  <si>
    <t xml:space="preserve">P Dhanaseelan</t>
  </si>
  <si>
    <t xml:space="preserve">Gudiyatham</t>
  </si>
  <si>
    <t xml:space="preserve">Kamarajar</t>
  </si>
  <si>
    <t xml:space="preserve">V Amulu</t>
  </si>
  <si>
    <t xml:space="preserve">G Paritha</t>
  </si>
  <si>
    <t xml:space="preserve">R Kalaiyenthiri</t>
  </si>
  <si>
    <t xml:space="preserve">C Jayanthi Padmanabhan</t>
  </si>
  <si>
    <t xml:space="preserve">Vaniyambadi</t>
  </si>
  <si>
    <t xml:space="preserve">Tirupattur</t>
  </si>
  <si>
    <t xml:space="preserve">G Sendhil Kumar</t>
  </si>
  <si>
    <t xml:space="preserve">IUML</t>
  </si>
  <si>
    <t xml:space="preserve">N Mohammed Nayeem</t>
  </si>
  <si>
    <t xml:space="preserve">AJ Devendhiran</t>
  </si>
  <si>
    <t xml:space="preserve">AIMIM</t>
  </si>
  <si>
    <t xml:space="preserve">TS Vakeel Ahmed</t>
  </si>
  <si>
    <t xml:space="preserve">M Gnana Doss</t>
  </si>
  <si>
    <t xml:space="preserve">Ambur</t>
  </si>
  <si>
    <t xml:space="preserve">AC Vilwanathan</t>
  </si>
  <si>
    <t xml:space="preserve">Nazar Mohamed K</t>
  </si>
  <si>
    <t xml:space="preserve">Maharunnisha</t>
  </si>
  <si>
    <t xml:space="preserve">SDPI</t>
  </si>
  <si>
    <t xml:space="preserve">Umar Farook Asa</t>
  </si>
  <si>
    <t xml:space="preserve">Raja S</t>
  </si>
  <si>
    <t xml:space="preserve">Jolarpet</t>
  </si>
  <si>
    <t xml:space="preserve">K Devaraji</t>
  </si>
  <si>
    <t xml:space="preserve">KC Veeramani</t>
  </si>
  <si>
    <t xml:space="preserve">R Karunanidhi</t>
  </si>
  <si>
    <t xml:space="preserve">A Nallathambi</t>
  </si>
  <si>
    <t xml:space="preserve">TK Raja</t>
  </si>
  <si>
    <t xml:space="preserve">M Sumathi</t>
  </si>
  <si>
    <t xml:space="preserve">A Gnanasekar</t>
  </si>
  <si>
    <t xml:space="preserve">Uthangarai</t>
  </si>
  <si>
    <t xml:space="preserve">Krishnagiri</t>
  </si>
  <si>
    <t xml:space="preserve">Baramahal</t>
  </si>
  <si>
    <t xml:space="preserve">TM Tamilelvam</t>
  </si>
  <si>
    <t xml:space="preserve">S Arumugam</t>
  </si>
  <si>
    <t xml:space="preserve">Elangovan</t>
  </si>
  <si>
    <t xml:space="preserve">R Bakyaraj</t>
  </si>
  <si>
    <t xml:space="preserve">Bargur</t>
  </si>
  <si>
    <t xml:space="preserve">D Mathiazhagan</t>
  </si>
  <si>
    <t xml:space="preserve">A Krishnan</t>
  </si>
  <si>
    <t xml:space="preserve">K Karunakaran</t>
  </si>
  <si>
    <t xml:space="preserve">S Ganesa Kumar</t>
  </si>
  <si>
    <t xml:space="preserve">K Ashok Kumar</t>
  </si>
  <si>
    <t xml:space="preserve">T Senguttavan</t>
  </si>
  <si>
    <t xml:space="preserve">V Nirandari</t>
  </si>
  <si>
    <t xml:space="preserve">RK Ravishankar</t>
  </si>
  <si>
    <t xml:space="preserve">Veppanahalli</t>
  </si>
  <si>
    <t xml:space="preserve">KP Munusamy</t>
  </si>
  <si>
    <t xml:space="preserve">P Murugan</t>
  </si>
  <si>
    <t xml:space="preserve">M Sakthivel</t>
  </si>
  <si>
    <t xml:space="preserve">SM Murugesan</t>
  </si>
  <si>
    <t xml:space="preserve">Abdul Azeez Amanullah</t>
  </si>
  <si>
    <t xml:space="preserve">Hosur</t>
  </si>
  <si>
    <t xml:space="preserve">INC </t>
  </si>
  <si>
    <t xml:space="preserve">Y Prakaash</t>
  </si>
  <si>
    <t xml:space="preserve">S Jyothi</t>
  </si>
  <si>
    <t xml:space="preserve">S Geetha Lakshmi</t>
  </si>
  <si>
    <t xml:space="preserve">S Masood</t>
  </si>
  <si>
    <t xml:space="preserve">Thalli</t>
  </si>
  <si>
    <t xml:space="preserve">CPI</t>
  </si>
  <si>
    <t xml:space="preserve">T Ramachandran</t>
  </si>
  <si>
    <t xml:space="preserve">C Nagesh Kumar</t>
  </si>
  <si>
    <t xml:space="preserve">R Mary Selvarani</t>
  </si>
  <si>
    <t xml:space="preserve">Ashok Kumar V</t>
  </si>
  <si>
    <t xml:space="preserve">Palacode</t>
  </si>
  <si>
    <t xml:space="preserve">Dharmapuri</t>
  </si>
  <si>
    <t xml:space="preserve">KP Anbalagan</t>
  </si>
  <si>
    <t xml:space="preserve">PK Murugan</t>
  </si>
  <si>
    <t xml:space="preserve">G Kalaiselvi</t>
  </si>
  <si>
    <t xml:space="preserve">P Vijayasankar</t>
  </si>
  <si>
    <t xml:space="preserve">Pennagaram</t>
  </si>
  <si>
    <t xml:space="preserve">GK Mani</t>
  </si>
  <si>
    <t xml:space="preserve">PNP Inbasekaran</t>
  </si>
  <si>
    <t xml:space="preserve">R Tamilazhagan</t>
  </si>
  <si>
    <t xml:space="preserve">R Uthayakumar</t>
  </si>
  <si>
    <t xml:space="preserve">A Periyananjappan</t>
  </si>
  <si>
    <t xml:space="preserve">SP Venkateshwaran</t>
  </si>
  <si>
    <t xml:space="preserve">P Subramani</t>
  </si>
  <si>
    <t xml:space="preserve">DK Rajendran</t>
  </si>
  <si>
    <t xml:space="preserve">Senthil Kumar</t>
  </si>
  <si>
    <t xml:space="preserve">SK Jayavenkatesan</t>
  </si>
  <si>
    <t xml:space="preserve">Pappireddipatti</t>
  </si>
  <si>
    <t xml:space="preserve">A Govindasamy</t>
  </si>
  <si>
    <t xml:space="preserve">M Prabhu Rajasekar</t>
  </si>
  <si>
    <t xml:space="preserve">P Palaniappan</t>
  </si>
  <si>
    <t xml:space="preserve">R Ramesh</t>
  </si>
  <si>
    <t xml:space="preserve">Srinivasan</t>
  </si>
  <si>
    <t xml:space="preserve">Harur</t>
  </si>
  <si>
    <t xml:space="preserve">V Sampathkumar</t>
  </si>
  <si>
    <t xml:space="preserve">CPIM</t>
  </si>
  <si>
    <t xml:space="preserve">A Kumar</t>
  </si>
  <si>
    <t xml:space="preserve">K Keerthana</t>
  </si>
  <si>
    <t xml:space="preserve">Chengam</t>
  </si>
  <si>
    <t xml:space="preserve">Tiruvannamalai</t>
  </si>
  <si>
    <t xml:space="preserve">MP Giri</t>
  </si>
  <si>
    <t xml:space="preserve">Naninakannu MS</t>
  </si>
  <si>
    <t xml:space="preserve">Vennila S</t>
  </si>
  <si>
    <t xml:space="preserve">Anbu S</t>
  </si>
  <si>
    <t xml:space="preserve">Suganraj S</t>
  </si>
  <si>
    <t xml:space="preserve">EV Velu</t>
  </si>
  <si>
    <t xml:space="preserve">S Thanigaivel</t>
  </si>
  <si>
    <t xml:space="preserve">J Kamalakkannan</t>
  </si>
  <si>
    <t xml:space="preserve">R Arul</t>
  </si>
  <si>
    <t xml:space="preserve">Kilpennathur</t>
  </si>
  <si>
    <t xml:space="preserve">K Pitchandi</t>
  </si>
  <si>
    <t xml:space="preserve">K Selvakumar</t>
  </si>
  <si>
    <t xml:space="preserve">R Ramesh Babu</t>
  </si>
  <si>
    <t xml:space="preserve">V Suganantham</t>
  </si>
  <si>
    <t xml:space="preserve">Kalasapakkam</t>
  </si>
  <si>
    <t xml:space="preserve">PST Saravanan</t>
  </si>
  <si>
    <t xml:space="preserve">V Panneerselvam</t>
  </si>
  <si>
    <t xml:space="preserve">E Balaji</t>
  </si>
  <si>
    <t xml:space="preserve">M Nehru</t>
  </si>
  <si>
    <t xml:space="preserve">Polur</t>
  </si>
  <si>
    <t xml:space="preserve">Agri SS Krishnamurthy</t>
  </si>
  <si>
    <t xml:space="preserve">KV Sekaran</t>
  </si>
  <si>
    <t xml:space="preserve">L Lavanya</t>
  </si>
  <si>
    <t xml:space="preserve">G Kalavathi</t>
  </si>
  <si>
    <t xml:space="preserve">R Daksnamoorthy</t>
  </si>
  <si>
    <t xml:space="preserve">Arani</t>
  </si>
  <si>
    <t xml:space="preserve">Sevvoor S Ramachandran</t>
  </si>
  <si>
    <t xml:space="preserve">SS Anbalagan</t>
  </si>
  <si>
    <t xml:space="preserve">D Prakalatha</t>
  </si>
  <si>
    <t xml:space="preserve">V Manikandan</t>
  </si>
  <si>
    <t xml:space="preserve">G Baskaran</t>
  </si>
  <si>
    <t xml:space="preserve">Cheyyar</t>
  </si>
  <si>
    <t xml:space="preserve">O Jothi</t>
  </si>
  <si>
    <t xml:space="preserve">Dusi K Mohan</t>
  </si>
  <si>
    <t xml:space="preserve">Bheeman G</t>
  </si>
  <si>
    <t xml:space="preserve">Mayilvaganan</t>
  </si>
  <si>
    <t xml:space="preserve">Vandavasi</t>
  </si>
  <si>
    <t xml:space="preserve">S Ambethkumar</t>
  </si>
  <si>
    <t xml:space="preserve">S Murali</t>
  </si>
  <si>
    <t xml:space="preserve">G Prabavathi</t>
  </si>
  <si>
    <t xml:space="preserve">P Venkatesan</t>
  </si>
  <si>
    <t xml:space="preserve">Gingee</t>
  </si>
  <si>
    <t xml:space="preserve">Villupuram</t>
  </si>
  <si>
    <t xml:space="preserve">South Arcot</t>
  </si>
  <si>
    <t xml:space="preserve">KS Masthan</t>
  </si>
  <si>
    <t xml:space="preserve">P Rajendiran</t>
  </si>
  <si>
    <t xml:space="preserve">AP Sugumar</t>
  </si>
  <si>
    <t xml:space="preserve">A Gowthan Sagar</t>
  </si>
  <si>
    <t xml:space="preserve">Mailam</t>
  </si>
  <si>
    <t xml:space="preserve">C Sivakumar</t>
  </si>
  <si>
    <t xml:space="preserve">R Masilamani</t>
  </si>
  <si>
    <t xml:space="preserve">L Umamaheswari</t>
  </si>
  <si>
    <t xml:space="preserve">A Sundaresan</t>
  </si>
  <si>
    <t xml:space="preserve">Tindivanam</t>
  </si>
  <si>
    <t xml:space="preserve">P Arjunan</t>
  </si>
  <si>
    <t xml:space="preserve">P Seethapathy</t>
  </si>
  <si>
    <t xml:space="preserve">P Pachimuthu</t>
  </si>
  <si>
    <t xml:space="preserve">K Chandralekha</t>
  </si>
  <si>
    <t xml:space="preserve">Anbin S Poyyamozhi</t>
  </si>
  <si>
    <t xml:space="preserve">Vanur</t>
  </si>
  <si>
    <t xml:space="preserve">M Chakrapani</t>
  </si>
  <si>
    <t xml:space="preserve">Vanni Arasu</t>
  </si>
  <si>
    <t xml:space="preserve">M Latchoumy</t>
  </si>
  <si>
    <t xml:space="preserve">PM Ganapathi</t>
  </si>
  <si>
    <t xml:space="preserve">M Sandoshkumar</t>
  </si>
  <si>
    <t xml:space="preserve">Villipuram</t>
  </si>
  <si>
    <t xml:space="preserve">R Lakshmanan</t>
  </si>
  <si>
    <t xml:space="preserve">CV Shanmugam</t>
  </si>
  <si>
    <t xml:space="preserve">J Selvam</t>
  </si>
  <si>
    <t xml:space="preserve">K Dass</t>
  </si>
  <si>
    <t xml:space="preserve">R Balasundaram</t>
  </si>
  <si>
    <t xml:space="preserve">Vikravandi</t>
  </si>
  <si>
    <t xml:space="preserve">N Pugazhenthi</t>
  </si>
  <si>
    <t xml:space="preserve">R Muthamilselvan</t>
  </si>
  <si>
    <t xml:space="preserve">R Sheeba Ashmi</t>
  </si>
  <si>
    <t xml:space="preserve">R Iyyanar</t>
  </si>
  <si>
    <t xml:space="preserve">Tirukkoyilur</t>
  </si>
  <si>
    <t xml:space="preserve">K Ponmudy</t>
  </si>
  <si>
    <t xml:space="preserve">Vat Kalivaradhan</t>
  </si>
  <si>
    <t xml:space="preserve">L Vengadesan</t>
  </si>
  <si>
    <t xml:space="preserve">S Murugan</t>
  </si>
  <si>
    <t xml:space="preserve">Ulundurpet</t>
  </si>
  <si>
    <t xml:space="preserve">Kallakurichi</t>
  </si>
  <si>
    <t xml:space="preserve">AJ Manikannan</t>
  </si>
  <si>
    <t xml:space="preserve">R Kumaraguru</t>
  </si>
  <si>
    <t xml:space="preserve">L Pushba Mary</t>
  </si>
  <si>
    <t xml:space="preserve">KGP Rajamani</t>
  </si>
  <si>
    <t xml:space="preserve">Rishivandiyam</t>
  </si>
  <si>
    <t xml:space="preserve">Captain</t>
  </si>
  <si>
    <t xml:space="preserve">K Karthikeyan</t>
  </si>
  <si>
    <t xml:space="preserve">SA Santhosh</t>
  </si>
  <si>
    <t xml:space="preserve">R Suresh Manivannan</t>
  </si>
  <si>
    <t xml:space="preserve">S Prabhu</t>
  </si>
  <si>
    <t xml:space="preserve">Sankarapuram</t>
  </si>
  <si>
    <t xml:space="preserve">T Udhayasuriyan</t>
  </si>
  <si>
    <t xml:space="preserve">G Raja</t>
  </si>
  <si>
    <t xml:space="preserve">B Rajiyama</t>
  </si>
  <si>
    <t xml:space="preserve">P Arul</t>
  </si>
  <si>
    <t xml:space="preserve">MP Mannan</t>
  </si>
  <si>
    <t xml:space="preserve">Interest</t>
  </si>
  <si>
    <t xml:space="preserve">M Senthilkumar</t>
  </si>
  <si>
    <t xml:space="preserve">KI Manirathinem</t>
  </si>
  <si>
    <t xml:space="preserve">D Dravida Muthamilselvi</t>
  </si>
  <si>
    <t xml:space="preserve">N Vijayakumar</t>
  </si>
  <si>
    <t xml:space="preserve">Tittakudi</t>
  </si>
  <si>
    <t xml:space="preserve">Cuddalore</t>
  </si>
  <si>
    <t xml:space="preserve">CV Ganesan</t>
  </si>
  <si>
    <t xml:space="preserve">D Periyasamy</t>
  </si>
  <si>
    <t xml:space="preserve">N Kamatchi</t>
  </si>
  <si>
    <t xml:space="preserve">R Umanath</t>
  </si>
  <si>
    <t xml:space="preserve">R Prabakaran</t>
  </si>
  <si>
    <t xml:space="preserve">Virudhachalam</t>
  </si>
  <si>
    <t xml:space="preserve">R Radhakrishnan</t>
  </si>
  <si>
    <t xml:space="preserve">J Karthikeyan</t>
  </si>
  <si>
    <t xml:space="preserve">Premalatha Vijaykant</t>
  </si>
  <si>
    <t xml:space="preserve">N Amutha</t>
  </si>
  <si>
    <t xml:space="preserve">R Kesavaperumal</t>
  </si>
  <si>
    <t xml:space="preserve">Neyveli</t>
  </si>
  <si>
    <t xml:space="preserve">Saba Rajendran</t>
  </si>
  <si>
    <t xml:space="preserve">K Jagan</t>
  </si>
  <si>
    <t xml:space="preserve">K Ramesh</t>
  </si>
  <si>
    <t xml:space="preserve">R Baktharatchagan</t>
  </si>
  <si>
    <t xml:space="preserve">Panruti</t>
  </si>
  <si>
    <t xml:space="preserve">TAVK</t>
  </si>
  <si>
    <t xml:space="preserve">T Velmurugan</t>
  </si>
  <si>
    <t xml:space="preserve">R Rajendran</t>
  </si>
  <si>
    <t xml:space="preserve">R Subhashini</t>
  </si>
  <si>
    <t xml:space="preserve">P Sivakozhundu</t>
  </si>
  <si>
    <t xml:space="preserve">Jayalani</t>
  </si>
  <si>
    <t xml:space="preserve">G Iyappan</t>
  </si>
  <si>
    <t xml:space="preserve">MC Sampath</t>
  </si>
  <si>
    <t xml:space="preserve">V Jaladeepan</t>
  </si>
  <si>
    <t xml:space="preserve">K Anandraj</t>
  </si>
  <si>
    <t xml:space="preserve">A Gnanapandithan</t>
  </si>
  <si>
    <t xml:space="preserve">Kurinjipadi</t>
  </si>
  <si>
    <t xml:space="preserve">MRK Panneerselvam</t>
  </si>
  <si>
    <t xml:space="preserve">Selvi Ramajayam</t>
  </si>
  <si>
    <t xml:space="preserve">S Sumathi</t>
  </si>
  <si>
    <t xml:space="preserve">JDS</t>
  </si>
  <si>
    <t xml:space="preserve">K Chandramouli</t>
  </si>
  <si>
    <t xml:space="preserve">Bhuvanagiri</t>
  </si>
  <si>
    <t xml:space="preserve">A Arunmozhithevan</t>
  </si>
  <si>
    <t xml:space="preserve">Saravanan Durai K</t>
  </si>
  <si>
    <t xml:space="preserve">Rathinavel R</t>
  </si>
  <si>
    <t xml:space="preserve">Balamurugan KSK</t>
  </si>
  <si>
    <t xml:space="preserve">Chidambaram</t>
  </si>
  <si>
    <t xml:space="preserve">KA Pandian</t>
  </si>
  <si>
    <t xml:space="preserve">S Abdul Rahman</t>
  </si>
  <si>
    <t xml:space="preserve">Natarajan Krishnamoorthy</t>
  </si>
  <si>
    <t xml:space="preserve">G Devasagayam</t>
  </si>
  <si>
    <t xml:space="preserve">N Nanthinidevi</t>
  </si>
  <si>
    <t xml:space="preserve">Kattumannarkoil</t>
  </si>
  <si>
    <t xml:space="preserve">Sinthanai Selvan</t>
  </si>
  <si>
    <t xml:space="preserve">N Murugumaran</t>
  </si>
  <si>
    <t xml:space="preserve">P Nivedha</t>
  </si>
  <si>
    <t xml:space="preserve">S Narayanamoorthy</t>
  </si>
  <si>
    <t xml:space="preserve">Thanga Vikram</t>
  </si>
  <si>
    <t xml:space="preserve">Gangavalli</t>
  </si>
  <si>
    <t xml:space="preserve">Salem</t>
  </si>
  <si>
    <t xml:space="preserve">Kongu</t>
  </si>
  <si>
    <t xml:space="preserve">J Rekha Priyadarshini</t>
  </si>
  <si>
    <t xml:space="preserve">R Vinothini</t>
  </si>
  <si>
    <t xml:space="preserve">A Pandian</t>
  </si>
  <si>
    <t xml:space="preserve">Attur</t>
  </si>
  <si>
    <t xml:space="preserve">AP Jayasankaran</t>
  </si>
  <si>
    <t xml:space="preserve">K Chinnadurai</t>
  </si>
  <si>
    <t xml:space="preserve">S Krishnaveni</t>
  </si>
  <si>
    <t xml:space="preserve">Yercaud</t>
  </si>
  <si>
    <t xml:space="preserve">ST</t>
  </si>
  <si>
    <t xml:space="preserve">G Chitra</t>
  </si>
  <si>
    <t xml:space="preserve">C Tamilselvan</t>
  </si>
  <si>
    <t xml:space="preserve">Jothi</t>
  </si>
  <si>
    <t xml:space="preserve">C Kumar</t>
  </si>
  <si>
    <t xml:space="preserve">Omalur</t>
  </si>
  <si>
    <t xml:space="preserve">R Mani</t>
  </si>
  <si>
    <t xml:space="preserve">Rangarajan MK</t>
  </si>
  <si>
    <t xml:space="preserve">A Raja</t>
  </si>
  <si>
    <t xml:space="preserve">V Srinivasan</t>
  </si>
  <si>
    <t xml:space="preserve">Mettur</t>
  </si>
  <si>
    <t xml:space="preserve">S Sadhasivam</t>
  </si>
  <si>
    <t xml:space="preserve">S Srinivasaperumal</t>
  </si>
  <si>
    <t xml:space="preserve">C Manikandan</t>
  </si>
  <si>
    <t xml:space="preserve">P Anusuya</t>
  </si>
  <si>
    <t xml:space="preserve">Selvan</t>
  </si>
  <si>
    <t xml:space="preserve">Edappadi</t>
  </si>
  <si>
    <t xml:space="preserve">Edappadi K Palaniswami</t>
  </si>
  <si>
    <t xml:space="preserve">T Sambathkumar</t>
  </si>
  <si>
    <t xml:space="preserve">Shri Rathna</t>
  </si>
  <si>
    <t xml:space="preserve">D Thasapparaj</t>
  </si>
  <si>
    <t xml:space="preserve">Sangagiri</t>
  </si>
  <si>
    <t xml:space="preserve">S Sundararajan</t>
  </si>
  <si>
    <t xml:space="preserve">KM Rajesh</t>
  </si>
  <si>
    <t xml:space="preserve">S Shobana</t>
  </si>
  <si>
    <t xml:space="preserve">K Sengodan</t>
  </si>
  <si>
    <t xml:space="preserve">A Chellamuthu</t>
  </si>
  <si>
    <t xml:space="preserve">Salem West</t>
  </si>
  <si>
    <t xml:space="preserve">Arul Ramadas</t>
  </si>
  <si>
    <t xml:space="preserve">A Rajendran</t>
  </si>
  <si>
    <t xml:space="preserve">S Nagammal</t>
  </si>
  <si>
    <t xml:space="preserve">A Thiyagarajan</t>
  </si>
  <si>
    <t xml:space="preserve">Alagaapuram R Mohanraj</t>
  </si>
  <si>
    <t xml:space="preserve">Salem North</t>
  </si>
  <si>
    <t xml:space="preserve">G Venkatachalam</t>
  </si>
  <si>
    <t xml:space="preserve">RS Guru Chakravarthy</t>
  </si>
  <si>
    <t xml:space="preserve">N Imaya Eswaran</t>
  </si>
  <si>
    <t xml:space="preserve">Salem South</t>
  </si>
  <si>
    <t xml:space="preserve">E Balasubramanian</t>
  </si>
  <si>
    <t xml:space="preserve">AS Saravanan</t>
  </si>
  <si>
    <t xml:space="preserve">M Prabhu Manikandan</t>
  </si>
  <si>
    <t xml:space="preserve">S Mariamma</t>
  </si>
  <si>
    <t xml:space="preserve">Se Venkatajalam</t>
  </si>
  <si>
    <t xml:space="preserve">Veerapandi</t>
  </si>
  <si>
    <t xml:space="preserve">M Rajamuthu</t>
  </si>
  <si>
    <t xml:space="preserve">AK Tharun</t>
  </si>
  <si>
    <t xml:space="preserve">S Rajeshkumar</t>
  </si>
  <si>
    <t xml:space="preserve">SK Selvam</t>
  </si>
  <si>
    <t xml:space="preserve">Rasipuram</t>
  </si>
  <si>
    <t xml:space="preserve">Namakkal</t>
  </si>
  <si>
    <t xml:space="preserve">Ponni</t>
  </si>
  <si>
    <t xml:space="preserve">M Mathiventhan</t>
  </si>
  <si>
    <t xml:space="preserve">V Saroja</t>
  </si>
  <si>
    <t xml:space="preserve">K Silambarasi</t>
  </si>
  <si>
    <t xml:space="preserve">R Ramkumar</t>
  </si>
  <si>
    <t xml:space="preserve">Senthamangalam</t>
  </si>
  <si>
    <t xml:space="preserve">K Ponnusamy</t>
  </si>
  <si>
    <t xml:space="preserve">T Rohini</t>
  </si>
  <si>
    <t xml:space="preserve">C Chandrasekaran</t>
  </si>
  <si>
    <t xml:space="preserve">P Ramalingam</t>
  </si>
  <si>
    <t xml:space="preserve">KPP Baskar</t>
  </si>
  <si>
    <t xml:space="preserve">B Baskar</t>
  </si>
  <si>
    <t xml:space="preserve">S Adham Farook</t>
  </si>
  <si>
    <t xml:space="preserve">Paramathi Velur</t>
  </si>
  <si>
    <t xml:space="preserve">S Sekar</t>
  </si>
  <si>
    <t xml:space="preserve">KS Moorthy</t>
  </si>
  <si>
    <t xml:space="preserve">K Uvarani</t>
  </si>
  <si>
    <t xml:space="preserve">K Natarajan</t>
  </si>
  <si>
    <t xml:space="preserve">Tiruchengode</t>
  </si>
  <si>
    <t xml:space="preserve">KMDK</t>
  </si>
  <si>
    <t xml:space="preserve">ER Eswaran</t>
  </si>
  <si>
    <t xml:space="preserve">Pon Saraswathi</t>
  </si>
  <si>
    <t xml:space="preserve">P Natarajan</t>
  </si>
  <si>
    <t xml:space="preserve">R Janagaraj</t>
  </si>
  <si>
    <t xml:space="preserve">Kumarapalayam</t>
  </si>
  <si>
    <t xml:space="preserve">P Thangamani</t>
  </si>
  <si>
    <t xml:space="preserve">M Venkatachalam</t>
  </si>
  <si>
    <t xml:space="preserve">S Varun</t>
  </si>
  <si>
    <t xml:space="preserve">S Ommsharravana</t>
  </si>
  <si>
    <t xml:space="preserve">K Kamaraj</t>
  </si>
  <si>
    <t xml:space="preserve">Erode East</t>
  </si>
  <si>
    <t xml:space="preserve">Erode</t>
  </si>
  <si>
    <t xml:space="preserve">E Thirumagan Evera</t>
  </si>
  <si>
    <t xml:space="preserve">M Yuvaraja</t>
  </si>
  <si>
    <t xml:space="preserve">S Gomathi</t>
  </si>
  <si>
    <t xml:space="preserve">AMR Rajakumar</t>
  </si>
  <si>
    <t xml:space="preserve">SA Muthukumaran</t>
  </si>
  <si>
    <t xml:space="preserve">Erode West</t>
  </si>
  <si>
    <t xml:space="preserve">S Muthusamy</t>
  </si>
  <si>
    <t xml:space="preserve">KV Ramalingam</t>
  </si>
  <si>
    <t xml:space="preserve">Chandra Kumar P</t>
  </si>
  <si>
    <t xml:space="preserve">Durai Sevugan</t>
  </si>
  <si>
    <t xml:space="preserve">Modakkurichi</t>
  </si>
  <si>
    <t xml:space="preserve">C Saraswathi</t>
  </si>
  <si>
    <t xml:space="preserve">Subbulakshmi Jagadeesan</t>
  </si>
  <si>
    <t xml:space="preserve">G Prakash</t>
  </si>
  <si>
    <t xml:space="preserve">M Rajeshkumar</t>
  </si>
  <si>
    <t xml:space="preserve">Dharapuram</t>
  </si>
  <si>
    <t xml:space="preserve">Tiruppur</t>
  </si>
  <si>
    <t xml:space="preserve">Union</t>
  </si>
  <si>
    <t xml:space="preserve">N Kayalvizhi</t>
  </si>
  <si>
    <t xml:space="preserve">L Murugan</t>
  </si>
  <si>
    <t xml:space="preserve">K Ranjitha</t>
  </si>
  <si>
    <t xml:space="preserve">A Charli</t>
  </si>
  <si>
    <t xml:space="preserve">Kangayam</t>
  </si>
  <si>
    <t xml:space="preserve">MP Saminathan</t>
  </si>
  <si>
    <t xml:space="preserve">As Ramalingam</t>
  </si>
  <si>
    <t xml:space="preserve">K Sivanantham</t>
  </si>
  <si>
    <t xml:space="preserve">R Appasamy</t>
  </si>
  <si>
    <t xml:space="preserve">Perundurai</t>
  </si>
  <si>
    <t xml:space="preserve">S Jayakumar</t>
  </si>
  <si>
    <t xml:space="preserve">KKC Balu</t>
  </si>
  <si>
    <t xml:space="preserve">C Loganathan</t>
  </si>
  <si>
    <t xml:space="preserve">Thoppu Venkatachalam</t>
  </si>
  <si>
    <t xml:space="preserve">CK Nandhakumar</t>
  </si>
  <si>
    <t xml:space="preserve">Bhavani</t>
  </si>
  <si>
    <t xml:space="preserve">KC Karuppannan</t>
  </si>
  <si>
    <t xml:space="preserve">Durairaj KP</t>
  </si>
  <si>
    <t xml:space="preserve">Sathya M</t>
  </si>
  <si>
    <t xml:space="preserve">Sadhanandham K</t>
  </si>
  <si>
    <t xml:space="preserve">Anthiyur</t>
  </si>
  <si>
    <t xml:space="preserve">AG Venkatachalam</t>
  </si>
  <si>
    <t xml:space="preserve">Shanmugavel KS</t>
  </si>
  <si>
    <t xml:space="preserve">Saravanan M</t>
  </si>
  <si>
    <t xml:space="preserve">Gurunathan M</t>
  </si>
  <si>
    <t xml:space="preserve">AHIMSASP</t>
  </si>
  <si>
    <t xml:space="preserve">Prathaban A</t>
  </si>
  <si>
    <t xml:space="preserve">Gobichettipalayam</t>
  </si>
  <si>
    <t xml:space="preserve">KA Sengottaiyan</t>
  </si>
  <si>
    <t xml:space="preserve">GV Manimaran</t>
  </si>
  <si>
    <t xml:space="preserve">MK Seethalakshmi</t>
  </si>
  <si>
    <t xml:space="preserve">NK Prakash</t>
  </si>
  <si>
    <t xml:space="preserve">NK Thulasimani</t>
  </si>
  <si>
    <t xml:space="preserve">Bhavanisagar</t>
  </si>
  <si>
    <t xml:space="preserve">A Bannari</t>
  </si>
  <si>
    <t xml:space="preserve">PL Sundaram</t>
  </si>
  <si>
    <t xml:space="preserve">V Sangeetha</t>
  </si>
  <si>
    <t xml:space="preserve">Karthikkumar K</t>
  </si>
  <si>
    <t xml:space="preserve">Ramesh G</t>
  </si>
  <si>
    <t xml:space="preserve">Udagamandalam</t>
  </si>
  <si>
    <t xml:space="preserve">Nilgiris</t>
  </si>
  <si>
    <t xml:space="preserve">Mountain Kongudam</t>
  </si>
  <si>
    <t xml:space="preserve">R Ganesh</t>
  </si>
  <si>
    <t xml:space="preserve">M Bhojarajan</t>
  </si>
  <si>
    <t xml:space="preserve">A Jayakumar</t>
  </si>
  <si>
    <t xml:space="preserve">S Suresh Babu</t>
  </si>
  <si>
    <t xml:space="preserve">Gudalur</t>
  </si>
  <si>
    <t xml:space="preserve">Pon Jayaseelan</t>
  </si>
  <si>
    <t xml:space="preserve">S Kasilingam</t>
  </si>
  <si>
    <t xml:space="preserve">R Ketheeswaran</t>
  </si>
  <si>
    <t xml:space="preserve">A Yogeswaran</t>
  </si>
  <si>
    <t xml:space="preserve">Coonoor</t>
  </si>
  <si>
    <t xml:space="preserve">K Ramachandran</t>
  </si>
  <si>
    <t xml:space="preserve">Vinoth D</t>
  </si>
  <si>
    <t xml:space="preserve">Lavanya M</t>
  </si>
  <si>
    <t xml:space="preserve">Rajakumar HB</t>
  </si>
  <si>
    <t xml:space="preserve">Kalaiselvan S</t>
  </si>
  <si>
    <t xml:space="preserve">Mettupalayam</t>
  </si>
  <si>
    <t xml:space="preserve">Coimbatore</t>
  </si>
  <si>
    <t xml:space="preserve">Kovai</t>
  </si>
  <si>
    <t xml:space="preserve">AK Selvaraj</t>
  </si>
  <si>
    <t xml:space="preserve">TR Shanmugasundaram</t>
  </si>
  <si>
    <t xml:space="preserve">K Yasmin</t>
  </si>
  <si>
    <t xml:space="preserve">P Saravanan</t>
  </si>
  <si>
    <t xml:space="preserve">Avanashi</t>
  </si>
  <si>
    <t xml:space="preserve">P Dhanapal</t>
  </si>
  <si>
    <t xml:space="preserve">Athiyamaan Raju</t>
  </si>
  <si>
    <t xml:space="preserve">Shoba</t>
  </si>
  <si>
    <t xml:space="preserve">Venkateswaran A</t>
  </si>
  <si>
    <t xml:space="preserve">Meera K</t>
  </si>
  <si>
    <t xml:space="preserve">Tiruppur North</t>
  </si>
  <si>
    <t xml:space="preserve">KN Vijayakumar</t>
  </si>
  <si>
    <t xml:space="preserve">CPI </t>
  </si>
  <si>
    <t xml:space="preserve">M Ravi</t>
  </si>
  <si>
    <t xml:space="preserve">S Easwaran</t>
  </si>
  <si>
    <t xml:space="preserve">S Sivabalan</t>
  </si>
  <si>
    <t xml:space="preserve">M Selvakumar</t>
  </si>
  <si>
    <t xml:space="preserve">Tiruppur South</t>
  </si>
  <si>
    <t xml:space="preserve">K Selvaraj</t>
  </si>
  <si>
    <t xml:space="preserve">K Shanmugasundaram</t>
  </si>
  <si>
    <t xml:space="preserve">Anusha Ravi</t>
  </si>
  <si>
    <t xml:space="preserve">A Vishalakchi</t>
  </si>
  <si>
    <t xml:space="preserve">Palladam</t>
  </si>
  <si>
    <t xml:space="preserve">MSM Anandan</t>
  </si>
  <si>
    <t xml:space="preserve">K Muthu Rathinam</t>
  </si>
  <si>
    <t xml:space="preserve">S Subramanian</t>
  </si>
  <si>
    <t xml:space="preserve">G Mayilsamy</t>
  </si>
  <si>
    <t xml:space="preserve">R Jothimani</t>
  </si>
  <si>
    <t xml:space="preserve">Sulur</t>
  </si>
  <si>
    <t xml:space="preserve">VP Kandasamy</t>
  </si>
  <si>
    <t xml:space="preserve">Selvam Kalichamy M</t>
  </si>
  <si>
    <t xml:space="preserve">Elangovan G</t>
  </si>
  <si>
    <t xml:space="preserve">Ranganathan A</t>
  </si>
  <si>
    <t xml:space="preserve">Senthil Kumar SA</t>
  </si>
  <si>
    <t xml:space="preserve">Kavundampalayam</t>
  </si>
  <si>
    <t xml:space="preserve">PRG Arunkumar</t>
  </si>
  <si>
    <t xml:space="preserve">R Krishnan</t>
  </si>
  <si>
    <t xml:space="preserve">Pankaj Jain</t>
  </si>
  <si>
    <t xml:space="preserve">Kalamani M</t>
  </si>
  <si>
    <t xml:space="preserve">Coimbatore North</t>
  </si>
  <si>
    <t xml:space="preserve">Amman K Arjunan</t>
  </si>
  <si>
    <t xml:space="preserve">Shanmugasundaram VM</t>
  </si>
  <si>
    <t xml:space="preserve">Thangavelu R</t>
  </si>
  <si>
    <t xml:space="preserve">Balendran CB</t>
  </si>
  <si>
    <t xml:space="preserve">Thondamuthur</t>
  </si>
  <si>
    <t xml:space="preserve">SP Velumani</t>
  </si>
  <si>
    <t xml:space="preserve">Karthikeya</t>
  </si>
  <si>
    <t xml:space="preserve">S Shajahan</t>
  </si>
  <si>
    <t xml:space="preserve">S Kalaiarasi</t>
  </si>
  <si>
    <t xml:space="preserve">Coimbatore South</t>
  </si>
  <si>
    <t xml:space="preserve">Vanathi Srinivasan</t>
  </si>
  <si>
    <t xml:space="preserve">Kamal Haasan</t>
  </si>
  <si>
    <t xml:space="preserve">Mayura Jayakumar S</t>
  </si>
  <si>
    <t xml:space="preserve">Abdul Wahab</t>
  </si>
  <si>
    <t xml:space="preserve">Singanallur</t>
  </si>
  <si>
    <t xml:space="preserve">KR Jayaram</t>
  </si>
  <si>
    <t xml:space="preserve">N Karthik</t>
  </si>
  <si>
    <t xml:space="preserve">R Mahendran</t>
  </si>
  <si>
    <t xml:space="preserve">R Narmadha</t>
  </si>
  <si>
    <t xml:space="preserve">Kinathukadavu</t>
  </si>
  <si>
    <t xml:space="preserve">DMKAIADMK</t>
  </si>
  <si>
    <t xml:space="preserve">S Damodaran</t>
  </si>
  <si>
    <t xml:space="preserve">Kuruchi Prabhakaran</t>
  </si>
  <si>
    <t xml:space="preserve">M Umajagadesh</t>
  </si>
  <si>
    <t xml:space="preserve">Pollachi</t>
  </si>
  <si>
    <t xml:space="preserve">Pollachi V Jayaraman</t>
  </si>
  <si>
    <t xml:space="preserve">K Varadharajan</t>
  </si>
  <si>
    <t xml:space="preserve">VT Sathieshkumar</t>
  </si>
  <si>
    <t xml:space="preserve">N Logeswari</t>
  </si>
  <si>
    <t xml:space="preserve">Valparai</t>
  </si>
  <si>
    <t xml:space="preserve">TK Amulkandasami</t>
  </si>
  <si>
    <t xml:space="preserve">M Arumugham</t>
  </si>
  <si>
    <t xml:space="preserve">C Kohila</t>
  </si>
  <si>
    <t xml:space="preserve">D Senthilraj</t>
  </si>
  <si>
    <t xml:space="preserve">Udumalpettai</t>
  </si>
  <si>
    <t xml:space="preserve">Udumalai K Radhakrishnan</t>
  </si>
  <si>
    <t xml:space="preserve">K Thennarasu</t>
  </si>
  <si>
    <t xml:space="preserve">A Babu Ranjendra Prasad</t>
  </si>
  <si>
    <t xml:space="preserve">V Srinithi</t>
  </si>
  <si>
    <t xml:space="preserve">Madathukulam</t>
  </si>
  <si>
    <t xml:space="preserve">C Mahendran</t>
  </si>
  <si>
    <t xml:space="preserve">R Jayaramakrishnan</t>
  </si>
  <si>
    <t xml:space="preserve">C Shanmugavelu</t>
  </si>
  <si>
    <t xml:space="preserve">U Sanuja</t>
  </si>
  <si>
    <t xml:space="preserve">K Kumaresan</t>
  </si>
  <si>
    <t xml:space="preserve">Dindigul</t>
  </si>
  <si>
    <t xml:space="preserve">IP Senthil Kumar</t>
  </si>
  <si>
    <t xml:space="preserve">K Ravi Manoharan</t>
  </si>
  <si>
    <t xml:space="preserve">G Vinoth Rajasekaran</t>
  </si>
  <si>
    <t xml:space="preserve">T Poovendhan</t>
  </si>
  <si>
    <t xml:space="preserve">V Veerakumar</t>
  </si>
  <si>
    <t xml:space="preserve">Oddanchatram</t>
  </si>
  <si>
    <t xml:space="preserve">R Sakkarapani</t>
  </si>
  <si>
    <t xml:space="preserve">NP Nataraj</t>
  </si>
  <si>
    <t xml:space="preserve">T Sakti Devi</t>
  </si>
  <si>
    <t xml:space="preserve">M Siva Kumar</t>
  </si>
  <si>
    <t xml:space="preserve">Athoor</t>
  </si>
  <si>
    <t xml:space="preserve">I Periyasamy</t>
  </si>
  <si>
    <t xml:space="preserve">Thilagabama M</t>
  </si>
  <si>
    <t xml:space="preserve">Simon Justin A</t>
  </si>
  <si>
    <t xml:space="preserve">Sivasakthivel</t>
  </si>
  <si>
    <t xml:space="preserve">Selvakumar P</t>
  </si>
  <si>
    <t xml:space="preserve">Nilakottai</t>
  </si>
  <si>
    <t xml:space="preserve">S Thenmozhi</t>
  </si>
  <si>
    <t xml:space="preserve">K Murugavelrajan</t>
  </si>
  <si>
    <t xml:space="preserve">G Vasanthadevi</t>
  </si>
  <si>
    <t xml:space="preserve">K Ramasamy</t>
  </si>
  <si>
    <t xml:space="preserve">Ananth</t>
  </si>
  <si>
    <t xml:space="preserve">Natham</t>
  </si>
  <si>
    <t xml:space="preserve">DMKINC</t>
  </si>
  <si>
    <t xml:space="preserve">Natham R Viswanathan</t>
  </si>
  <si>
    <t xml:space="preserve">MA Andi Ambalam</t>
  </si>
  <si>
    <t xml:space="preserve">V Sivasankaran</t>
  </si>
  <si>
    <t xml:space="preserve">N Raja</t>
  </si>
  <si>
    <t xml:space="preserve">Dindigul C Sreenivasan</t>
  </si>
  <si>
    <t xml:space="preserve">N Pandi</t>
  </si>
  <si>
    <t xml:space="preserve">R Jayasundar</t>
  </si>
  <si>
    <t xml:space="preserve">P Ramuthevar</t>
  </si>
  <si>
    <t xml:space="preserve">Vedasandur</t>
  </si>
  <si>
    <t xml:space="preserve">S Gandhirajan</t>
  </si>
  <si>
    <t xml:space="preserve">VPB Paramasivam</t>
  </si>
  <si>
    <t xml:space="preserve">R Pothumani</t>
  </si>
  <si>
    <t xml:space="preserve">P Ramasamy</t>
  </si>
  <si>
    <t xml:space="preserve">B Palanichamy</t>
  </si>
  <si>
    <t xml:space="preserve">Aravakurichi</t>
  </si>
  <si>
    <t xml:space="preserve">Karur</t>
  </si>
  <si>
    <t xml:space="preserve">R Elango</t>
  </si>
  <si>
    <t xml:space="preserve">K Annamalai</t>
  </si>
  <si>
    <t xml:space="preserve">Anitha Parveen</t>
  </si>
  <si>
    <t xml:space="preserve">Thangavel PSN</t>
  </si>
  <si>
    <t xml:space="preserve">Mohammed Haneef Shahil KS</t>
  </si>
  <si>
    <t xml:space="preserve">V Senthil Balaji</t>
  </si>
  <si>
    <t xml:space="preserve">MR Vijayabhaskar</t>
  </si>
  <si>
    <t xml:space="preserve">R Karuppaiya</t>
  </si>
  <si>
    <t xml:space="preserve">S Mohanraj</t>
  </si>
  <si>
    <t xml:space="preserve">Krishnarayapuram</t>
  </si>
  <si>
    <t xml:space="preserve">K Sivagami Sundari</t>
  </si>
  <si>
    <t xml:space="preserve">Muthukumar</t>
  </si>
  <si>
    <t xml:space="preserve">R Ilakiya</t>
  </si>
  <si>
    <t xml:space="preserve">M Kathirvel</t>
  </si>
  <si>
    <t xml:space="preserve">V Saravanan</t>
  </si>
  <si>
    <t xml:space="preserve">Kulithalai</t>
  </si>
  <si>
    <t xml:space="preserve">R Manickam</t>
  </si>
  <si>
    <t xml:space="preserve">NR Chandrasekar</t>
  </si>
  <si>
    <t xml:space="preserve">Seeni Prakasu</t>
  </si>
  <si>
    <t xml:space="preserve">R Saravanan</t>
  </si>
  <si>
    <t xml:space="preserve">Manapaarai</t>
  </si>
  <si>
    <t xml:space="preserve">Tiruchirappalli</t>
  </si>
  <si>
    <t xml:space="preserve">Delta</t>
  </si>
  <si>
    <t xml:space="preserve">West Chola</t>
  </si>
  <si>
    <t xml:space="preserve">MMK</t>
  </si>
  <si>
    <t xml:space="preserve">P Abdul Samad</t>
  </si>
  <si>
    <t xml:space="preserve">R Chandrasekar</t>
  </si>
  <si>
    <t xml:space="preserve">P Kanimozhi</t>
  </si>
  <si>
    <t xml:space="preserve">P Krishnagopal</t>
  </si>
  <si>
    <t xml:space="preserve">V Chandrasekar</t>
  </si>
  <si>
    <t xml:space="preserve">Srirangam</t>
  </si>
  <si>
    <t xml:space="preserve">M Palaniyandi</t>
  </si>
  <si>
    <t xml:space="preserve">Ku Pa Krishnan</t>
  </si>
  <si>
    <t xml:space="preserve">K Selvarathi</t>
  </si>
  <si>
    <t xml:space="preserve">Y Jacob</t>
  </si>
  <si>
    <t xml:space="preserve">Sarubala R Thondaiman</t>
  </si>
  <si>
    <t xml:space="preserve">Tiruchirappalli West</t>
  </si>
  <si>
    <t xml:space="preserve">KN Nehru</t>
  </si>
  <si>
    <t xml:space="preserve">V Padmanathan</t>
  </si>
  <si>
    <t xml:space="preserve">V Vinodh</t>
  </si>
  <si>
    <t xml:space="preserve">M Abubacker Siddiq</t>
  </si>
  <si>
    <t xml:space="preserve">R Abdullah Hassan Faizy</t>
  </si>
  <si>
    <t xml:space="preserve">Tiruchirappalli East</t>
  </si>
  <si>
    <t xml:space="preserve">Inigo S Irudayaraj</t>
  </si>
  <si>
    <t xml:space="preserve">Vellamandi N Natarajan</t>
  </si>
  <si>
    <t xml:space="preserve">Prabhu</t>
  </si>
  <si>
    <t xml:space="preserve">D Veerasakthi</t>
  </si>
  <si>
    <t xml:space="preserve">R Manoharan</t>
  </si>
  <si>
    <t xml:space="preserve">Thiruverumbur</t>
  </si>
  <si>
    <t xml:space="preserve">Anbil Mahesh Poyyamozhi</t>
  </si>
  <si>
    <t xml:space="preserve">P Kumar</t>
  </si>
  <si>
    <t xml:space="preserve">V Cholasooran</t>
  </si>
  <si>
    <t xml:space="preserve">M Muruganandam</t>
  </si>
  <si>
    <t xml:space="preserve">S Senthilkumar</t>
  </si>
  <si>
    <t xml:space="preserve">Lalgudi</t>
  </si>
  <si>
    <t xml:space="preserve">A Soundara Pandian</t>
  </si>
  <si>
    <t xml:space="preserve">DR Dharmaraj</t>
  </si>
  <si>
    <t xml:space="preserve">I Malar Tamil Prabha</t>
  </si>
  <si>
    <t xml:space="preserve">M Vijayamurthy</t>
  </si>
  <si>
    <t xml:space="preserve">Manachanallur</t>
  </si>
  <si>
    <t xml:space="preserve">S Kathiravan</t>
  </si>
  <si>
    <t xml:space="preserve">M Paranjothi</t>
  </si>
  <si>
    <t xml:space="preserve">V Krishnasamy</t>
  </si>
  <si>
    <t xml:space="preserve">R Samson</t>
  </si>
  <si>
    <t xml:space="preserve">M Rajasekharn</t>
  </si>
  <si>
    <t xml:space="preserve">Musiri</t>
  </si>
  <si>
    <t xml:space="preserve">N Thiyagarajan</t>
  </si>
  <si>
    <t xml:space="preserve">M Selvarasu</t>
  </si>
  <si>
    <t xml:space="preserve">Sridevi Ilangovan</t>
  </si>
  <si>
    <t xml:space="preserve">KS Kumar</t>
  </si>
  <si>
    <t xml:space="preserve">S Gokul</t>
  </si>
  <si>
    <t xml:space="preserve">Thuraiyur</t>
  </si>
  <si>
    <t xml:space="preserve">S Stalinkumar</t>
  </si>
  <si>
    <t xml:space="preserve">T Indragandhi</t>
  </si>
  <si>
    <t xml:space="preserve">R Tamilzhselvi</t>
  </si>
  <si>
    <t xml:space="preserve">TN Yuvarajan</t>
  </si>
  <si>
    <t xml:space="preserve">K Subramanian</t>
  </si>
  <si>
    <t xml:space="preserve">Perambalur</t>
  </si>
  <si>
    <t xml:space="preserve">M Prabhakaran</t>
  </si>
  <si>
    <t xml:space="preserve">R Thamizhselvan</t>
  </si>
  <si>
    <t xml:space="preserve">M Maheshwari</t>
  </si>
  <si>
    <t xml:space="preserve">K Rajendran</t>
  </si>
  <si>
    <t xml:space="preserve">Kunnam</t>
  </si>
  <si>
    <t xml:space="preserve">SS Sivasankar</t>
  </si>
  <si>
    <t xml:space="preserve">RT Ramachandran</t>
  </si>
  <si>
    <t xml:space="preserve">S Kaarthikeyan</t>
  </si>
  <si>
    <t xml:space="preserve">R Selvaraju</t>
  </si>
  <si>
    <t xml:space="preserve">Ariyalur</t>
  </si>
  <si>
    <t xml:space="preserve">K Chinnappa</t>
  </si>
  <si>
    <t xml:space="preserve">Rajendran S</t>
  </si>
  <si>
    <t xml:space="preserve">Suguna Kumar</t>
  </si>
  <si>
    <t xml:space="preserve">Durai Manivel</t>
  </si>
  <si>
    <t xml:space="preserve">Jayankondam</t>
  </si>
  <si>
    <t xml:space="preserve">Ka So Ka Kannan</t>
  </si>
  <si>
    <t xml:space="preserve">K Balu</t>
  </si>
  <si>
    <t xml:space="preserve">Mahalingam Neela</t>
  </si>
  <si>
    <t xml:space="preserve">G Latha</t>
  </si>
  <si>
    <t xml:space="preserve">Sirkazhi</t>
  </si>
  <si>
    <t xml:space="preserve">Mayiladuthurai</t>
  </si>
  <si>
    <t xml:space="preserve">Coastal Chola</t>
  </si>
  <si>
    <t xml:space="preserve">M Panneerselvam</t>
  </si>
  <si>
    <t xml:space="preserve">PV Bharathi</t>
  </si>
  <si>
    <t xml:space="preserve">A Kavitha</t>
  </si>
  <si>
    <t xml:space="preserve">Pon Balu</t>
  </si>
  <si>
    <t xml:space="preserve">R Prabhhu</t>
  </si>
  <si>
    <t xml:space="preserve">S Rajakumar</t>
  </si>
  <si>
    <t xml:space="preserve">A Palanisamy</t>
  </si>
  <si>
    <t xml:space="preserve">K Kasiraman</t>
  </si>
  <si>
    <t xml:space="preserve">PK Anbarasan Komal</t>
  </si>
  <si>
    <t xml:space="preserve">N Ravichandran</t>
  </si>
  <si>
    <t xml:space="preserve">Poompuhar</t>
  </si>
  <si>
    <t xml:space="preserve">Nivedha M Murugan</t>
  </si>
  <si>
    <t xml:space="preserve">S Pavunraj</t>
  </si>
  <si>
    <t xml:space="preserve">P Kaliyammal</t>
  </si>
  <si>
    <t xml:space="preserve">S Senthamizhan</t>
  </si>
  <si>
    <t xml:space="preserve">MH Meharajdeen</t>
  </si>
  <si>
    <t xml:space="preserve">Nagapattinam</t>
  </si>
  <si>
    <t xml:space="preserve">Aloor Shanavas</t>
  </si>
  <si>
    <t xml:space="preserve">Thanka Kathiravan</t>
  </si>
  <si>
    <t xml:space="preserve">S Augustine Arputharaj</t>
  </si>
  <si>
    <t xml:space="preserve">C Manjula</t>
  </si>
  <si>
    <t xml:space="preserve">Syed Anas Mohideen Sahip</t>
  </si>
  <si>
    <t xml:space="preserve">Kilvelur</t>
  </si>
  <si>
    <t xml:space="preserve">VP Nagaimaali</t>
  </si>
  <si>
    <t xml:space="preserve">S Vadivel Ravanan</t>
  </si>
  <si>
    <t xml:space="preserve">S Ponelavazhaki</t>
  </si>
  <si>
    <t xml:space="preserve">G Sidhu</t>
  </si>
  <si>
    <t xml:space="preserve">M Neethimohan</t>
  </si>
  <si>
    <t xml:space="preserve">Vedaranyam</t>
  </si>
  <si>
    <t xml:space="preserve">OS Manian</t>
  </si>
  <si>
    <t xml:space="preserve">SK Vedarathinam</t>
  </si>
  <si>
    <t xml:space="preserve">PS Arumugam</t>
  </si>
  <si>
    <t xml:space="preserve">Thiruthuraipoondi</t>
  </si>
  <si>
    <t xml:space="preserve">Tiruvarur</t>
  </si>
  <si>
    <t xml:space="preserve">Central Chola</t>
  </si>
  <si>
    <t xml:space="preserve">K Marimuthu</t>
  </si>
  <si>
    <t xml:space="preserve">C Suresh Kumar</t>
  </si>
  <si>
    <t xml:space="preserve">A Aarthi</t>
  </si>
  <si>
    <t xml:space="preserve">S Rajanikanth</t>
  </si>
  <si>
    <t xml:space="preserve">Mannargudi</t>
  </si>
  <si>
    <t xml:space="preserve">TRB Rajaa</t>
  </si>
  <si>
    <t xml:space="preserve">Siva Rajamanickam</t>
  </si>
  <si>
    <t xml:space="preserve">S Kamaraj</t>
  </si>
  <si>
    <t xml:space="preserve">Aravindan Rama</t>
  </si>
  <si>
    <t xml:space="preserve">T Kumaresan</t>
  </si>
  <si>
    <t xml:space="preserve">K Poondi Kalaivanan</t>
  </si>
  <si>
    <t xml:space="preserve">ANR Pannerselvam</t>
  </si>
  <si>
    <t xml:space="preserve">MA Naseema Banu</t>
  </si>
  <si>
    <t xml:space="preserve">P Kabilarasan</t>
  </si>
  <si>
    <t xml:space="preserve">Nannilam</t>
  </si>
  <si>
    <t xml:space="preserve">R Kamaraj</t>
  </si>
  <si>
    <t xml:space="preserve">S Jothiraman</t>
  </si>
  <si>
    <t xml:space="preserve">S Fathima Farhana</t>
  </si>
  <si>
    <t xml:space="preserve">N Ramachandran</t>
  </si>
  <si>
    <t xml:space="preserve">Thiruvidaimarudur</t>
  </si>
  <si>
    <t xml:space="preserve">Thanjavur</t>
  </si>
  <si>
    <t xml:space="preserve">Govi Chezhian</t>
  </si>
  <si>
    <t xml:space="preserve">S Union Veeramani</t>
  </si>
  <si>
    <t xml:space="preserve">M Divya Bharathi</t>
  </si>
  <si>
    <t xml:space="preserve">M Puratchi Mani</t>
  </si>
  <si>
    <t xml:space="preserve">J Kudanthai</t>
  </si>
  <si>
    <t xml:space="preserve">Kumbakonam</t>
  </si>
  <si>
    <t xml:space="preserve">G Anbalagan</t>
  </si>
  <si>
    <t xml:space="preserve">GM Srithar Vandayar</t>
  </si>
  <si>
    <t xml:space="preserve">M Anandh</t>
  </si>
  <si>
    <t xml:space="preserve">S Balamurugan</t>
  </si>
  <si>
    <t xml:space="preserve">G Gopalakrishnan</t>
  </si>
  <si>
    <t xml:space="preserve">Papanasam</t>
  </si>
  <si>
    <t xml:space="preserve">MH Jawahirullah</t>
  </si>
  <si>
    <t xml:space="preserve">K Gopinathan</t>
  </si>
  <si>
    <t xml:space="preserve">M Rengasamy</t>
  </si>
  <si>
    <t xml:space="preserve">K Krishnakumar</t>
  </si>
  <si>
    <t xml:space="preserve">K Shantha</t>
  </si>
  <si>
    <t xml:space="preserve">Thiruvaiyaru</t>
  </si>
  <si>
    <t xml:space="preserve">Durai Chandrasekaran</t>
  </si>
  <si>
    <t xml:space="preserve">S Venkatesan</t>
  </si>
  <si>
    <t xml:space="preserve">V Karthikeyan</t>
  </si>
  <si>
    <t xml:space="preserve">D Senthilnathan</t>
  </si>
  <si>
    <t xml:space="preserve">PT</t>
  </si>
  <si>
    <t xml:space="preserve">G Uthirapathi</t>
  </si>
  <si>
    <t xml:space="preserve">TKG Neelamegam</t>
  </si>
  <si>
    <t xml:space="preserve">V Arivudainambi</t>
  </si>
  <si>
    <t xml:space="preserve">R Subadevi</t>
  </si>
  <si>
    <t xml:space="preserve">G Sundaramohan</t>
  </si>
  <si>
    <t xml:space="preserve">P Ramanathan</t>
  </si>
  <si>
    <t xml:space="preserve">Orathanadu</t>
  </si>
  <si>
    <t xml:space="preserve">R Vaithilingam</t>
  </si>
  <si>
    <t xml:space="preserve">M Ramachandran</t>
  </si>
  <si>
    <t xml:space="preserve">M Sekar</t>
  </si>
  <si>
    <t xml:space="preserve">M Kandhasamy</t>
  </si>
  <si>
    <t xml:space="preserve">V Mookkaiyan</t>
  </si>
  <si>
    <t xml:space="preserve">Pattukottai</t>
  </si>
  <si>
    <t xml:space="preserve">K Annadurai</t>
  </si>
  <si>
    <t xml:space="preserve">NR Rengarajan</t>
  </si>
  <si>
    <t xml:space="preserve">V Balakrishnan</t>
  </si>
  <si>
    <t xml:space="preserve">Keerthika Anbu</t>
  </si>
  <si>
    <t xml:space="preserve">SDS Selvam</t>
  </si>
  <si>
    <t xml:space="preserve">Peravurani</t>
  </si>
  <si>
    <t xml:space="preserve">N Ashokkumar</t>
  </si>
  <si>
    <t xml:space="preserve">SV Thirugnana Sambandam</t>
  </si>
  <si>
    <t xml:space="preserve">K Delipan</t>
  </si>
  <si>
    <t xml:space="preserve">M Sivakumar</t>
  </si>
  <si>
    <t xml:space="preserve">Gandharvakottai</t>
  </si>
  <si>
    <t xml:space="preserve">Pudukottai</t>
  </si>
  <si>
    <t xml:space="preserve">Ramnad</t>
  </si>
  <si>
    <t xml:space="preserve">M Chinnadurai</t>
  </si>
  <si>
    <t xml:space="preserve">S Jayabharathi</t>
  </si>
  <si>
    <t xml:space="preserve">P Lenin</t>
  </si>
  <si>
    <t xml:space="preserve">M Ramila</t>
  </si>
  <si>
    <t xml:space="preserve">Viralimalai</t>
  </si>
  <si>
    <t xml:space="preserve">C Vijayabaskar</t>
  </si>
  <si>
    <t xml:space="preserve">Palaniappam</t>
  </si>
  <si>
    <t xml:space="preserve">P Azhagu Meena</t>
  </si>
  <si>
    <t xml:space="preserve">O Karthi Prabhakaran</t>
  </si>
  <si>
    <t xml:space="preserve">M Dhanalakshmi</t>
  </si>
  <si>
    <t xml:space="preserve">Pudukkottai</t>
  </si>
  <si>
    <t xml:space="preserve">V Muthuraja</t>
  </si>
  <si>
    <t xml:space="preserve">VR Karthik Thondaiman</t>
  </si>
  <si>
    <t xml:space="preserve">Sasikumar</t>
  </si>
  <si>
    <t xml:space="preserve">S Moorthy</t>
  </si>
  <si>
    <t xml:space="preserve">M Subramanian</t>
  </si>
  <si>
    <t xml:space="preserve">Thirumayam</t>
  </si>
  <si>
    <t xml:space="preserve">S Regupathy</t>
  </si>
  <si>
    <t xml:space="preserve">PK Vairamuthu</t>
  </si>
  <si>
    <t xml:space="preserve">U Sivaraman</t>
  </si>
  <si>
    <t xml:space="preserve">S Muniaraju</t>
  </si>
  <si>
    <t xml:space="preserve">Alangudi</t>
  </si>
  <si>
    <t xml:space="preserve">Meyyanathan Siva V</t>
  </si>
  <si>
    <t xml:space="preserve">Dharma Thangavel</t>
  </si>
  <si>
    <t xml:space="preserve">C Thiruchelvam</t>
  </si>
  <si>
    <t xml:space="preserve">D Vidangar</t>
  </si>
  <si>
    <t xml:space="preserve">N Vairavan</t>
  </si>
  <si>
    <t xml:space="preserve">Aranthangi</t>
  </si>
  <si>
    <t xml:space="preserve">MADMK</t>
  </si>
  <si>
    <t xml:space="preserve">M Rajanayagam</t>
  </si>
  <si>
    <t xml:space="preserve">Humayun Kabir MI</t>
  </si>
  <si>
    <t xml:space="preserve">Sivashanmugam K</t>
  </si>
  <si>
    <t xml:space="preserve">Velraj KP</t>
  </si>
  <si>
    <t xml:space="preserve">Karaikudi</t>
  </si>
  <si>
    <t xml:space="preserve">Sivagangai</t>
  </si>
  <si>
    <t xml:space="preserve">S Mangudi</t>
  </si>
  <si>
    <t xml:space="preserve">H Raja</t>
  </si>
  <si>
    <t xml:space="preserve">Dherpoki V Pandi</t>
  </si>
  <si>
    <t xml:space="preserve">N Durai Manickam</t>
  </si>
  <si>
    <t xml:space="preserve">S Rajkumar</t>
  </si>
  <si>
    <t xml:space="preserve">Tiruppattur</t>
  </si>
  <si>
    <t xml:space="preserve">KR Periyakaruppan</t>
  </si>
  <si>
    <t xml:space="preserve">Marudhu Alaguraj</t>
  </si>
  <si>
    <t xml:space="preserve">Kottaikumar</t>
  </si>
  <si>
    <t xml:space="preserve">C Paramasivam</t>
  </si>
  <si>
    <t xml:space="preserve">KK Umadhevan</t>
  </si>
  <si>
    <t xml:space="preserve">PR Senthilnathan</t>
  </si>
  <si>
    <t xml:space="preserve">R Mallika</t>
  </si>
  <si>
    <t xml:space="preserve">K Anbarasan</t>
  </si>
  <si>
    <t xml:space="preserve">C Joseph</t>
  </si>
  <si>
    <t xml:space="preserve">Manamadurai</t>
  </si>
  <si>
    <t xml:space="preserve">A Tamilarasi</t>
  </si>
  <si>
    <t xml:space="preserve">S Nagarajan</t>
  </si>
  <si>
    <t xml:space="preserve">M Shanmugapriya</t>
  </si>
  <si>
    <t xml:space="preserve">S Mariappankennady</t>
  </si>
  <si>
    <t xml:space="preserve">P Sivasankari</t>
  </si>
  <si>
    <t xml:space="preserve">Melur</t>
  </si>
  <si>
    <t xml:space="preserve">Madurai</t>
  </si>
  <si>
    <t xml:space="preserve">Central Pandya</t>
  </si>
  <si>
    <t xml:space="preserve">P Selvam</t>
  </si>
  <si>
    <t xml:space="preserve">T Ravichandran</t>
  </si>
  <si>
    <t xml:space="preserve">A Selvaraj</t>
  </si>
  <si>
    <t xml:space="preserve">P Karuppusamy</t>
  </si>
  <si>
    <t xml:space="preserve">K Kathiresan</t>
  </si>
  <si>
    <t xml:space="preserve">Madurai East</t>
  </si>
  <si>
    <t xml:space="preserve">P Moorthy</t>
  </si>
  <si>
    <t xml:space="preserve">R Gopalakrishnan</t>
  </si>
  <si>
    <t xml:space="preserve">J Latha</t>
  </si>
  <si>
    <t xml:space="preserve">I Muthukrishnan</t>
  </si>
  <si>
    <t xml:space="preserve">T Saravanan</t>
  </si>
  <si>
    <t xml:space="preserve">Sholavandan</t>
  </si>
  <si>
    <t xml:space="preserve">A Venkatesan</t>
  </si>
  <si>
    <t xml:space="preserve">K Manickam</t>
  </si>
  <si>
    <t xml:space="preserve">G Sengannan</t>
  </si>
  <si>
    <t xml:space="preserve">M Jeyalakshmi</t>
  </si>
  <si>
    <t xml:space="preserve">S Yoganathan</t>
  </si>
  <si>
    <t xml:space="preserve">Madurai North</t>
  </si>
  <si>
    <t xml:space="preserve">G Thalapathi</t>
  </si>
  <si>
    <t xml:space="preserve">S Anbarasi</t>
  </si>
  <si>
    <t xml:space="preserve">M Alagar</t>
  </si>
  <si>
    <t xml:space="preserve">M Jeyapal</t>
  </si>
  <si>
    <t xml:space="preserve">Madurai South</t>
  </si>
  <si>
    <t xml:space="preserve">M Bhoominathan</t>
  </si>
  <si>
    <t xml:space="preserve">SS Saravanan</t>
  </si>
  <si>
    <t xml:space="preserve">G Eswaran</t>
  </si>
  <si>
    <t xml:space="preserve">M Abbas</t>
  </si>
  <si>
    <t xml:space="preserve">Sha Raajalingam</t>
  </si>
  <si>
    <t xml:space="preserve">Madurai Central</t>
  </si>
  <si>
    <t xml:space="preserve">Palanivel Thiagarajan</t>
  </si>
  <si>
    <t xml:space="preserve">N Jothi Muthuramalingam</t>
  </si>
  <si>
    <t xml:space="preserve">B Mani</t>
  </si>
  <si>
    <t xml:space="preserve">J Pandiammal</t>
  </si>
  <si>
    <t xml:space="preserve">Kremmer Suresh</t>
  </si>
  <si>
    <t xml:space="preserve">Madurai West</t>
  </si>
  <si>
    <t xml:space="preserve">Sellur K Raju</t>
  </si>
  <si>
    <t xml:space="preserve">C Chinnammal</t>
  </si>
  <si>
    <t xml:space="preserve">C Vetri Kumaran</t>
  </si>
  <si>
    <t xml:space="preserve">V Muniyasamy</t>
  </si>
  <si>
    <t xml:space="preserve">P Balachandran</t>
  </si>
  <si>
    <t xml:space="preserve">Thiruparankundram</t>
  </si>
  <si>
    <t xml:space="preserve">VV Rajan Chellappa</t>
  </si>
  <si>
    <t xml:space="preserve">Ponnuthai</t>
  </si>
  <si>
    <t xml:space="preserve">R Revathy</t>
  </si>
  <si>
    <t xml:space="preserve">M Bharanirajan</t>
  </si>
  <si>
    <t xml:space="preserve">K David Annadurai</t>
  </si>
  <si>
    <t xml:space="preserve">Tirumangalam</t>
  </si>
  <si>
    <t xml:space="preserve">RB Udhayakumar</t>
  </si>
  <si>
    <t xml:space="preserve">M Manimaran</t>
  </si>
  <si>
    <t xml:space="preserve">K Athi Narayanan</t>
  </si>
  <si>
    <t xml:space="preserve">M Saral</t>
  </si>
  <si>
    <t xml:space="preserve">M Ramkumar</t>
  </si>
  <si>
    <t xml:space="preserve">Usilampatti</t>
  </si>
  <si>
    <t xml:space="preserve">AIFB</t>
  </si>
  <si>
    <t xml:space="preserve">P Ayyappan</t>
  </si>
  <si>
    <t xml:space="preserve">PV Kathiravan</t>
  </si>
  <si>
    <t xml:space="preserve">I Mahendran</t>
  </si>
  <si>
    <t xml:space="preserve">G iyndhukovilan</t>
  </si>
  <si>
    <t xml:space="preserve">Andipatti</t>
  </si>
  <si>
    <t xml:space="preserve">Theni</t>
  </si>
  <si>
    <t xml:space="preserve">A Maharajan</t>
  </si>
  <si>
    <t xml:space="preserve">A Logirajan</t>
  </si>
  <si>
    <t xml:space="preserve">R Jeyakumar</t>
  </si>
  <si>
    <t xml:space="preserve">A Jeyakumar</t>
  </si>
  <si>
    <t xml:space="preserve">Periyakulam</t>
  </si>
  <si>
    <t xml:space="preserve">KS Saravana Kumar</t>
  </si>
  <si>
    <t xml:space="preserve">M Murugan</t>
  </si>
  <si>
    <t xml:space="preserve">K Kathirkamu</t>
  </si>
  <si>
    <t xml:space="preserve">Vimala</t>
  </si>
  <si>
    <t xml:space="preserve">S Pandiyarajan</t>
  </si>
  <si>
    <t xml:space="preserve">Bodinayakanur</t>
  </si>
  <si>
    <t xml:space="preserve">O Panneerselvam</t>
  </si>
  <si>
    <t xml:space="preserve">Thanga Tamil Selvan</t>
  </si>
  <si>
    <t xml:space="preserve">M Prem Chandar</t>
  </si>
  <si>
    <t xml:space="preserve">M Muthusamy</t>
  </si>
  <si>
    <t xml:space="preserve">P Ganesh Kumar</t>
  </si>
  <si>
    <t xml:space="preserve">Cumbum</t>
  </si>
  <si>
    <t xml:space="preserve">N Eramakrishnan</t>
  </si>
  <si>
    <t xml:space="preserve">SPM Syed Khan</t>
  </si>
  <si>
    <t xml:space="preserve">Suresh P</t>
  </si>
  <si>
    <t xml:space="preserve">Anish Fathima A</t>
  </si>
  <si>
    <t xml:space="preserve">Venkidesh N</t>
  </si>
  <si>
    <t xml:space="preserve">Rajapalayam</t>
  </si>
  <si>
    <t xml:space="preserve">Virudhunagar</t>
  </si>
  <si>
    <t xml:space="preserve">S Thangappandian</t>
  </si>
  <si>
    <t xml:space="preserve">KT Rajenthra Bhalaji</t>
  </si>
  <si>
    <t xml:space="preserve">V Jeyaraj</t>
  </si>
  <si>
    <t xml:space="preserve">K Kalimuthu</t>
  </si>
  <si>
    <t xml:space="preserve">S Vivekananthan</t>
  </si>
  <si>
    <t xml:space="preserve">Srivilliputhur</t>
  </si>
  <si>
    <t xml:space="preserve">EM Manraj</t>
  </si>
  <si>
    <t xml:space="preserve">PSW Nadhavarao</t>
  </si>
  <si>
    <t xml:space="preserve">S Sangeethapriya</t>
  </si>
  <si>
    <t xml:space="preserve">B Abinaya</t>
  </si>
  <si>
    <t xml:space="preserve">S Shanthi</t>
  </si>
  <si>
    <t xml:space="preserve">Sattur</t>
  </si>
  <si>
    <t xml:space="preserve">ARR Raghuraman</t>
  </si>
  <si>
    <t xml:space="preserve">Rk Ravichandran</t>
  </si>
  <si>
    <t xml:space="preserve">MSR Rajavarman</t>
  </si>
  <si>
    <t xml:space="preserve">K Pandi</t>
  </si>
  <si>
    <t xml:space="preserve">M Bharathi</t>
  </si>
  <si>
    <t xml:space="preserve">Sivakasi</t>
  </si>
  <si>
    <t xml:space="preserve">AMSG Ashokan</t>
  </si>
  <si>
    <t xml:space="preserve">Lakshmi Ganesan</t>
  </si>
  <si>
    <t xml:space="preserve">R Kanagapriya</t>
  </si>
  <si>
    <t xml:space="preserve">G Samikkalai</t>
  </si>
  <si>
    <t xml:space="preserve">S Mugunthan</t>
  </si>
  <si>
    <t xml:space="preserve">ARR Seenivasan</t>
  </si>
  <si>
    <t xml:space="preserve">G Pandurangan</t>
  </si>
  <si>
    <t xml:space="preserve">VR Selvakumar</t>
  </si>
  <si>
    <t xml:space="preserve">M Thangaraj</t>
  </si>
  <si>
    <t xml:space="preserve">SMK</t>
  </si>
  <si>
    <t xml:space="preserve">N Manimaran</t>
  </si>
  <si>
    <t xml:space="preserve">Aruppukkottai</t>
  </si>
  <si>
    <t xml:space="preserve">KKSSR Ramachandran</t>
  </si>
  <si>
    <t xml:space="preserve">Vaigaichelvan</t>
  </si>
  <si>
    <t xml:space="preserve">Uma</t>
  </si>
  <si>
    <t xml:space="preserve">V Umadevi</t>
  </si>
  <si>
    <t xml:space="preserve">Tiruchuli</t>
  </si>
  <si>
    <t xml:space="preserve">Thangam Thennarasu</t>
  </si>
  <si>
    <t xml:space="preserve">S Rajasekar</t>
  </si>
  <si>
    <t xml:space="preserve">A Anandhajothi</t>
  </si>
  <si>
    <t xml:space="preserve">KK Sivasamy</t>
  </si>
  <si>
    <t xml:space="preserve">V Arunkumar</t>
  </si>
  <si>
    <t xml:space="preserve">Paramakudi</t>
  </si>
  <si>
    <t xml:space="preserve">Ramanathapuram</t>
  </si>
  <si>
    <t xml:space="preserve">S Murugesan</t>
  </si>
  <si>
    <t xml:space="preserve">N Sadhan Prabhakar</t>
  </si>
  <si>
    <t xml:space="preserve">S Sasikala</t>
  </si>
  <si>
    <t xml:space="preserve">M Karuppu Raja</t>
  </si>
  <si>
    <t xml:space="preserve">U Selvi</t>
  </si>
  <si>
    <t xml:space="preserve">Tiruvadanai</t>
  </si>
  <si>
    <t xml:space="preserve">RM Karumanikam</t>
  </si>
  <si>
    <t xml:space="preserve">KC Animuthu</t>
  </si>
  <si>
    <t xml:space="preserve">VDN Anandh</t>
  </si>
  <si>
    <t xml:space="preserve">Jawahar</t>
  </si>
  <si>
    <t xml:space="preserve">P Sathyaraj</t>
  </si>
  <si>
    <t xml:space="preserve">Katharbatcha Muthuramalingam</t>
  </si>
  <si>
    <t xml:space="preserve">D Kuppuramu</t>
  </si>
  <si>
    <t xml:space="preserve">K Ilango</t>
  </si>
  <si>
    <t xml:space="preserve">P Malaichamy</t>
  </si>
  <si>
    <t xml:space="preserve">G Munisamy</t>
  </si>
  <si>
    <t xml:space="preserve">Mudhukulathur</t>
  </si>
  <si>
    <t xml:space="preserve">RS Rajakannappan</t>
  </si>
  <si>
    <t xml:space="preserve">Keerthika Muniyasamy</t>
  </si>
  <si>
    <t xml:space="preserve">R Rahmadnisha</t>
  </si>
  <si>
    <t xml:space="preserve">C Navapanneerselvam</t>
  </si>
  <si>
    <t xml:space="preserve">Vilathikulam</t>
  </si>
  <si>
    <t xml:space="preserve">Thoothukudi</t>
  </si>
  <si>
    <t xml:space="preserve">GV Markandayan</t>
  </si>
  <si>
    <t xml:space="preserve">P Chinnappan</t>
  </si>
  <si>
    <t xml:space="preserve">R Balaji</t>
  </si>
  <si>
    <t xml:space="preserve">K Seeni Selvi</t>
  </si>
  <si>
    <t xml:space="preserve">X Wilson</t>
  </si>
  <si>
    <t xml:space="preserve">Thoothukkudi</t>
  </si>
  <si>
    <t xml:space="preserve">P Geetha Jeevan</t>
  </si>
  <si>
    <t xml:space="preserve">SDR Vijayaseelan</t>
  </si>
  <si>
    <t xml:space="preserve">V Velraj</t>
  </si>
  <si>
    <t xml:space="preserve">N Sundar</t>
  </si>
  <si>
    <t xml:space="preserve">U Chandran</t>
  </si>
  <si>
    <t xml:space="preserve">Tiruchendur</t>
  </si>
  <si>
    <t xml:space="preserve">Anitha R Radhakrishnan</t>
  </si>
  <si>
    <t xml:space="preserve">M Radhakrishnan</t>
  </si>
  <si>
    <t xml:space="preserve">S Gloriyan</t>
  </si>
  <si>
    <t xml:space="preserve">S Vadamalaipandian</t>
  </si>
  <si>
    <t xml:space="preserve">M Jayanthi</t>
  </si>
  <si>
    <t xml:space="preserve">Srivaikuntam</t>
  </si>
  <si>
    <t xml:space="preserve">Oorvasi S Amirtharaj</t>
  </si>
  <si>
    <t xml:space="preserve">SP Shanmuganathan</t>
  </si>
  <si>
    <t xml:space="preserve">P Subbiah Pandian</t>
  </si>
  <si>
    <t xml:space="preserve">Eral S Ramesh</t>
  </si>
  <si>
    <t xml:space="preserve">R Chandra Sekar</t>
  </si>
  <si>
    <t xml:space="preserve">Ottapidaram</t>
  </si>
  <si>
    <t xml:space="preserve">MC Shunmugaiah</t>
  </si>
  <si>
    <t xml:space="preserve">P Mohan</t>
  </si>
  <si>
    <t xml:space="preserve">M Vaikundamari</t>
  </si>
  <si>
    <t xml:space="preserve">K Krishnasamy</t>
  </si>
  <si>
    <t xml:space="preserve">S Arumuganainar</t>
  </si>
  <si>
    <t xml:space="preserve">Kovilpatti</t>
  </si>
  <si>
    <t xml:space="preserve">Kadambur Raju</t>
  </si>
  <si>
    <t xml:space="preserve">PF </t>
  </si>
  <si>
    <t xml:space="preserve">TTV Dhinakaran</t>
  </si>
  <si>
    <t xml:space="preserve">K Srinivasan</t>
  </si>
  <si>
    <t xml:space="preserve">M Gomathi</t>
  </si>
  <si>
    <t xml:space="preserve">K Kathiravan</t>
  </si>
  <si>
    <t xml:space="preserve">Sankarankovil</t>
  </si>
  <si>
    <t xml:space="preserve">Tenkasi</t>
  </si>
  <si>
    <t xml:space="preserve">E Raja</t>
  </si>
  <si>
    <t xml:space="preserve">VM Rajalakshmi</t>
  </si>
  <si>
    <t xml:space="preserve">R Annadurai</t>
  </si>
  <si>
    <t xml:space="preserve">P Mahendrakumari</t>
  </si>
  <si>
    <t xml:space="preserve">K Prabhu</t>
  </si>
  <si>
    <t xml:space="preserve">Vasudevanallur</t>
  </si>
  <si>
    <t xml:space="preserve">TMC</t>
  </si>
  <si>
    <t xml:space="preserve">T Sadhan Tirumalaikumar</t>
  </si>
  <si>
    <t xml:space="preserve">A Manoharan</t>
  </si>
  <si>
    <t xml:space="preserve">SS Mathivanan</t>
  </si>
  <si>
    <t xml:space="preserve">S Thangaraj</t>
  </si>
  <si>
    <t xml:space="preserve">V Petchiammal</t>
  </si>
  <si>
    <t xml:space="preserve">Kadayanallur</t>
  </si>
  <si>
    <t xml:space="preserve">C Krishnamurali</t>
  </si>
  <si>
    <t xml:space="preserve">KAM Muhammed Abubacker</t>
  </si>
  <si>
    <t xml:space="preserve">S Ayyaduraipandian</t>
  </si>
  <si>
    <t xml:space="preserve">M Muthulakshmi</t>
  </si>
  <si>
    <t xml:space="preserve">M Ambikadevi</t>
  </si>
  <si>
    <t xml:space="preserve">S Palani Nadar</t>
  </si>
  <si>
    <t xml:space="preserve">S Selvamohandas Pandian</t>
  </si>
  <si>
    <t xml:space="preserve">R Vincentraj</t>
  </si>
  <si>
    <t xml:space="preserve">S Mohamed</t>
  </si>
  <si>
    <t xml:space="preserve">R Thirumalaimuthu</t>
  </si>
  <si>
    <t xml:space="preserve">Alangulam</t>
  </si>
  <si>
    <t xml:space="preserve">PH Manoj Pandian</t>
  </si>
  <si>
    <t xml:space="preserve">Poongothai Aladi Aruna</t>
  </si>
  <si>
    <t xml:space="preserve">A Hari Nadar</t>
  </si>
  <si>
    <t xml:space="preserve">M Sangeetha Esak</t>
  </si>
  <si>
    <t xml:space="preserve">Rajendranathan</t>
  </si>
  <si>
    <t xml:space="preserve">Tirunelveli</t>
  </si>
  <si>
    <t xml:space="preserve">Cape</t>
  </si>
  <si>
    <t xml:space="preserve">Nainar Nagendran</t>
  </si>
  <si>
    <t xml:space="preserve">ALS Lakshmanan</t>
  </si>
  <si>
    <t xml:space="preserve">B Sathya</t>
  </si>
  <si>
    <t xml:space="preserve">AP Mahesh Kannan</t>
  </si>
  <si>
    <t xml:space="preserve">Ambasamudram</t>
  </si>
  <si>
    <t xml:space="preserve">Esakki Subaya</t>
  </si>
  <si>
    <t xml:space="preserve">Avudaiappan R</t>
  </si>
  <si>
    <t xml:space="preserve">Shenbaga Valli</t>
  </si>
  <si>
    <t xml:space="preserve">C Rani Ranjitham</t>
  </si>
  <si>
    <t xml:space="preserve">Sengulam Ganesan C</t>
  </si>
  <si>
    <t xml:space="preserve">Palayamkottai</t>
  </si>
  <si>
    <t xml:space="preserve">M Abdul Wahab</t>
  </si>
  <si>
    <t xml:space="preserve">KJC Jerald</t>
  </si>
  <si>
    <t xml:space="preserve">VMS Mohamed Mubarak</t>
  </si>
  <si>
    <t xml:space="preserve">A Fathima</t>
  </si>
  <si>
    <t xml:space="preserve">D Premnath</t>
  </si>
  <si>
    <t xml:space="preserve">Nanguneri</t>
  </si>
  <si>
    <t xml:space="preserve">Ruby R Manoharan</t>
  </si>
  <si>
    <t xml:space="preserve">N Ganesaraja</t>
  </si>
  <si>
    <t xml:space="preserve">S Paramasiva Iyyappan</t>
  </si>
  <si>
    <t xml:space="preserve">P Veerapandi</t>
  </si>
  <si>
    <t xml:space="preserve">Radhapuram</t>
  </si>
  <si>
    <t xml:space="preserve">M Appavu</t>
  </si>
  <si>
    <t xml:space="preserve">IS Inbadurai</t>
  </si>
  <si>
    <t xml:space="preserve">R Jesu Dhasan</t>
  </si>
  <si>
    <t xml:space="preserve">K Jeyabalan</t>
  </si>
  <si>
    <t xml:space="preserve">G Deva Peran</t>
  </si>
  <si>
    <t xml:space="preserve">Kanniyakumari</t>
  </si>
  <si>
    <t xml:space="preserve">Thalavai Sundaram</t>
  </si>
  <si>
    <t xml:space="preserve">S Austin</t>
  </si>
  <si>
    <t xml:space="preserve">R Sasikala</t>
  </si>
  <si>
    <t xml:space="preserve">PT Selvakumar</t>
  </si>
  <si>
    <t xml:space="preserve">P Senthil Murugan</t>
  </si>
  <si>
    <t xml:space="preserve">Nagercoil</t>
  </si>
  <si>
    <t xml:space="preserve">MR Gandhi</t>
  </si>
  <si>
    <t xml:space="preserve">N Suresh Rajan</t>
  </si>
  <si>
    <t xml:space="preserve">Vijayaragavan</t>
  </si>
  <si>
    <t xml:space="preserve">S Maria Jacob Stani Raja</t>
  </si>
  <si>
    <t xml:space="preserve">I Ammu Anto</t>
  </si>
  <si>
    <t xml:space="preserve">Colachel</t>
  </si>
  <si>
    <t xml:space="preserve">JG Prince</t>
  </si>
  <si>
    <t xml:space="preserve">Ramesh P</t>
  </si>
  <si>
    <t xml:space="preserve">Antony Aslin J</t>
  </si>
  <si>
    <t xml:space="preserve">Lathis Mary S</t>
  </si>
  <si>
    <t xml:space="preserve">Sivakumar M</t>
  </si>
  <si>
    <t xml:space="preserve">Padmanabhapuram</t>
  </si>
  <si>
    <t xml:space="preserve">Mano Thangaraj</t>
  </si>
  <si>
    <t xml:space="preserve">D John Thankam</t>
  </si>
  <si>
    <t xml:space="preserve">Seelan</t>
  </si>
  <si>
    <t xml:space="preserve">D Jenkins</t>
  </si>
  <si>
    <t xml:space="preserve">P Latha</t>
  </si>
  <si>
    <t xml:space="preserve">Vilavancode</t>
  </si>
  <si>
    <t xml:space="preserve">S Vijayadharani</t>
  </si>
  <si>
    <t xml:space="preserve">R Jayaseelan</t>
  </si>
  <si>
    <t xml:space="preserve">Mary Adlin</t>
  </si>
  <si>
    <t xml:space="preserve">Samuel George Kalai Arasar</t>
  </si>
  <si>
    <t xml:space="preserve">L Iden Soni</t>
  </si>
  <si>
    <t xml:space="preserve">Kiliyur</t>
  </si>
  <si>
    <t xml:space="preserve">Juda Dev K V</t>
  </si>
  <si>
    <t xml:space="preserve">Peter H</t>
  </si>
  <si>
    <t xml:space="preserve">Sivakumar</t>
  </si>
  <si>
    <t xml:space="preserve">Jayaraj 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</si>
</sst>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FiraCode Nerd Font"/>
      <family val="0"/>
      <charset val="1"/>
    </font>
    <font>
      <sz val="11"/>
      <name val="FiraCode Nerd Font"/>
      <family val="0"/>
      <charset val="1"/>
    </font>
    <font>
      <sz val="10"/>
      <name val="My Underwood"/>
      <family val="0"/>
      <charset val="1"/>
    </font>
    <font>
      <sz val="10"/>
      <color rgb="FF000000"/>
      <name val="My Underwood"/>
      <family val="0"/>
      <charset val="1"/>
    </font>
    <font>
      <sz val="10"/>
      <color rgb="FFFFFFFF"/>
      <name val="My Underwood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5EB91E"/>
        <bgColor rgb="FF3FAF46"/>
      </patternFill>
    </fill>
    <fill>
      <patternFill patternType="solid">
        <fgColor rgb="FFFF0000"/>
        <bgColor rgb="FFC9211E"/>
      </patternFill>
    </fill>
    <fill>
      <patternFill patternType="solid">
        <fgColor rgb="FF4B2204"/>
        <bgColor rgb="FF611729"/>
      </patternFill>
    </fill>
    <fill>
      <patternFill patternType="solid">
        <fgColor rgb="FFC9211E"/>
        <bgColor rgb="FFD62E4E"/>
      </patternFill>
    </fill>
    <fill>
      <patternFill patternType="solid">
        <fgColor rgb="FFFFB66C"/>
        <bgColor rgb="FFEC9BA4"/>
      </patternFill>
    </fill>
    <fill>
      <patternFill patternType="solid">
        <fgColor rgb="FF2A6099"/>
        <bgColor rgb="FF3465A4"/>
      </patternFill>
    </fill>
    <fill>
      <patternFill patternType="solid">
        <fgColor rgb="FFDDDDDD"/>
        <bgColor rgb="FFCCFFCC"/>
      </patternFill>
    </fill>
    <fill>
      <patternFill patternType="solid">
        <fgColor rgb="FF611729"/>
        <bgColor rgb="FF4E102D"/>
      </patternFill>
    </fill>
    <fill>
      <patternFill patternType="solid">
        <fgColor rgb="FFD62E4E"/>
        <bgColor rgb="FFC9211E"/>
      </patternFill>
    </fill>
    <fill>
      <patternFill patternType="solid">
        <fgColor rgb="FFFFFFFF"/>
        <bgColor rgb="FFCCFFFF"/>
      </patternFill>
    </fill>
    <fill>
      <patternFill patternType="solid">
        <fgColor rgb="FF666666"/>
        <bgColor rgb="FF808080"/>
      </patternFill>
    </fill>
    <fill>
      <patternFill patternType="solid">
        <fgColor rgb="FF3FAF46"/>
        <bgColor rgb="FF5EB91E"/>
      </patternFill>
    </fill>
    <fill>
      <patternFill patternType="solid">
        <fgColor rgb="FFFFFFA6"/>
        <bgColor rgb="FFFFFF6D"/>
      </patternFill>
    </fill>
    <fill>
      <patternFill patternType="solid">
        <fgColor rgb="FFE6E905"/>
        <bgColor rgb="FFFFFF00"/>
      </patternFill>
    </fill>
    <fill>
      <patternFill patternType="solid">
        <fgColor rgb="FF127622"/>
        <bgColor rgb="FF008080"/>
      </patternFill>
    </fill>
    <fill>
      <patternFill patternType="solid">
        <fgColor rgb="FF3465A4"/>
        <bgColor rgb="FF2A6099"/>
      </patternFill>
    </fill>
    <fill>
      <patternFill patternType="solid">
        <fgColor rgb="FF355269"/>
        <bgColor rgb="FF2A6099"/>
      </patternFill>
    </fill>
    <fill>
      <patternFill patternType="solid">
        <fgColor rgb="FFEC9BA4"/>
        <bgColor rgb="FFFF8080"/>
      </patternFill>
    </fill>
    <fill>
      <patternFill patternType="solid">
        <fgColor rgb="FF729FCF"/>
        <bgColor rgb="FF969696"/>
      </patternFill>
    </fill>
    <fill>
      <patternFill patternType="solid">
        <fgColor rgb="FF224B12"/>
        <bgColor rgb="FF28471F"/>
      </patternFill>
    </fill>
    <fill>
      <patternFill patternType="solid">
        <fgColor rgb="FFFF3838"/>
        <bgColor rgb="FFD62E4E"/>
      </patternFill>
    </fill>
    <fill>
      <patternFill patternType="solid">
        <fgColor rgb="FFFFFF6D"/>
        <bgColor rgb="FFFFFFA6"/>
      </patternFill>
    </fill>
    <fill>
      <patternFill patternType="solid">
        <fgColor rgb="FF28471F"/>
        <bgColor rgb="FF224B12"/>
      </patternFill>
    </fill>
    <fill>
      <patternFill patternType="solid">
        <fgColor rgb="FFBBE33D"/>
        <bgColor rgb="FFE6E905"/>
      </patternFill>
    </fill>
    <fill>
      <patternFill patternType="solid">
        <fgColor rgb="FF861141"/>
        <bgColor rgb="FF611729"/>
      </patternFill>
    </fill>
    <fill>
      <patternFill patternType="solid">
        <fgColor rgb="FF4E102D"/>
        <bgColor rgb="FF611729"/>
      </patternFill>
    </fill>
    <fill>
      <patternFill patternType="solid">
        <fgColor rgb="FFEA75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true" applyAlignment="true" applyProtection="false">
      <alignment horizontal="general" vertical="bottom" textRotation="0" wrapText="false" indent="0" shrinkToFit="false"/>
    </xf>
    <xf numFmtId="164" fontId="4" fillId="8" borderId="0" applyFont="true" applyBorder="tru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MMK" xfId="20"/>
    <cellStyle name="CPI" xfId="21"/>
    <cellStyle name="DMDK" xfId="22"/>
    <cellStyle name="DMK" xfId="23"/>
    <cellStyle name="DMK_New" xfId="24"/>
    <cellStyle name="Fascists" xfId="25"/>
    <cellStyle name="INC" xfId="26"/>
    <cellStyle name="Independant" xfId="27"/>
    <cellStyle name="MDMK" xfId="28"/>
    <cellStyle name="MNK_New" xfId="29"/>
    <cellStyle name="MNM" xfId="30"/>
    <cellStyle name="NOTA" xfId="31"/>
    <cellStyle name="NTK" xfId="32"/>
    <cellStyle name="People's Front" xfId="33"/>
    <cellStyle name="PFA" xfId="34"/>
    <cellStyle name="PMK" xfId="35"/>
    <cellStyle name="Untitled4" xfId="36"/>
    <cellStyle name="Untitled5" xfId="37"/>
    <cellStyle name="VCK" xfId="38"/>
  </cellStyles>
  <dxfs count="35">
    <dxf>
      <fill>
        <patternFill>
          <bgColor rgb="FF127622"/>
        </patternFill>
      </fill>
    </dxf>
    <dxf>
      <fill>
        <patternFill>
          <bgColor rgb="FF4B2204"/>
        </patternFill>
      </fill>
    </dxf>
    <dxf>
      <fill>
        <patternFill>
          <bgColor rgb="FF611729"/>
        </patternFill>
      </fill>
    </dxf>
    <dxf>
      <font>
        <color rgb="FF000000"/>
      </font>
      <fill>
        <patternFill>
          <bgColor rgb="FFC9211E"/>
        </patternFill>
      </fill>
    </dxf>
    <dxf>
      <font>
        <color rgb="FF000000"/>
      </font>
      <fill>
        <patternFill>
          <bgColor rgb="FFE6E905"/>
        </patternFill>
      </fill>
    </dxf>
    <dxf>
      <font>
        <color rgb="FF000000"/>
      </font>
      <fill>
        <patternFill>
          <bgColor rgb="FF3465A4"/>
        </patternFill>
      </fill>
    </dxf>
    <dxf>
      <fill>
        <patternFill>
          <bgColor rgb="FFFF0000"/>
        </patternFill>
      </fill>
    </dxf>
    <dxf>
      <fill>
        <patternFill>
          <bgColor rgb="FF666666"/>
        </patternFill>
      </fill>
    </dxf>
    <dxf>
      <font>
        <color rgb="FF000000"/>
      </font>
      <fill>
        <patternFill>
          <bgColor rgb="FFDDDDDD"/>
        </patternFill>
      </fill>
    </dxf>
    <dxf>
      <font>
        <color rgb="FF000000"/>
      </font>
      <fill>
        <patternFill>
          <bgColor rgb="FFDDDDDD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FFFA6"/>
        </patternFill>
      </fill>
    </dxf>
    <dxf>
      <font>
        <color rgb="FF000000"/>
      </font>
      <fill>
        <patternFill>
          <bgColor rgb="FFFFB66C"/>
        </patternFill>
      </fill>
    </dxf>
    <dxf>
      <fill>
        <patternFill>
          <bgColor rgb="FF2A6099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D62E4E"/>
        </patternFill>
      </fill>
    </dxf>
    <dxf>
      <font>
        <color rgb="FF000000"/>
      </font>
      <fill>
        <patternFill>
          <bgColor rgb="FF5EB9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127622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4B2204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611729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C921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E6E905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3465A4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FF0000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66666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DDDDDD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DDDDDD"/>
        </patternFill>
      </fill>
      <border diagonalUp="false" diagonalDown="false">
        <left/>
        <right/>
        <top/>
        <bottom/>
        <diagonal/>
      </border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FF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A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B66C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2A6099"/>
        </patternFill>
      </fill>
      <border diagonalUp="false" diagonalDown="false">
        <left/>
        <right/>
        <top/>
        <bottom/>
        <diagonal/>
      </border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3FAF4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D62E4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5EB9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127622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C921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611729"/>
      <rgbColor rgb="FF127622"/>
      <rgbColor rgb="FF000080"/>
      <rgbColor rgb="FF5EB91E"/>
      <rgbColor rgb="FF861141"/>
      <rgbColor rgb="FF008080"/>
      <rgbColor rgb="FFC0C0C0"/>
      <rgbColor rgb="FF808080"/>
      <rgbColor rgb="FF729FCF"/>
      <rgbColor rgb="FFD62E4E"/>
      <rgbColor rgb="FFFFFF6D"/>
      <rgbColor rgb="FFCCFFFF"/>
      <rgbColor rgb="FF4E102D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EC9BA4"/>
      <rgbColor rgb="FFCC99FF"/>
      <rgbColor rgb="FFFFB66C"/>
      <rgbColor rgb="FF3465A4"/>
      <rgbColor rgb="FF33CCCC"/>
      <rgbColor rgb="FFBBE33D"/>
      <rgbColor rgb="FFFFCC00"/>
      <rgbColor rgb="FFFF9900"/>
      <rgbColor rgb="FFEA7500"/>
      <rgbColor rgb="FF666666"/>
      <rgbColor rgb="FF969696"/>
      <rgbColor rgb="FF003366"/>
      <rgbColor rgb="FF3FAF46"/>
      <rgbColor rgb="FF224B12"/>
      <rgbColor rgb="FF4B2204"/>
      <rgbColor rgb="FFC9211E"/>
      <rgbColor rgb="FFFF3838"/>
      <rgbColor rgb="FF355269"/>
      <rgbColor rgb="FF2847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3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8" activeCellId="0" sqref="D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23.97"/>
    <col collapsed="false" customWidth="true" hidden="false" outlineLevel="0" max="3" min="3" style="1" width="16.78"/>
    <col collapsed="false" customWidth="true" hidden="false" outlineLevel="0" max="4" min="4" style="1" width="17.61"/>
    <col collapsed="false" customWidth="true" hidden="false" outlineLevel="0" max="5" min="5" style="1" width="20.03"/>
    <col collapsed="false" customWidth="true" hidden="false" outlineLevel="0" max="6" min="6" style="1" width="11.22"/>
    <col collapsed="false" customWidth="true" hidden="false" outlineLevel="0" max="7" min="7" style="1" width="10.85"/>
    <col collapsed="false" customWidth="true" hidden="false" outlineLevel="0" max="8" min="8" style="1" width="9.6"/>
    <col collapsed="false" customWidth="true" hidden="false" outlineLevel="0" max="9" min="9" style="1" width="9.13"/>
    <col collapsed="false" customWidth="true" hidden="false" outlineLevel="0" max="10" min="10" style="1" width="9.6"/>
    <col collapsed="false" customWidth="true" hidden="false" outlineLevel="0" max="11" min="11" style="1" width="13.07"/>
    <col collapsed="false" customWidth="true" hidden="false" outlineLevel="0" max="12" min="12" style="1" width="9.13"/>
    <col collapsed="false" customWidth="true" hidden="false" outlineLevel="0" max="13" min="13" style="1" width="13.07"/>
    <col collapsed="false" customWidth="true" hidden="false" outlineLevel="0" max="14" min="14" style="1" width="11.33"/>
    <col collapsed="false" customWidth="true" hidden="false" outlineLevel="0" max="15" min="15" style="1" width="12.61"/>
    <col collapsed="false" customWidth="true" hidden="false" outlineLevel="0" max="16" min="16" style="1" width="9.71"/>
    <col collapsed="false" customWidth="true" hidden="false" outlineLevel="0" max="17" min="17" style="1" width="10.85"/>
    <col collapsed="false" customWidth="true" hidden="false" outlineLevel="0" max="18" min="18" style="1" width="8.9"/>
    <col collapsed="false" customWidth="true" hidden="false" outlineLevel="0" max="19" min="19" style="1" width="10.06"/>
    <col collapsed="false" customWidth="true" hidden="false" outlineLevel="0" max="20" min="20" style="1" width="6.46"/>
    <col collapsed="false" customWidth="true" hidden="false" outlineLevel="0" max="21" min="21" style="1" width="15.74"/>
    <col collapsed="false" customWidth="true" hidden="false" outlineLevel="0" max="22" min="22" style="1" width="12.61"/>
    <col collapsed="false" customWidth="true" hidden="false" outlineLevel="0" max="23" min="23" style="1" width="27.45"/>
    <col collapsed="false" customWidth="true" hidden="false" outlineLevel="0" max="24" min="24" style="1" width="11.22"/>
    <col collapsed="false" customWidth="true" hidden="false" outlineLevel="0" max="25" min="25" style="1" width="13.88"/>
    <col collapsed="false" customWidth="true" hidden="false" outlineLevel="0" max="26" min="26" style="1" width="15.74"/>
    <col collapsed="false" customWidth="true" hidden="false" outlineLevel="0" max="27" min="27" style="1" width="12.61"/>
    <col collapsed="false" customWidth="true" hidden="false" outlineLevel="0" max="28" min="28" style="1" width="25.94"/>
    <col collapsed="false" customWidth="true" hidden="false" outlineLevel="0" max="29" min="29" style="1" width="11.22"/>
    <col collapsed="false" customWidth="true" hidden="false" outlineLevel="0" max="30" min="30" style="1" width="13.88"/>
    <col collapsed="false" customWidth="true" hidden="false" outlineLevel="0" max="31" min="31" style="1" width="18.17"/>
    <col collapsed="false" customWidth="true" hidden="false" outlineLevel="0" max="32" min="32" style="1" width="15.05"/>
    <col collapsed="false" customWidth="true" hidden="false" outlineLevel="0" max="33" min="33" style="1" width="27.1"/>
    <col collapsed="false" customWidth="true" hidden="false" outlineLevel="0" max="34" min="34" style="1" width="13.65"/>
    <col collapsed="false" customWidth="true" hidden="false" outlineLevel="0" max="35" min="35" style="1" width="16.31"/>
    <col collapsed="false" customWidth="true" hidden="false" outlineLevel="0" max="36" min="36" style="1" width="17.01"/>
    <col collapsed="false" customWidth="true" hidden="false" outlineLevel="0" max="37" min="37" style="1" width="13.88"/>
    <col collapsed="false" customWidth="true" hidden="false" outlineLevel="0" max="38" min="38" style="1" width="25.01"/>
    <col collapsed="false" customWidth="true" hidden="false" outlineLevel="0" max="39" min="39" style="1" width="12.5"/>
    <col collapsed="false" customWidth="true" hidden="false" outlineLevel="0" max="40" min="40" style="1" width="15.16"/>
    <col collapsed="false" customWidth="true" hidden="false" outlineLevel="0" max="41" min="41" style="1" width="16.9"/>
    <col collapsed="false" customWidth="true" hidden="false" outlineLevel="0" max="42" min="42" style="1" width="13.75"/>
    <col collapsed="false" customWidth="true" hidden="false" outlineLevel="0" max="43" min="43" style="1" width="28.94"/>
    <col collapsed="false" customWidth="true" hidden="false" outlineLevel="0" max="44" min="44" style="1" width="12.38"/>
    <col collapsed="false" customWidth="true" hidden="false" outlineLevel="0" max="45" min="45" style="1" width="15.05"/>
    <col collapsed="false" customWidth="false" hidden="false" outlineLevel="0" max="46" min="46" style="1" width="11.53"/>
    <col collapsed="false" customWidth="false" hidden="false" outlineLevel="0" max="16384" min="48" style="1" width="11.53"/>
  </cols>
  <sheetData>
    <row r="1" customFormat="false" ht="15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5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5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4" t="s">
        <v>44</v>
      </c>
    </row>
    <row r="2" customFormat="false" ht="12.8" hidden="false" customHeight="false" outlineLevel="0" collapsed="false">
      <c r="A2" s="6" t="n">
        <v>1</v>
      </c>
      <c r="B2" s="7" t="s">
        <v>45</v>
      </c>
      <c r="C2" s="7" t="s">
        <v>46</v>
      </c>
      <c r="D2" s="7" t="s">
        <v>47</v>
      </c>
      <c r="E2" s="7" t="s">
        <v>48</v>
      </c>
      <c r="F2" s="7" t="s">
        <v>49</v>
      </c>
      <c r="G2" s="7" t="s">
        <v>50</v>
      </c>
      <c r="H2" s="7" t="s">
        <v>50</v>
      </c>
      <c r="I2" s="7" t="s">
        <v>50</v>
      </c>
      <c r="J2" s="7" t="s">
        <v>50</v>
      </c>
      <c r="K2" s="7" t="s">
        <v>50</v>
      </c>
      <c r="L2" s="7" t="s">
        <v>50</v>
      </c>
      <c r="M2" s="7" t="s">
        <v>50</v>
      </c>
      <c r="N2" s="7" t="s">
        <v>50</v>
      </c>
      <c r="O2" s="7" t="n">
        <v>281688</v>
      </c>
      <c r="P2" s="7" t="n">
        <v>222069</v>
      </c>
      <c r="Q2" s="8" t="n">
        <f aca="false">(P2/O2)*100</f>
        <v>78.8350941467155</v>
      </c>
      <c r="R2" s="7" t="n">
        <f aca="false">X2-AC2</f>
        <v>50938</v>
      </c>
      <c r="S2" s="8" t="n">
        <f aca="false">(R2/P2)*100</f>
        <v>22.9379156928702</v>
      </c>
      <c r="T2" s="8" t="n">
        <f aca="false">Y2+AD2</f>
        <v>90.9474082379801</v>
      </c>
      <c r="U2" s="7" t="s">
        <v>51</v>
      </c>
      <c r="V2" s="7" t="s">
        <v>52</v>
      </c>
      <c r="W2" s="7" t="s">
        <v>53</v>
      </c>
      <c r="X2" s="7" t="n">
        <v>126452</v>
      </c>
      <c r="Y2" s="8" t="n">
        <f aca="false">(X2/P2)*100</f>
        <v>56.9426619654252</v>
      </c>
      <c r="Z2" s="7" t="s">
        <v>54</v>
      </c>
      <c r="AA2" s="7" t="s">
        <v>55</v>
      </c>
      <c r="AB2" s="7" t="s">
        <v>56</v>
      </c>
      <c r="AC2" s="7" t="n">
        <v>75514</v>
      </c>
      <c r="AD2" s="8" t="n">
        <f aca="false">(AC2/P2)*100</f>
        <v>34.0047462725549</v>
      </c>
      <c r="AE2" s="7" t="s">
        <v>57</v>
      </c>
      <c r="AF2" s="7" t="s">
        <v>57</v>
      </c>
      <c r="AG2" s="7" t="s">
        <v>58</v>
      </c>
      <c r="AH2" s="7" t="n">
        <v>11701</v>
      </c>
      <c r="AI2" s="8" t="n">
        <f aca="false">(AH2/P2)*100</f>
        <v>5.26908303275108</v>
      </c>
      <c r="AJ2" s="9" t="s">
        <v>59</v>
      </c>
      <c r="AK2" s="7" t="s">
        <v>60</v>
      </c>
      <c r="AL2" s="7" t="s">
        <v>61</v>
      </c>
      <c r="AM2" s="7" t="n">
        <v>2576</v>
      </c>
      <c r="AN2" s="8" t="n">
        <f aca="false">(AM2/P2)*100</f>
        <v>1.1599998198758</v>
      </c>
      <c r="AO2" s="7" t="s">
        <v>62</v>
      </c>
      <c r="AP2" s="7" t="s">
        <v>62</v>
      </c>
      <c r="AQ2" s="7" t="s">
        <v>62</v>
      </c>
      <c r="AR2" s="7" t="n">
        <v>1783</v>
      </c>
      <c r="AS2" s="8" t="n">
        <f aca="false">(AR2/P2)*100</f>
        <v>0.802903602033602</v>
      </c>
    </row>
    <row r="3" customFormat="false" ht="12.8" hidden="false" customHeight="false" outlineLevel="0" collapsed="false">
      <c r="A3" s="6" t="n">
        <v>2</v>
      </c>
      <c r="B3" s="7" t="s">
        <v>63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64</v>
      </c>
      <c r="H3" s="7" t="s">
        <v>50</v>
      </c>
      <c r="I3" s="7" t="s">
        <v>50</v>
      </c>
      <c r="J3" s="7" t="s">
        <v>50</v>
      </c>
      <c r="K3" s="7" t="s">
        <v>50</v>
      </c>
      <c r="L3" s="7" t="s">
        <v>50</v>
      </c>
      <c r="M3" s="7" t="s">
        <v>50</v>
      </c>
      <c r="N3" s="7" t="s">
        <v>50</v>
      </c>
      <c r="O3" s="7" t="n">
        <v>267368</v>
      </c>
      <c r="P3" s="7" t="n">
        <v>210354</v>
      </c>
      <c r="Q3" s="8" t="n">
        <f aca="false">(P3/O3)*100</f>
        <v>78.6758325603662</v>
      </c>
      <c r="R3" s="7" t="n">
        <f aca="false">X3-AC3</f>
        <v>9689</v>
      </c>
      <c r="S3" s="8" t="n">
        <f aca="false">(R3/P3)*100</f>
        <v>4.60604504787168</v>
      </c>
      <c r="T3" s="8" t="n">
        <f aca="false">Y3+AD3</f>
        <v>85.2691177728971</v>
      </c>
      <c r="U3" s="7" t="s">
        <v>51</v>
      </c>
      <c r="V3" s="7" t="s">
        <v>65</v>
      </c>
      <c r="W3" s="7" t="s">
        <v>66</v>
      </c>
      <c r="X3" s="7" t="n">
        <v>94528</v>
      </c>
      <c r="Y3" s="8" t="n">
        <f aca="false">(X3/P3)*100</f>
        <v>44.9375814103844</v>
      </c>
      <c r="Z3" s="7" t="s">
        <v>54</v>
      </c>
      <c r="AA3" s="7" t="s">
        <v>67</v>
      </c>
      <c r="AB3" s="7" t="s">
        <v>68</v>
      </c>
      <c r="AC3" s="7" t="n">
        <v>84839</v>
      </c>
      <c r="AD3" s="8" t="n">
        <f aca="false">(AC3/P3)*100</f>
        <v>40.3315363625127</v>
      </c>
      <c r="AE3" s="7" t="s">
        <v>57</v>
      </c>
      <c r="AF3" s="7" t="s">
        <v>57</v>
      </c>
      <c r="AG3" s="7" t="s">
        <v>69</v>
      </c>
      <c r="AH3" s="7" t="n">
        <v>19027</v>
      </c>
      <c r="AI3" s="8" t="n">
        <f aca="false">(AH3/P3)*100</f>
        <v>9.04522851954325</v>
      </c>
      <c r="AJ3" s="7" t="s">
        <v>70</v>
      </c>
      <c r="AK3" s="7" t="s">
        <v>71</v>
      </c>
      <c r="AL3" s="7" t="s">
        <v>72</v>
      </c>
      <c r="AM3" s="7" t="n">
        <v>5394</v>
      </c>
      <c r="AN3" s="8" t="n">
        <f aca="false">(AM3/P3)*100</f>
        <v>2.56424883767364</v>
      </c>
      <c r="AO3" s="10" t="s">
        <v>59</v>
      </c>
      <c r="AP3" s="7" t="s">
        <v>73</v>
      </c>
      <c r="AQ3" s="7" t="s">
        <v>74</v>
      </c>
      <c r="AR3" s="7" t="n">
        <v>2832</v>
      </c>
      <c r="AS3" s="8" t="n">
        <f aca="false">(AR3/P3)*100</f>
        <v>1.34630194814456</v>
      </c>
    </row>
    <row r="4" customFormat="false" ht="12.8" hidden="false" customHeight="false" outlineLevel="0" collapsed="false">
      <c r="A4" s="6" t="n">
        <v>3</v>
      </c>
      <c r="B4" s="7" t="s">
        <v>75</v>
      </c>
      <c r="C4" s="7" t="s">
        <v>46</v>
      </c>
      <c r="D4" s="7" t="s">
        <v>47</v>
      </c>
      <c r="E4" s="7" t="s">
        <v>48</v>
      </c>
      <c r="F4" s="7" t="s">
        <v>76</v>
      </c>
      <c r="G4" s="7" t="s">
        <v>50</v>
      </c>
      <c r="H4" s="7" t="s">
        <v>50</v>
      </c>
      <c r="I4" s="7" t="s">
        <v>50</v>
      </c>
      <c r="J4" s="7" t="s">
        <v>50</v>
      </c>
      <c r="K4" s="7" t="s">
        <v>67</v>
      </c>
      <c r="L4" s="7" t="s">
        <v>50</v>
      </c>
      <c r="M4" s="7" t="s">
        <v>50</v>
      </c>
      <c r="N4" s="7" t="s">
        <v>50</v>
      </c>
      <c r="O4" s="7" t="n">
        <v>291336</v>
      </c>
      <c r="P4" s="7" t="n">
        <v>232624</v>
      </c>
      <c r="Q4" s="8" t="n">
        <f aca="false">(P4/O4)*100</f>
        <v>79.8473240519538</v>
      </c>
      <c r="R4" s="7" t="n">
        <f aca="false">X4-AC4</f>
        <v>29253</v>
      </c>
      <c r="S4" s="8" t="n">
        <f aca="false">(R4/P4)*100</f>
        <v>12.5752286952335</v>
      </c>
      <c r="T4" s="8" t="n">
        <f aca="false">Y4+AD4</f>
        <v>90.865516885618</v>
      </c>
      <c r="U4" s="7" t="s">
        <v>51</v>
      </c>
      <c r="V4" s="7" t="s">
        <v>52</v>
      </c>
      <c r="W4" s="7" t="s">
        <v>77</v>
      </c>
      <c r="X4" s="7" t="n">
        <v>120314</v>
      </c>
      <c r="Y4" s="8" t="n">
        <f aca="false">(X4/P4)*100</f>
        <v>51.7203727904258</v>
      </c>
      <c r="Z4" s="7" t="s">
        <v>54</v>
      </c>
      <c r="AA4" s="7" t="s">
        <v>67</v>
      </c>
      <c r="AB4" s="7" t="s">
        <v>78</v>
      </c>
      <c r="AC4" s="7" t="n">
        <v>91061</v>
      </c>
      <c r="AD4" s="8" t="n">
        <f aca="false">(AC4/P4)*100</f>
        <v>39.1451440951922</v>
      </c>
      <c r="AE4" s="7" t="s">
        <v>57</v>
      </c>
      <c r="AF4" s="7" t="s">
        <v>57</v>
      </c>
      <c r="AG4" s="7" t="s">
        <v>79</v>
      </c>
      <c r="AH4" s="7" t="n">
        <v>12007</v>
      </c>
      <c r="AI4" s="8" t="n">
        <f aca="false">(AH4/P4)*100</f>
        <v>5.16154824953573</v>
      </c>
      <c r="AJ4" s="10" t="s">
        <v>59</v>
      </c>
      <c r="AK4" s="7" t="s">
        <v>60</v>
      </c>
      <c r="AL4" s="7" t="s">
        <v>80</v>
      </c>
      <c r="AM4" s="7" t="n">
        <v>3928</v>
      </c>
      <c r="AN4" s="8" t="n">
        <f aca="false">(AM4/P4)*100</f>
        <v>1.68856179929844</v>
      </c>
      <c r="AO4" s="7" t="s">
        <v>62</v>
      </c>
      <c r="AP4" s="7" t="s">
        <v>62</v>
      </c>
      <c r="AQ4" s="7" t="s">
        <v>62</v>
      </c>
      <c r="AR4" s="7" t="n">
        <v>1665</v>
      </c>
      <c r="AS4" s="8" t="n">
        <f aca="false">(AR4/P4)*100</f>
        <v>0.715747300364537</v>
      </c>
    </row>
    <row r="5" customFormat="false" ht="12.8" hidden="false" customHeight="false" outlineLevel="0" collapsed="false">
      <c r="A5" s="6" t="n">
        <v>4</v>
      </c>
      <c r="B5" s="7" t="s">
        <v>46</v>
      </c>
      <c r="C5" s="7" t="s">
        <v>46</v>
      </c>
      <c r="D5" s="7" t="s">
        <v>47</v>
      </c>
      <c r="E5" s="7" t="s">
        <v>48</v>
      </c>
      <c r="F5" s="7" t="s">
        <v>76</v>
      </c>
      <c r="G5" s="7" t="s">
        <v>50</v>
      </c>
      <c r="H5" s="7" t="s">
        <v>50</v>
      </c>
      <c r="I5" s="7" t="s">
        <v>50</v>
      </c>
      <c r="J5" s="7" t="s">
        <v>50</v>
      </c>
      <c r="K5" s="7" t="s">
        <v>67</v>
      </c>
      <c r="L5" s="7" t="s">
        <v>50</v>
      </c>
      <c r="M5" s="7" t="s">
        <v>50</v>
      </c>
      <c r="N5" s="7" t="s">
        <v>50</v>
      </c>
      <c r="O5" s="7" t="n">
        <v>274982</v>
      </c>
      <c r="P5" s="7" t="n">
        <v>214243</v>
      </c>
      <c r="Q5" s="8" t="n">
        <f aca="false">(P5/O5)*100</f>
        <v>77.9116451258628</v>
      </c>
      <c r="R5" s="7" t="n">
        <f aca="false">X5-AC5</f>
        <v>22701</v>
      </c>
      <c r="S5" s="8" t="n">
        <f aca="false">(R5/P5)*100</f>
        <v>10.5959121184823</v>
      </c>
      <c r="T5" s="8" t="n">
        <f aca="false">Y5+AD5</f>
        <v>89.9525305377539</v>
      </c>
      <c r="U5" s="7" t="s">
        <v>51</v>
      </c>
      <c r="V5" s="7" t="s">
        <v>52</v>
      </c>
      <c r="W5" s="7" t="s">
        <v>81</v>
      </c>
      <c r="X5" s="7" t="n">
        <v>107709</v>
      </c>
      <c r="Y5" s="8" t="n">
        <f aca="false">(X5/P5)*100</f>
        <v>50.2742213281181</v>
      </c>
      <c r="Z5" s="7" t="s">
        <v>54</v>
      </c>
      <c r="AA5" s="7" t="s">
        <v>67</v>
      </c>
      <c r="AB5" s="7" t="s">
        <v>82</v>
      </c>
      <c r="AC5" s="7" t="n">
        <v>85008</v>
      </c>
      <c r="AD5" s="8" t="n">
        <f aca="false">(AC5/P5)*100</f>
        <v>39.6783092096358</v>
      </c>
      <c r="AE5" s="7" t="s">
        <v>57</v>
      </c>
      <c r="AF5" s="7" t="s">
        <v>57</v>
      </c>
      <c r="AG5" s="7" t="s">
        <v>83</v>
      </c>
      <c r="AH5" s="7" t="n">
        <v>15028</v>
      </c>
      <c r="AI5" s="8" t="n">
        <f aca="false">(AH5/P5)*100</f>
        <v>7.01446488333341</v>
      </c>
      <c r="AJ5" s="11" t="s">
        <v>84</v>
      </c>
      <c r="AK5" s="11" t="s">
        <v>84</v>
      </c>
      <c r="AL5" s="7" t="s">
        <v>85</v>
      </c>
      <c r="AM5" s="7" t="n">
        <v>2329</v>
      </c>
      <c r="AN5" s="8" t="n">
        <f aca="false">(AM5/P5)*100</f>
        <v>1.08708335861615</v>
      </c>
      <c r="AO5" s="7" t="s">
        <v>62</v>
      </c>
      <c r="AP5" s="7" t="s">
        <v>62</v>
      </c>
      <c r="AQ5" s="7" t="s">
        <v>62</v>
      </c>
      <c r="AR5" s="7" t="n">
        <v>1872</v>
      </c>
      <c r="AS5" s="8" t="n">
        <f aca="false">(AR5/P5)*100</f>
        <v>0.873774172318349</v>
      </c>
    </row>
    <row r="6" customFormat="false" ht="12.8" hidden="false" customHeight="false" outlineLevel="0" collapsed="false">
      <c r="A6" s="6" t="n">
        <v>5</v>
      </c>
      <c r="B6" s="7" t="s">
        <v>86</v>
      </c>
      <c r="C6" s="7" t="s">
        <v>46</v>
      </c>
      <c r="D6" s="7" t="s">
        <v>47</v>
      </c>
      <c r="E6" s="7" t="s">
        <v>48</v>
      </c>
      <c r="F6" s="7" t="s">
        <v>87</v>
      </c>
      <c r="G6" s="7" t="s">
        <v>64</v>
      </c>
      <c r="H6" s="7" t="s">
        <v>50</v>
      </c>
      <c r="I6" s="7" t="s">
        <v>50</v>
      </c>
      <c r="J6" s="7" t="s">
        <v>50</v>
      </c>
      <c r="K6" s="7" t="s">
        <v>50</v>
      </c>
      <c r="L6" s="7" t="s">
        <v>50</v>
      </c>
      <c r="M6" s="7" t="s">
        <v>50</v>
      </c>
      <c r="N6" s="7" t="s">
        <v>50</v>
      </c>
      <c r="O6" s="7" t="n">
        <v>358218</v>
      </c>
      <c r="P6" s="7" t="n">
        <v>263736</v>
      </c>
      <c r="Q6" s="8" t="n">
        <f aca="false">(P6/O6)*100</f>
        <v>73.6244409828652</v>
      </c>
      <c r="R6" s="7" t="n">
        <f aca="false">X6-AC6</f>
        <v>94110</v>
      </c>
      <c r="S6" s="8" t="n">
        <f aca="false">(R6/P6)*100</f>
        <v>35.6834106834107</v>
      </c>
      <c r="T6" s="8" t="n">
        <f aca="false">Y6+AD6</f>
        <v>77.7466860800194</v>
      </c>
      <c r="U6" s="7" t="s">
        <v>51</v>
      </c>
      <c r="V6" s="7" t="s">
        <v>52</v>
      </c>
      <c r="W6" s="7" t="s">
        <v>88</v>
      </c>
      <c r="X6" s="7" t="n">
        <v>149578</v>
      </c>
      <c r="Y6" s="8" t="n">
        <f aca="false">(X6/P6)*100</f>
        <v>56.7150483817151</v>
      </c>
      <c r="Z6" s="7" t="s">
        <v>54</v>
      </c>
      <c r="AA6" s="7" t="s">
        <v>55</v>
      </c>
      <c r="AB6" s="7" t="s">
        <v>89</v>
      </c>
      <c r="AC6" s="7" t="n">
        <v>55468</v>
      </c>
      <c r="AD6" s="8" t="n">
        <f aca="false">(AC6/P6)*100</f>
        <v>21.0316376983044</v>
      </c>
      <c r="AE6" s="7" t="s">
        <v>57</v>
      </c>
      <c r="AF6" s="7" t="s">
        <v>57</v>
      </c>
      <c r="AG6" s="7" t="s">
        <v>90</v>
      </c>
      <c r="AH6" s="7" t="n">
        <v>29871</v>
      </c>
      <c r="AI6" s="8" t="n">
        <f aca="false">(AH6/P6)*100</f>
        <v>11.3260988260988</v>
      </c>
      <c r="AJ6" s="7" t="s">
        <v>70</v>
      </c>
      <c r="AK6" s="7" t="s">
        <v>71</v>
      </c>
      <c r="AL6" s="7" t="s">
        <v>91</v>
      </c>
      <c r="AM6" s="7" t="n">
        <v>11927</v>
      </c>
      <c r="AN6" s="8" t="n">
        <f aca="false">(AM6/P6)*100</f>
        <v>4.52232535565869</v>
      </c>
      <c r="AO6" s="9" t="s">
        <v>59</v>
      </c>
      <c r="AP6" s="7" t="s">
        <v>73</v>
      </c>
      <c r="AQ6" s="7" t="s">
        <v>92</v>
      </c>
      <c r="AR6" s="7" t="n">
        <v>8805</v>
      </c>
      <c r="AS6" s="8" t="n">
        <f aca="false">(AR6/P6)*100</f>
        <v>3.33856583856584</v>
      </c>
    </row>
    <row r="7" customFormat="false" ht="12.8" hidden="false" customHeight="false" outlineLevel="0" collapsed="false">
      <c r="A7" s="6" t="n">
        <v>6</v>
      </c>
      <c r="B7" s="7" t="s">
        <v>93</v>
      </c>
      <c r="C7" s="7" t="s">
        <v>46</v>
      </c>
      <c r="D7" s="7" t="s">
        <v>47</v>
      </c>
      <c r="E7" s="7" t="s">
        <v>48</v>
      </c>
      <c r="F7" s="7" t="s">
        <v>87</v>
      </c>
      <c r="G7" s="7" t="s">
        <v>50</v>
      </c>
      <c r="H7" s="7" t="s">
        <v>50</v>
      </c>
      <c r="I7" s="7" t="s">
        <v>50</v>
      </c>
      <c r="J7" s="7" t="s">
        <v>50</v>
      </c>
      <c r="K7" s="7" t="s">
        <v>50</v>
      </c>
      <c r="L7" s="7" t="s">
        <v>50</v>
      </c>
      <c r="M7" s="7" t="s">
        <v>50</v>
      </c>
      <c r="N7" s="7" t="s">
        <v>50</v>
      </c>
      <c r="O7" s="7" t="n">
        <v>442831</v>
      </c>
      <c r="P7" s="7" t="n">
        <v>300927</v>
      </c>
      <c r="Q7" s="8" t="n">
        <f aca="false">(P7/O7)*100</f>
        <v>67.955269617529</v>
      </c>
      <c r="R7" s="7" t="n">
        <f aca="false">X7-AC7</f>
        <v>55275</v>
      </c>
      <c r="S7" s="8" t="n">
        <f aca="false">(R7/P7)*100</f>
        <v>18.3682421318127</v>
      </c>
      <c r="T7" s="8" t="n">
        <f aca="false">Y7+AD7</f>
        <v>81.5144536714884</v>
      </c>
      <c r="U7" s="7" t="s">
        <v>51</v>
      </c>
      <c r="V7" s="7" t="s">
        <v>52</v>
      </c>
      <c r="W7" s="7" t="s">
        <v>94</v>
      </c>
      <c r="X7" s="7" t="n">
        <v>150287</v>
      </c>
      <c r="Y7" s="8" t="n">
        <f aca="false">(X7/P7)*100</f>
        <v>49.9413479016506</v>
      </c>
      <c r="Z7" s="7" t="s">
        <v>54</v>
      </c>
      <c r="AA7" s="7" t="s">
        <v>67</v>
      </c>
      <c r="AB7" s="7" t="s">
        <v>95</v>
      </c>
      <c r="AC7" s="7" t="n">
        <v>95012</v>
      </c>
      <c r="AD7" s="8" t="n">
        <f aca="false">(AC7/P7)*100</f>
        <v>31.5731057698379</v>
      </c>
      <c r="AE7" s="7" t="s">
        <v>57</v>
      </c>
      <c r="AF7" s="7" t="s">
        <v>57</v>
      </c>
      <c r="AG7" s="7" t="s">
        <v>96</v>
      </c>
      <c r="AH7" s="7" t="n">
        <v>30087</v>
      </c>
      <c r="AI7" s="8" t="n">
        <f aca="false">(AH7/P7)*100</f>
        <v>9.9981058529145</v>
      </c>
      <c r="AJ7" s="7" t="s">
        <v>70</v>
      </c>
      <c r="AK7" s="7" t="s">
        <v>71</v>
      </c>
      <c r="AL7" s="7" t="s">
        <v>97</v>
      </c>
      <c r="AM7" s="7" t="n">
        <v>17092</v>
      </c>
      <c r="AN7" s="8" t="n">
        <f aca="false">(AM7/P7)*100</f>
        <v>5.67978280446753</v>
      </c>
      <c r="AO7" s="7" t="s">
        <v>62</v>
      </c>
      <c r="AP7" s="7" t="s">
        <v>62</v>
      </c>
      <c r="AQ7" s="7" t="s">
        <v>62</v>
      </c>
      <c r="AR7" s="7" t="n">
        <v>2381</v>
      </c>
      <c r="AS7" s="8" t="n">
        <f aca="false">(AR7/P7)*100</f>
        <v>0.791221791331453</v>
      </c>
    </row>
    <row r="8" customFormat="false" ht="12.8" hidden="false" customHeight="false" outlineLevel="0" collapsed="false">
      <c r="A8" s="6" t="n">
        <v>7</v>
      </c>
      <c r="B8" s="7" t="s">
        <v>98</v>
      </c>
      <c r="C8" s="7" t="s">
        <v>99</v>
      </c>
      <c r="D8" s="7" t="s">
        <v>99</v>
      </c>
      <c r="E8" s="7" t="s">
        <v>47</v>
      </c>
      <c r="F8" s="7" t="s">
        <v>87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n">
        <v>452195</v>
      </c>
      <c r="P8" s="7" t="n">
        <v>273870</v>
      </c>
      <c r="Q8" s="8" t="n">
        <f aca="false">(P8/O8)*100</f>
        <v>60.5645794402857</v>
      </c>
      <c r="R8" s="7" t="n">
        <f aca="false">X8-AC8</f>
        <v>31721</v>
      </c>
      <c r="S8" s="8" t="n">
        <f aca="false">(R8/P8)*100</f>
        <v>11.5825026472414</v>
      </c>
      <c r="T8" s="8" t="n">
        <f aca="false">Y8+AD8</f>
        <v>76.9982108299558</v>
      </c>
      <c r="U8" s="7" t="s">
        <v>51</v>
      </c>
      <c r="V8" s="7" t="s">
        <v>52</v>
      </c>
      <c r="W8" s="7" t="s">
        <v>100</v>
      </c>
      <c r="X8" s="7" t="n">
        <v>121298</v>
      </c>
      <c r="Y8" s="8" t="n">
        <f aca="false">(X8/P8)*100</f>
        <v>44.2903567385986</v>
      </c>
      <c r="Z8" s="7" t="s">
        <v>54</v>
      </c>
      <c r="AA8" s="7" t="s">
        <v>67</v>
      </c>
      <c r="AB8" s="7" t="s">
        <v>101</v>
      </c>
      <c r="AC8" s="7" t="n">
        <v>89577</v>
      </c>
      <c r="AD8" s="8" t="n">
        <f aca="false">(AC8/P8)*100</f>
        <v>32.7078540913572</v>
      </c>
      <c r="AE8" s="7" t="s">
        <v>70</v>
      </c>
      <c r="AF8" s="7" t="s">
        <v>71</v>
      </c>
      <c r="AG8" s="7" t="s">
        <v>102</v>
      </c>
      <c r="AH8" s="7" t="n">
        <v>33401</v>
      </c>
      <c r="AI8" s="8" t="n">
        <f aca="false">(AH8/P8)*100</f>
        <v>12.1959323766751</v>
      </c>
      <c r="AJ8" s="7" t="s">
        <v>57</v>
      </c>
      <c r="AK8" s="7" t="s">
        <v>57</v>
      </c>
      <c r="AL8" s="7" t="s">
        <v>103</v>
      </c>
      <c r="AM8" s="7" t="n">
        <v>21045</v>
      </c>
      <c r="AN8" s="8" t="n">
        <f aca="false">(AM8/P8)*100</f>
        <v>7.68430277138789</v>
      </c>
      <c r="AO8" s="10" t="s">
        <v>59</v>
      </c>
      <c r="AP8" s="7" t="s">
        <v>73</v>
      </c>
      <c r="AQ8" s="7" t="s">
        <v>104</v>
      </c>
      <c r="AR8" s="7" t="n">
        <v>2660</v>
      </c>
      <c r="AS8" s="8" t="n">
        <f aca="false">(AR8/P8)*100</f>
        <v>0.971263738269982</v>
      </c>
    </row>
    <row r="9" customFormat="false" ht="12.8" hidden="false" customHeight="false" outlineLevel="0" collapsed="false">
      <c r="A9" s="6" t="n">
        <v>8</v>
      </c>
      <c r="B9" s="7" t="s">
        <v>105</v>
      </c>
      <c r="C9" s="7" t="s">
        <v>99</v>
      </c>
      <c r="D9" s="7" t="s">
        <v>99</v>
      </c>
      <c r="E9" s="7" t="s">
        <v>47</v>
      </c>
      <c r="F9" s="7" t="s">
        <v>87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n">
        <v>384377</v>
      </c>
      <c r="P9" s="7" t="n">
        <v>240299</v>
      </c>
      <c r="Q9" s="8" t="n">
        <f aca="false">(P9/O9)*100</f>
        <v>62.5164877190883</v>
      </c>
      <c r="R9" s="7" t="n">
        <f aca="false">X9-AC9</f>
        <v>42146</v>
      </c>
      <c r="S9" s="8" t="n">
        <f aca="false">(R9/P9)*100</f>
        <v>17.5389826840728</v>
      </c>
      <c r="T9" s="8" t="n">
        <f aca="false">Y9+AD9</f>
        <v>77.8039026379636</v>
      </c>
      <c r="U9" s="7" t="s">
        <v>51</v>
      </c>
      <c r="V9" s="7" t="s">
        <v>52</v>
      </c>
      <c r="W9" s="7" t="s">
        <v>106</v>
      </c>
      <c r="X9" s="7" t="n">
        <v>114554</v>
      </c>
      <c r="Y9" s="8" t="n">
        <f aca="false">(X9/P9)*100</f>
        <v>47.6714426610182</v>
      </c>
      <c r="Z9" s="7" t="s">
        <v>54</v>
      </c>
      <c r="AA9" s="7" t="s">
        <v>67</v>
      </c>
      <c r="AB9" s="7" t="s">
        <v>107</v>
      </c>
      <c r="AC9" s="7" t="n">
        <v>72408</v>
      </c>
      <c r="AD9" s="8" t="n">
        <f aca="false">(AC9/P9)*100</f>
        <v>30.1324599769454</v>
      </c>
      <c r="AE9" s="7" t="s">
        <v>57</v>
      </c>
      <c r="AF9" s="7" t="s">
        <v>57</v>
      </c>
      <c r="AG9" s="7" t="s">
        <v>108</v>
      </c>
      <c r="AH9" s="7" t="n">
        <v>22701</v>
      </c>
      <c r="AI9" s="8" t="n">
        <f aca="false">(AH9/P9)*100</f>
        <v>9.44698063662354</v>
      </c>
      <c r="AJ9" s="7" t="s">
        <v>70</v>
      </c>
      <c r="AK9" s="7" t="s">
        <v>71</v>
      </c>
      <c r="AL9" s="7" t="s">
        <v>109</v>
      </c>
      <c r="AM9" s="7" t="n">
        <v>22370</v>
      </c>
      <c r="AN9" s="8" t="n">
        <f aca="false">(AM9/P9)*100</f>
        <v>9.30923557734323</v>
      </c>
      <c r="AO9" s="10" t="s">
        <v>59</v>
      </c>
      <c r="AP9" s="7" t="s">
        <v>73</v>
      </c>
      <c r="AQ9" s="7" t="s">
        <v>110</v>
      </c>
      <c r="AR9" s="7" t="n">
        <v>2631</v>
      </c>
      <c r="AS9" s="8" t="n">
        <f aca="false">(AR9/P9)*100</f>
        <v>1.09488595458158</v>
      </c>
    </row>
    <row r="10" customFormat="false" ht="12.8" hidden="false" customHeight="false" outlineLevel="0" collapsed="false">
      <c r="A10" s="6" t="n">
        <v>9</v>
      </c>
      <c r="B10" s="7" t="s">
        <v>111</v>
      </c>
      <c r="C10" s="7" t="s">
        <v>99</v>
      </c>
      <c r="D10" s="7" t="s">
        <v>99</v>
      </c>
      <c r="E10" s="7" t="s">
        <v>47</v>
      </c>
      <c r="F10" s="7" t="s">
        <v>87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n">
        <v>454474</v>
      </c>
      <c r="P10" s="7" t="n">
        <v>302700</v>
      </c>
      <c r="Q10" s="8" t="n">
        <f aca="false">(P10/O10)*100</f>
        <v>66.604470222719</v>
      </c>
      <c r="R10" s="7" t="n">
        <f aca="false">X10-AC10</f>
        <v>57071</v>
      </c>
      <c r="S10" s="8" t="n">
        <f aca="false">(R10/P10)*100</f>
        <v>18.8539808391146</v>
      </c>
      <c r="T10" s="8" t="n">
        <f aca="false">Y10+AD10</f>
        <v>81.2352163858606</v>
      </c>
      <c r="U10" s="7" t="s">
        <v>51</v>
      </c>
      <c r="V10" s="7" t="s">
        <v>52</v>
      </c>
      <c r="W10" s="7" t="s">
        <v>112</v>
      </c>
      <c r="X10" s="7" t="n">
        <v>151485</v>
      </c>
      <c r="Y10" s="8" t="n">
        <f aca="false">(X10/P10)*100</f>
        <v>50.0445986124876</v>
      </c>
      <c r="Z10" s="7" t="s">
        <v>54</v>
      </c>
      <c r="AA10" s="7" t="s">
        <v>67</v>
      </c>
      <c r="AB10" s="7" t="s">
        <v>113</v>
      </c>
      <c r="AC10" s="7" t="n">
        <v>94414</v>
      </c>
      <c r="AD10" s="8" t="n">
        <f aca="false">(AC10/P10)*100</f>
        <v>31.190617773373</v>
      </c>
      <c r="AE10" s="7" t="s">
        <v>57</v>
      </c>
      <c r="AF10" s="7" t="s">
        <v>57</v>
      </c>
      <c r="AG10" s="7" t="s">
        <v>114</v>
      </c>
      <c r="AH10" s="7" t="n">
        <v>27453</v>
      </c>
      <c r="AI10" s="8" t="n">
        <f aca="false">(AH10/P10)*100</f>
        <v>9.06937561942517</v>
      </c>
      <c r="AJ10" s="7" t="s">
        <v>70</v>
      </c>
      <c r="AK10" s="7" t="s">
        <v>71</v>
      </c>
      <c r="AL10" s="7" t="s">
        <v>115</v>
      </c>
      <c r="AM10" s="7" t="n">
        <v>15877</v>
      </c>
      <c r="AN10" s="8" t="n">
        <f aca="false">(AM10/P10)*100</f>
        <v>5.24512718863561</v>
      </c>
      <c r="AO10" s="10" t="s">
        <v>59</v>
      </c>
      <c r="AP10" s="7" t="s">
        <v>73</v>
      </c>
      <c r="AQ10" s="7" t="s">
        <v>116</v>
      </c>
      <c r="AR10" s="7" t="n">
        <v>7104</v>
      </c>
      <c r="AS10" s="8" t="n">
        <f aca="false">(AR10/P10)*100</f>
        <v>2.34687809712587</v>
      </c>
    </row>
    <row r="11" customFormat="false" ht="12.8" hidden="false" customHeight="false" outlineLevel="0" collapsed="false">
      <c r="A11" s="6" t="n">
        <v>10</v>
      </c>
      <c r="B11" s="7" t="s">
        <v>117</v>
      </c>
      <c r="C11" s="7" t="s">
        <v>99</v>
      </c>
      <c r="D11" s="7" t="s">
        <v>99</v>
      </c>
      <c r="E11" s="7" t="s">
        <v>47</v>
      </c>
      <c r="F11" s="7" t="s">
        <v>87</v>
      </c>
      <c r="G11" s="7" t="s">
        <v>50</v>
      </c>
      <c r="H11" s="7" t="s">
        <v>50</v>
      </c>
      <c r="I11" s="7" t="s">
        <v>57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n">
        <v>306005</v>
      </c>
      <c r="P11" s="7" t="n">
        <v>199996</v>
      </c>
      <c r="Q11" s="8" t="n">
        <f aca="false">(P11/O11)*100</f>
        <v>65.3571020081371</v>
      </c>
      <c r="R11" s="7" t="n">
        <f aca="false">X11-AC11</f>
        <v>37661</v>
      </c>
      <c r="S11" s="8" t="n">
        <f aca="false">(R11/P11)*100</f>
        <v>18.8308766175324</v>
      </c>
      <c r="T11" s="8" t="n">
        <f aca="false">Y11+AD11</f>
        <v>69.3558871177424</v>
      </c>
      <c r="U11" s="7" t="s">
        <v>51</v>
      </c>
      <c r="V11" s="7" t="s">
        <v>52</v>
      </c>
      <c r="W11" s="7" t="s">
        <v>118</v>
      </c>
      <c r="X11" s="7" t="n">
        <v>88185</v>
      </c>
      <c r="Y11" s="8" t="n">
        <f aca="false">(X11/P11)*100</f>
        <v>44.0933818676374</v>
      </c>
      <c r="Z11" s="7" t="s">
        <v>54</v>
      </c>
      <c r="AA11" s="7" t="s">
        <v>67</v>
      </c>
      <c r="AB11" s="7" t="s">
        <v>119</v>
      </c>
      <c r="AC11" s="7" t="n">
        <v>50524</v>
      </c>
      <c r="AD11" s="8" t="n">
        <f aca="false">(AC11/P11)*100</f>
        <v>25.262505250105</v>
      </c>
      <c r="AE11" s="7" t="s">
        <v>57</v>
      </c>
      <c r="AF11" s="7" t="s">
        <v>57</v>
      </c>
      <c r="AG11" s="7" t="s">
        <v>120</v>
      </c>
      <c r="AH11" s="7" t="n">
        <v>48597</v>
      </c>
      <c r="AI11" s="8" t="n">
        <f aca="false">(AH11/P11)*100</f>
        <v>24.2989859797196</v>
      </c>
      <c r="AJ11" s="7" t="s">
        <v>70</v>
      </c>
      <c r="AK11" s="7" t="s">
        <v>71</v>
      </c>
      <c r="AL11" s="7" t="s">
        <v>121</v>
      </c>
      <c r="AM11" s="7" t="n">
        <v>7053</v>
      </c>
      <c r="AN11" s="8" t="n">
        <f aca="false">(AM11/P11)*100</f>
        <v>3.52657053141063</v>
      </c>
      <c r="AO11" s="10" t="s">
        <v>59</v>
      </c>
      <c r="AP11" s="7" t="s">
        <v>73</v>
      </c>
      <c r="AQ11" s="7" t="s">
        <v>122</v>
      </c>
      <c r="AR11" s="7" t="n">
        <v>1417</v>
      </c>
      <c r="AS11" s="8" t="n">
        <f aca="false">(AR11/P11)*100</f>
        <v>0.708514170283406</v>
      </c>
    </row>
    <row r="12" customFormat="false" ht="12.8" hidden="false" customHeight="false" outlineLevel="0" collapsed="false">
      <c r="A12" s="6" t="n">
        <v>11</v>
      </c>
      <c r="B12" s="7" t="s">
        <v>123</v>
      </c>
      <c r="C12" s="7" t="s">
        <v>99</v>
      </c>
      <c r="D12" s="7" t="s">
        <v>99</v>
      </c>
      <c r="E12" s="7" t="s">
        <v>47</v>
      </c>
      <c r="F12" s="7" t="s">
        <v>124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67</v>
      </c>
      <c r="N12" s="7" t="s">
        <v>125</v>
      </c>
      <c r="O12" s="7" t="n">
        <v>262980</v>
      </c>
      <c r="P12" s="7" t="n">
        <v>187027</v>
      </c>
      <c r="Q12" s="8" t="n">
        <f aca="false">(P12/O12)*100</f>
        <v>71.1183359951327</v>
      </c>
      <c r="R12" s="7" t="n">
        <f aca="false">X12-AC12</f>
        <v>42479</v>
      </c>
      <c r="S12" s="8" t="n">
        <f aca="false">(R12/P12)*100</f>
        <v>22.7127633977982</v>
      </c>
      <c r="T12" s="8" t="n">
        <f aca="false">Y12+AD12</f>
        <v>79.6927716319034</v>
      </c>
      <c r="U12" s="7" t="s">
        <v>51</v>
      </c>
      <c r="V12" s="7" t="s">
        <v>52</v>
      </c>
      <c r="W12" s="7" t="s">
        <v>126</v>
      </c>
      <c r="X12" s="7" t="n">
        <v>95763</v>
      </c>
      <c r="Y12" s="8" t="n">
        <f aca="false">(X12/P12)*100</f>
        <v>51.2027675148508</v>
      </c>
      <c r="Z12" s="7" t="s">
        <v>54</v>
      </c>
      <c r="AA12" s="7" t="s">
        <v>67</v>
      </c>
      <c r="AB12" s="7" t="s">
        <v>127</v>
      </c>
      <c r="AC12" s="7" t="n">
        <v>53284</v>
      </c>
      <c r="AD12" s="8" t="n">
        <f aca="false">(AC12/P12)*100</f>
        <v>28.4900041170526</v>
      </c>
      <c r="AE12" s="7" t="s">
        <v>57</v>
      </c>
      <c r="AF12" s="7" t="s">
        <v>57</v>
      </c>
      <c r="AG12" s="7" t="s">
        <v>128</v>
      </c>
      <c r="AH12" s="7" t="n">
        <v>20437</v>
      </c>
      <c r="AI12" s="8" t="n">
        <f aca="false">(AH12/P12)*100</f>
        <v>10.9272992669508</v>
      </c>
      <c r="AJ12" s="7" t="s">
        <v>70</v>
      </c>
      <c r="AK12" s="7" t="s">
        <v>71</v>
      </c>
      <c r="AL12" s="7" t="s">
        <v>129</v>
      </c>
      <c r="AM12" s="7" t="n">
        <v>11198</v>
      </c>
      <c r="AN12" s="8" t="n">
        <f aca="false">(AM12/P12)*100</f>
        <v>5.98737080742353</v>
      </c>
      <c r="AO12" s="10" t="s">
        <v>59</v>
      </c>
      <c r="AP12" s="7" t="s">
        <v>73</v>
      </c>
      <c r="AQ12" s="7" t="s">
        <v>130</v>
      </c>
      <c r="AR12" s="7" t="n">
        <v>1852</v>
      </c>
      <c r="AS12" s="8" t="n">
        <f aca="false">(AR12/P12)*100</f>
        <v>0.990231356969849</v>
      </c>
    </row>
    <row r="13" customFormat="false" ht="12.8" hidden="false" customHeight="false" outlineLevel="0" collapsed="false">
      <c r="A13" s="6" t="n">
        <v>12</v>
      </c>
      <c r="B13" s="7" t="s">
        <v>131</v>
      </c>
      <c r="C13" s="7" t="s">
        <v>99</v>
      </c>
      <c r="D13" s="7" t="s">
        <v>99</v>
      </c>
      <c r="E13" s="7" t="s">
        <v>47</v>
      </c>
      <c r="F13" s="7" t="s">
        <v>124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52</v>
      </c>
      <c r="N13" s="7" t="s">
        <v>50</v>
      </c>
      <c r="O13" s="7" t="n">
        <v>315942</v>
      </c>
      <c r="P13" s="7" t="n">
        <v>200387</v>
      </c>
      <c r="Q13" s="8" t="n">
        <f aca="false">(P13/O13)*100</f>
        <v>63.4252489380962</v>
      </c>
      <c r="R13" s="7" t="n">
        <f aca="false">X13-AC13</f>
        <v>54976</v>
      </c>
      <c r="S13" s="8" t="n">
        <f aca="false">(R13/P13)*100</f>
        <v>27.4349134424888</v>
      </c>
      <c r="T13" s="8" t="n">
        <f aca="false">Y13+AD13</f>
        <v>77.6287882946499</v>
      </c>
      <c r="U13" s="7" t="s">
        <v>51</v>
      </c>
      <c r="V13" s="7" t="s">
        <v>52</v>
      </c>
      <c r="W13" s="7" t="s">
        <v>132</v>
      </c>
      <c r="X13" s="7" t="n">
        <v>105267</v>
      </c>
      <c r="Y13" s="8" t="n">
        <f aca="false">(X13/P13)*100</f>
        <v>52.5318508685693</v>
      </c>
      <c r="Z13" s="7" t="s">
        <v>54</v>
      </c>
      <c r="AA13" s="7" t="s">
        <v>67</v>
      </c>
      <c r="AB13" s="7" t="s">
        <v>133</v>
      </c>
      <c r="AC13" s="7" t="n">
        <v>50291</v>
      </c>
      <c r="AD13" s="8" t="n">
        <f aca="false">(AC13/P13)*100</f>
        <v>25.0969374260805</v>
      </c>
      <c r="AE13" s="7" t="s">
        <v>57</v>
      </c>
      <c r="AF13" s="7" t="s">
        <v>57</v>
      </c>
      <c r="AG13" s="7" t="s">
        <v>134</v>
      </c>
      <c r="AH13" s="7" t="n">
        <v>19821</v>
      </c>
      <c r="AI13" s="8" t="n">
        <f aca="false">(AH13/P13)*100</f>
        <v>9.89136021797821</v>
      </c>
      <c r="AJ13" s="7" t="s">
        <v>70</v>
      </c>
      <c r="AK13" s="7" t="s">
        <v>71</v>
      </c>
      <c r="AL13" s="7" t="s">
        <v>135</v>
      </c>
      <c r="AM13" s="7" t="n">
        <v>17072</v>
      </c>
      <c r="AN13" s="8" t="n">
        <f aca="false">(AM13/P13)*100</f>
        <v>8.51951473898007</v>
      </c>
      <c r="AO13" s="10" t="s">
        <v>59</v>
      </c>
      <c r="AP13" s="7" t="s">
        <v>73</v>
      </c>
      <c r="AQ13" s="7" t="s">
        <v>136</v>
      </c>
      <c r="AR13" s="7" t="n">
        <v>4042</v>
      </c>
      <c r="AS13" s="8" t="n">
        <f aca="false">(AR13/P13)*100</f>
        <v>2.01709691746471</v>
      </c>
    </row>
    <row r="14" customFormat="false" ht="12.8" hidden="false" customHeight="false" outlineLevel="0" collapsed="false">
      <c r="A14" s="6" t="n">
        <v>13</v>
      </c>
      <c r="B14" s="7" t="s">
        <v>137</v>
      </c>
      <c r="C14" s="7" t="s">
        <v>99</v>
      </c>
      <c r="D14" s="7" t="s">
        <v>99</v>
      </c>
      <c r="E14" s="7" t="s">
        <v>47</v>
      </c>
      <c r="F14" s="7" t="s">
        <v>124</v>
      </c>
      <c r="G14" s="7" t="s">
        <v>50</v>
      </c>
      <c r="H14" s="7" t="s">
        <v>50</v>
      </c>
      <c r="I14" s="7" t="s">
        <v>52</v>
      </c>
      <c r="J14" s="7" t="s">
        <v>52</v>
      </c>
      <c r="K14" s="7" t="s">
        <v>50</v>
      </c>
      <c r="L14" s="7" t="s">
        <v>52</v>
      </c>
      <c r="M14" s="7" t="s">
        <v>50</v>
      </c>
      <c r="N14" s="7" t="s">
        <v>50</v>
      </c>
      <c r="O14" s="7" t="n">
        <v>281197</v>
      </c>
      <c r="P14" s="7" t="n">
        <v>173388</v>
      </c>
      <c r="Q14" s="8" t="n">
        <f aca="false">(P14/O14)*100</f>
        <v>61.6606862804369</v>
      </c>
      <c r="R14" s="7" t="n">
        <f aca="false">X14-AC14</f>
        <v>70384</v>
      </c>
      <c r="S14" s="8" t="n">
        <f aca="false">(R14/P14)*100</f>
        <v>40.5933513276582</v>
      </c>
      <c r="T14" s="8" t="n">
        <f aca="false">Y14+AD14</f>
        <v>81.1244146077007</v>
      </c>
      <c r="U14" s="7" t="s">
        <v>51</v>
      </c>
      <c r="V14" s="7" t="s">
        <v>52</v>
      </c>
      <c r="W14" s="7" t="s">
        <v>138</v>
      </c>
      <c r="X14" s="7" t="n">
        <v>105522</v>
      </c>
      <c r="Y14" s="8" t="n">
        <f aca="false">(X14/P14)*100</f>
        <v>60.8588829676794</v>
      </c>
      <c r="Z14" s="7" t="s">
        <v>54</v>
      </c>
      <c r="AA14" s="7" t="s">
        <v>67</v>
      </c>
      <c r="AB14" s="7" t="s">
        <v>139</v>
      </c>
      <c r="AC14" s="7" t="n">
        <v>35138</v>
      </c>
      <c r="AD14" s="8" t="n">
        <f aca="false">(AC14/P14)*100</f>
        <v>20.2655316400212</v>
      </c>
      <c r="AE14" s="7" t="s">
        <v>70</v>
      </c>
      <c r="AF14" s="7" t="s">
        <v>71</v>
      </c>
      <c r="AG14" s="7" t="s">
        <v>140</v>
      </c>
      <c r="AH14" s="7" t="n">
        <v>14210</v>
      </c>
      <c r="AI14" s="8" t="n">
        <f aca="false">(AH14/P14)*100</f>
        <v>8.1954921909244</v>
      </c>
      <c r="AJ14" s="7" t="s">
        <v>57</v>
      </c>
      <c r="AK14" s="7" t="s">
        <v>57</v>
      </c>
      <c r="AL14" s="7" t="s">
        <v>141</v>
      </c>
      <c r="AM14" s="7" t="n">
        <v>11304</v>
      </c>
      <c r="AN14" s="8" t="n">
        <f aca="false">(AM14/P14)*100</f>
        <v>6.51948231711537</v>
      </c>
      <c r="AO14" s="7" t="s">
        <v>62</v>
      </c>
      <c r="AP14" s="7" t="s">
        <v>62</v>
      </c>
      <c r="AQ14" s="7" t="s">
        <v>62</v>
      </c>
      <c r="AR14" s="7" t="n">
        <v>1529</v>
      </c>
      <c r="AS14" s="8" t="n">
        <f aca="false">(AR14/P14)*100</f>
        <v>0.881837266708192</v>
      </c>
    </row>
    <row r="15" customFormat="false" ht="12.8" hidden="false" customHeight="false" outlineLevel="0" collapsed="false">
      <c r="A15" s="6" t="n">
        <v>14</v>
      </c>
      <c r="B15" s="7" t="s">
        <v>142</v>
      </c>
      <c r="C15" s="7" t="s">
        <v>99</v>
      </c>
      <c r="D15" s="7" t="s">
        <v>99</v>
      </c>
      <c r="E15" s="7" t="s">
        <v>143</v>
      </c>
      <c r="F15" s="7" t="s">
        <v>124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n">
        <v>255328</v>
      </c>
      <c r="P15" s="7" t="n">
        <v>144092</v>
      </c>
      <c r="Q15" s="8" t="n">
        <f aca="false">(P15/O15)*100</f>
        <v>56.434076951999</v>
      </c>
      <c r="R15" s="7" t="n">
        <f aca="false">X15-AC15</f>
        <v>37237</v>
      </c>
      <c r="S15" s="8" t="n">
        <f aca="false">(R15/P15)*100</f>
        <v>25.8425172806263</v>
      </c>
      <c r="T15" s="8" t="n">
        <f aca="false">Y15+AD15</f>
        <v>79.8219193293174</v>
      </c>
      <c r="U15" s="7" t="s">
        <v>51</v>
      </c>
      <c r="V15" s="7" t="s">
        <v>52</v>
      </c>
      <c r="W15" s="7" t="s">
        <v>144</v>
      </c>
      <c r="X15" s="7" t="n">
        <v>76127</v>
      </c>
      <c r="Y15" s="8" t="n">
        <f aca="false">(X15/P15)*100</f>
        <v>52.8322183049718</v>
      </c>
      <c r="Z15" s="7" t="s">
        <v>54</v>
      </c>
      <c r="AA15" s="7" t="s">
        <v>67</v>
      </c>
      <c r="AB15" s="7" t="s">
        <v>145</v>
      </c>
      <c r="AC15" s="7" t="n">
        <v>38890</v>
      </c>
      <c r="AD15" s="8" t="n">
        <f aca="false">(AC15/P15)*100</f>
        <v>26.9897010243456</v>
      </c>
      <c r="AE15" s="7" t="s">
        <v>70</v>
      </c>
      <c r="AF15" s="7" t="s">
        <v>71</v>
      </c>
      <c r="AG15" s="7" t="s">
        <v>146</v>
      </c>
      <c r="AH15" s="7" t="n">
        <v>13364</v>
      </c>
      <c r="AI15" s="8" t="n">
        <f aca="false">(AH15/P15)*100</f>
        <v>9.27463009743775</v>
      </c>
      <c r="AJ15" s="7" t="s">
        <v>57</v>
      </c>
      <c r="AK15" s="7" t="s">
        <v>57</v>
      </c>
      <c r="AL15" s="7" t="s">
        <v>147</v>
      </c>
      <c r="AM15" s="7" t="n">
        <v>10914</v>
      </c>
      <c r="AN15" s="8" t="n">
        <f aca="false">(AM15/P15)*100</f>
        <v>7.57432751297782</v>
      </c>
      <c r="AO15" s="7" t="s">
        <v>62</v>
      </c>
      <c r="AP15" s="7" t="s">
        <v>62</v>
      </c>
      <c r="AQ15" s="7" t="s">
        <v>62</v>
      </c>
      <c r="AR15" s="7" t="n">
        <v>1444</v>
      </c>
      <c r="AS15" s="8" t="n">
        <f aca="false">(AR15/P15)*100</f>
        <v>1.00213752324904</v>
      </c>
    </row>
    <row r="16" customFormat="false" ht="12.8" hidden="false" customHeight="false" outlineLevel="0" collapsed="false">
      <c r="A16" s="6" t="n">
        <v>15</v>
      </c>
      <c r="B16" s="7" t="s">
        <v>148</v>
      </c>
      <c r="C16" s="7" t="s">
        <v>99</v>
      </c>
      <c r="D16" s="7" t="s">
        <v>99</v>
      </c>
      <c r="E16" s="7" t="s">
        <v>47</v>
      </c>
      <c r="F16" s="7" t="s">
        <v>124</v>
      </c>
      <c r="G16" s="7" t="s">
        <v>64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n">
        <v>219438</v>
      </c>
      <c r="P16" s="7" t="n">
        <v>133696</v>
      </c>
      <c r="Q16" s="8" t="n">
        <f aca="false">(P16/O16)*100</f>
        <v>60.926548729026</v>
      </c>
      <c r="R16" s="7" t="n">
        <f aca="false">X16-AC16</f>
        <v>55013</v>
      </c>
      <c r="S16" s="8" t="n">
        <f aca="false">(R16/P16)*100</f>
        <v>41.14782790809</v>
      </c>
      <c r="T16" s="8" t="n">
        <f aca="false">Y16+AD16</f>
        <v>81.1101304451891</v>
      </c>
      <c r="U16" s="7" t="s">
        <v>51</v>
      </c>
      <c r="V16" s="7" t="s">
        <v>52</v>
      </c>
      <c r="W16" s="7" t="s">
        <v>149</v>
      </c>
      <c r="X16" s="7" t="n">
        <v>81727</v>
      </c>
      <c r="Y16" s="8" t="n">
        <f aca="false">(X16/P16)*100</f>
        <v>61.1289791766395</v>
      </c>
      <c r="Z16" s="7" t="s">
        <v>54</v>
      </c>
      <c r="AA16" s="7" t="s">
        <v>67</v>
      </c>
      <c r="AB16" s="7" t="s">
        <v>150</v>
      </c>
      <c r="AC16" s="7" t="n">
        <v>26714</v>
      </c>
      <c r="AD16" s="8" t="n">
        <f aca="false">(AC16/P16)*100</f>
        <v>19.9811512685495</v>
      </c>
      <c r="AE16" s="7" t="s">
        <v>57</v>
      </c>
      <c r="AF16" s="7" t="s">
        <v>57</v>
      </c>
      <c r="AG16" s="7" t="s">
        <v>151</v>
      </c>
      <c r="AH16" s="7" t="n">
        <v>10921</v>
      </c>
      <c r="AI16" s="8" t="n">
        <f aca="false">(AH16/P16)*100</f>
        <v>8.16853159406415</v>
      </c>
      <c r="AJ16" s="7" t="s">
        <v>70</v>
      </c>
      <c r="AK16" s="7" t="s">
        <v>71</v>
      </c>
      <c r="AL16" s="7" t="s">
        <v>152</v>
      </c>
      <c r="AM16" s="7" t="n">
        <v>9710</v>
      </c>
      <c r="AN16" s="8" t="n">
        <f aca="false">(AM16/P16)*100</f>
        <v>7.26274533269507</v>
      </c>
      <c r="AO16" s="10" t="s">
        <v>59</v>
      </c>
      <c r="AP16" s="7" t="s">
        <v>60</v>
      </c>
      <c r="AQ16" s="7" t="s">
        <v>153</v>
      </c>
      <c r="AR16" s="7" t="n">
        <v>1787</v>
      </c>
      <c r="AS16" s="8" t="n">
        <f aca="false">(AR16/P16)*100</f>
        <v>1.33661440880804</v>
      </c>
    </row>
    <row r="17" customFormat="false" ht="12.8" hidden="false" customHeight="false" outlineLevel="0" collapsed="false">
      <c r="A17" s="6" t="n">
        <v>16</v>
      </c>
      <c r="B17" s="7" t="s">
        <v>154</v>
      </c>
      <c r="C17" s="7" t="s">
        <v>99</v>
      </c>
      <c r="D17" s="7" t="s">
        <v>99</v>
      </c>
      <c r="E17" s="7" t="s">
        <v>143</v>
      </c>
      <c r="F17" s="7" t="s">
        <v>124</v>
      </c>
      <c r="G17" s="7" t="s">
        <v>64</v>
      </c>
      <c r="H17" s="7" t="s">
        <v>50</v>
      </c>
      <c r="I17" s="7" t="s">
        <v>50</v>
      </c>
      <c r="J17" s="7" t="s">
        <v>50</v>
      </c>
      <c r="K17" s="7" t="s">
        <v>52</v>
      </c>
      <c r="L17" s="7" t="s">
        <v>50</v>
      </c>
      <c r="M17" s="7" t="s">
        <v>52</v>
      </c>
      <c r="N17" s="7" t="s">
        <v>50</v>
      </c>
      <c r="O17" s="7" t="n">
        <v>193162</v>
      </c>
      <c r="P17" s="7" t="n">
        <v>119271</v>
      </c>
      <c r="Q17" s="8" t="n">
        <f aca="false">(P17/O17)*100</f>
        <v>61.7466168293971</v>
      </c>
      <c r="R17" s="7" t="n">
        <f aca="false">X17-AC17</f>
        <v>38768</v>
      </c>
      <c r="S17" s="8" t="n">
        <f aca="false">(R17/P17)*100</f>
        <v>32.5041292518718</v>
      </c>
      <c r="T17" s="8" t="n">
        <f aca="false">Y17+AD17</f>
        <v>82.9170544390506</v>
      </c>
      <c r="U17" s="7" t="s">
        <v>51</v>
      </c>
      <c r="V17" s="7" t="s">
        <v>52</v>
      </c>
      <c r="W17" s="7" t="s">
        <v>155</v>
      </c>
      <c r="X17" s="7" t="n">
        <v>68832</v>
      </c>
      <c r="Y17" s="8" t="n">
        <f aca="false">(X17/P17)*100</f>
        <v>57.7105918454612</v>
      </c>
      <c r="Z17" s="7" t="s">
        <v>54</v>
      </c>
      <c r="AA17" s="7" t="s">
        <v>67</v>
      </c>
      <c r="AB17" s="7" t="s">
        <v>156</v>
      </c>
      <c r="AC17" s="7" t="n">
        <v>30064</v>
      </c>
      <c r="AD17" s="8" t="n">
        <f aca="false">(AC17/P17)*100</f>
        <v>25.2064625935894</v>
      </c>
      <c r="AE17" s="7" t="s">
        <v>70</v>
      </c>
      <c r="AF17" s="7" t="s">
        <v>71</v>
      </c>
      <c r="AG17" s="7" t="s">
        <v>157</v>
      </c>
      <c r="AH17" s="7" t="n">
        <v>9990</v>
      </c>
      <c r="AI17" s="8" t="n">
        <f aca="false">(AH17/P17)*100</f>
        <v>8.37588349221521</v>
      </c>
      <c r="AJ17" s="7" t="s">
        <v>57</v>
      </c>
      <c r="AK17" s="7" t="s">
        <v>57</v>
      </c>
      <c r="AL17" s="7" t="s">
        <v>158</v>
      </c>
      <c r="AM17" s="7" t="n">
        <v>6276</v>
      </c>
      <c r="AN17" s="8" t="n">
        <f aca="false">(AM17/P17)*100</f>
        <v>5.26196644616042</v>
      </c>
      <c r="AO17" s="10" t="s">
        <v>59</v>
      </c>
      <c r="AP17" s="7" t="s">
        <v>60</v>
      </c>
      <c r="AQ17" s="7" t="s">
        <v>159</v>
      </c>
      <c r="AR17" s="7" t="n">
        <v>1293</v>
      </c>
      <c r="AS17" s="8" t="n">
        <f aca="false">(AR17/P17)*100</f>
        <v>1.08408582136479</v>
      </c>
    </row>
    <row r="18" customFormat="false" ht="12.8" hidden="false" customHeight="false" outlineLevel="0" collapsed="false">
      <c r="A18" s="6" t="n">
        <v>17</v>
      </c>
      <c r="B18" s="7" t="s">
        <v>160</v>
      </c>
      <c r="C18" s="7" t="s">
        <v>99</v>
      </c>
      <c r="D18" s="7" t="s">
        <v>99</v>
      </c>
      <c r="E18" s="7" t="s">
        <v>47</v>
      </c>
      <c r="F18" s="7" t="s">
        <v>124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161</v>
      </c>
      <c r="L18" s="7" t="s">
        <v>50</v>
      </c>
      <c r="M18" s="7" t="s">
        <v>161</v>
      </c>
      <c r="N18" s="7" t="s">
        <v>50</v>
      </c>
      <c r="O18" s="7" t="n">
        <v>192635</v>
      </c>
      <c r="P18" s="7" t="n">
        <v>121191</v>
      </c>
      <c r="Q18" s="8" t="n">
        <f aca="false">(P18/O18)*100</f>
        <v>62.9122433617982</v>
      </c>
      <c r="R18" s="7" t="n">
        <f aca="false">X18-AC18</f>
        <v>27779</v>
      </c>
      <c r="S18" s="8" t="n">
        <f aca="false">(R18/P18)*100</f>
        <v>22.9216691008408</v>
      </c>
      <c r="T18" s="8" t="n">
        <f aca="false">Y18+AD18</f>
        <v>83.3964568326031</v>
      </c>
      <c r="U18" s="7" t="s">
        <v>51</v>
      </c>
      <c r="V18" s="7" t="s">
        <v>52</v>
      </c>
      <c r="W18" s="7" t="s">
        <v>162</v>
      </c>
      <c r="X18" s="7" t="n">
        <v>64424</v>
      </c>
      <c r="Y18" s="8" t="n">
        <f aca="false">(X18/P18)*100</f>
        <v>53.159062966722</v>
      </c>
      <c r="Z18" s="7" t="s">
        <v>54</v>
      </c>
      <c r="AA18" s="7" t="s">
        <v>67</v>
      </c>
      <c r="AB18" s="7" t="s">
        <v>163</v>
      </c>
      <c r="AC18" s="7" t="n">
        <v>36645</v>
      </c>
      <c r="AD18" s="8" t="n">
        <f aca="false">(AC18/P18)*100</f>
        <v>30.2373938658811</v>
      </c>
      <c r="AE18" s="7" t="s">
        <v>70</v>
      </c>
      <c r="AF18" s="7" t="s">
        <v>71</v>
      </c>
      <c r="AG18" s="7" t="s">
        <v>164</v>
      </c>
      <c r="AH18" s="7" t="n">
        <v>8166</v>
      </c>
      <c r="AI18" s="8" t="n">
        <f aca="false">(AH18/P18)*100</f>
        <v>6.73812411812758</v>
      </c>
      <c r="AJ18" s="7" t="s">
        <v>57</v>
      </c>
      <c r="AK18" s="7" t="s">
        <v>57</v>
      </c>
      <c r="AL18" s="7" t="s">
        <v>165</v>
      </c>
      <c r="AM18" s="7" t="n">
        <v>7953</v>
      </c>
      <c r="AN18" s="8" t="n">
        <f aca="false">(AM18/P18)*100</f>
        <v>6.56236849270986</v>
      </c>
      <c r="AO18" s="10" t="s">
        <v>59</v>
      </c>
      <c r="AP18" s="7" t="s">
        <v>73</v>
      </c>
      <c r="AQ18" s="7" t="s">
        <v>166</v>
      </c>
      <c r="AR18" s="7" t="n">
        <v>1128</v>
      </c>
      <c r="AS18" s="8" t="n">
        <f aca="false">(AR18/P18)*100</f>
        <v>0.93076218531079</v>
      </c>
    </row>
    <row r="19" customFormat="false" ht="12.8" hidden="false" customHeight="false" outlineLevel="0" collapsed="false">
      <c r="A19" s="6" t="n">
        <v>18</v>
      </c>
      <c r="B19" s="7" t="s">
        <v>167</v>
      </c>
      <c r="C19" s="7" t="s">
        <v>99</v>
      </c>
      <c r="D19" s="7" t="s">
        <v>99</v>
      </c>
      <c r="E19" s="7" t="s">
        <v>143</v>
      </c>
      <c r="F19" s="7" t="s">
        <v>124</v>
      </c>
      <c r="G19" s="7" t="s">
        <v>50</v>
      </c>
      <c r="H19" s="7" t="s">
        <v>50</v>
      </c>
      <c r="I19" s="7" t="s">
        <v>50</v>
      </c>
      <c r="J19" s="7" t="s">
        <v>50</v>
      </c>
      <c r="K19" s="12" t="s">
        <v>52</v>
      </c>
      <c r="L19" s="7" t="s">
        <v>50</v>
      </c>
      <c r="M19" s="12" t="s">
        <v>52</v>
      </c>
      <c r="N19" s="7" t="s">
        <v>168</v>
      </c>
      <c r="O19" s="7" t="n">
        <v>175785</v>
      </c>
      <c r="P19" s="7" t="n">
        <v>101650</v>
      </c>
      <c r="Q19" s="8" t="n">
        <f aca="false">(P19/O19)*100</f>
        <v>57.8263219273544</v>
      </c>
      <c r="R19" s="7" t="n">
        <f aca="false">X19-AC19</f>
        <v>27274</v>
      </c>
      <c r="S19" s="8" t="n">
        <f aca="false">(R19/P19)*100</f>
        <v>26.8312838170192</v>
      </c>
      <c r="T19" s="8" t="n">
        <f aca="false">Y19+AD19</f>
        <v>89.877029021151</v>
      </c>
      <c r="U19" s="7" t="s">
        <v>51</v>
      </c>
      <c r="V19" s="7" t="s">
        <v>52</v>
      </c>
      <c r="W19" s="7" t="s">
        <v>169</v>
      </c>
      <c r="X19" s="7" t="n">
        <v>59317</v>
      </c>
      <c r="Y19" s="8" t="n">
        <f aca="false">(X19/P19)*100</f>
        <v>58.3541564190851</v>
      </c>
      <c r="Z19" s="7" t="s">
        <v>54</v>
      </c>
      <c r="AA19" s="7" t="s">
        <v>170</v>
      </c>
      <c r="AB19" s="7" t="s">
        <v>171</v>
      </c>
      <c r="AC19" s="7" t="n">
        <v>32043</v>
      </c>
      <c r="AD19" s="8" t="n">
        <f aca="false">(AC19/P19)*100</f>
        <v>31.5228726020659</v>
      </c>
      <c r="AE19" s="7" t="s">
        <v>70</v>
      </c>
      <c r="AF19" s="7" t="s">
        <v>71</v>
      </c>
      <c r="AG19" s="7" t="s">
        <v>172</v>
      </c>
      <c r="AH19" s="7" t="n">
        <v>3763</v>
      </c>
      <c r="AI19" s="8" t="n">
        <f aca="false">(AH19/P19)*100</f>
        <v>3.70191834727004</v>
      </c>
      <c r="AJ19" s="7" t="s">
        <v>57</v>
      </c>
      <c r="AK19" s="7" t="s">
        <v>57</v>
      </c>
      <c r="AL19" s="7" t="s">
        <v>173</v>
      </c>
      <c r="AM19" s="7" t="n">
        <v>3357</v>
      </c>
      <c r="AN19" s="8" t="n">
        <f aca="false">(AM19/P19)*100</f>
        <v>3.30250860796852</v>
      </c>
      <c r="AO19" s="7" t="s">
        <v>62</v>
      </c>
      <c r="AP19" s="7" t="s">
        <v>62</v>
      </c>
      <c r="AQ19" s="7" t="s">
        <v>62</v>
      </c>
      <c r="AR19" s="7" t="n">
        <v>913</v>
      </c>
      <c r="AS19" s="8" t="n">
        <f aca="false">(AR19/P19)*100</f>
        <v>0.898180029513035</v>
      </c>
    </row>
    <row r="20" customFormat="false" ht="12.8" hidden="false" customHeight="false" outlineLevel="0" collapsed="false">
      <c r="A20" s="6" t="n">
        <v>19</v>
      </c>
      <c r="B20" s="7" t="s">
        <v>174</v>
      </c>
      <c r="C20" s="7" t="s">
        <v>99</v>
      </c>
      <c r="D20" s="7" t="s">
        <v>99</v>
      </c>
      <c r="E20" s="7" t="s">
        <v>143</v>
      </c>
      <c r="F20" s="7" t="s">
        <v>124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52</v>
      </c>
      <c r="M20" s="7" t="s">
        <v>50</v>
      </c>
      <c r="N20" s="7" t="s">
        <v>50</v>
      </c>
      <c r="O20" s="7" t="n">
        <v>234067</v>
      </c>
      <c r="P20" s="7" t="n">
        <v>137405</v>
      </c>
      <c r="Q20" s="8" t="n">
        <f aca="false">(P20/O20)*100</f>
        <v>58.7032772667655</v>
      </c>
      <c r="R20" s="7" t="n">
        <f aca="false">X20-AC20</f>
        <v>69355</v>
      </c>
      <c r="S20" s="8" t="n">
        <f aca="false">(R20/P20)*100</f>
        <v>50.4748735489975</v>
      </c>
      <c r="T20" s="8" t="n">
        <f aca="false">Y20+AD20</f>
        <v>85.3062115643536</v>
      </c>
      <c r="U20" s="7" t="s">
        <v>51</v>
      </c>
      <c r="V20" s="7" t="s">
        <v>52</v>
      </c>
      <c r="W20" s="7" t="s">
        <v>175</v>
      </c>
      <c r="X20" s="7" t="n">
        <v>93285</v>
      </c>
      <c r="Y20" s="8" t="n">
        <f aca="false">(X20/P20)*100</f>
        <v>67.8905425566755</v>
      </c>
      <c r="Z20" s="7" t="s">
        <v>54</v>
      </c>
      <c r="AA20" s="7" t="s">
        <v>55</v>
      </c>
      <c r="AB20" s="7" t="s">
        <v>176</v>
      </c>
      <c r="AC20" s="7" t="n">
        <v>23930</v>
      </c>
      <c r="AD20" s="8" t="n">
        <f aca="false">(AC20/P20)*100</f>
        <v>17.415669007678</v>
      </c>
      <c r="AE20" s="7" t="s">
        <v>57</v>
      </c>
      <c r="AF20" s="7" t="s">
        <v>57</v>
      </c>
      <c r="AG20" s="7" t="s">
        <v>177</v>
      </c>
      <c r="AH20" s="7" t="n">
        <v>9193</v>
      </c>
      <c r="AI20" s="8" t="n">
        <f aca="false">(AH20/P20)*100</f>
        <v>6.69044066809796</v>
      </c>
      <c r="AJ20" s="7" t="s">
        <v>70</v>
      </c>
      <c r="AK20" s="13" t="s">
        <v>178</v>
      </c>
      <c r="AL20" s="7" t="s">
        <v>179</v>
      </c>
      <c r="AM20" s="7" t="n">
        <v>4096</v>
      </c>
      <c r="AN20" s="8" t="n">
        <f aca="false">(AM20/P20)*100</f>
        <v>2.9809686692624</v>
      </c>
      <c r="AO20" s="7" t="s">
        <v>62</v>
      </c>
      <c r="AP20" s="7" t="s">
        <v>62</v>
      </c>
      <c r="AQ20" s="7" t="s">
        <v>62</v>
      </c>
      <c r="AR20" s="7" t="n">
        <v>2061</v>
      </c>
      <c r="AS20" s="8" t="n">
        <f aca="false">(AR20/P20)*100</f>
        <v>1.49994541683345</v>
      </c>
    </row>
    <row r="21" customFormat="false" ht="12.8" hidden="false" customHeight="false" outlineLevel="0" collapsed="false">
      <c r="A21" s="6" t="n">
        <v>20</v>
      </c>
      <c r="B21" s="7" t="s">
        <v>180</v>
      </c>
      <c r="C21" s="7" t="s">
        <v>99</v>
      </c>
      <c r="D21" s="7" t="s">
        <v>99</v>
      </c>
      <c r="E21" s="7" t="s">
        <v>143</v>
      </c>
      <c r="F21" s="7" t="s">
        <v>124</v>
      </c>
      <c r="G21" s="7" t="s">
        <v>50</v>
      </c>
      <c r="H21" s="7" t="s">
        <v>50</v>
      </c>
      <c r="I21" s="7" t="s">
        <v>50</v>
      </c>
      <c r="J21" s="7" t="s">
        <v>50</v>
      </c>
      <c r="K21" s="12" t="s">
        <v>52</v>
      </c>
      <c r="L21" s="7" t="s">
        <v>50</v>
      </c>
      <c r="M21" s="7" t="s">
        <v>50</v>
      </c>
      <c r="N21" s="7" t="s">
        <v>50</v>
      </c>
      <c r="O21" s="7" t="n">
        <v>240096</v>
      </c>
      <c r="P21" s="7" t="n">
        <v>135940</v>
      </c>
      <c r="Q21" s="8" t="n">
        <f aca="false">(P21/O21)*100</f>
        <v>56.6190190590431</v>
      </c>
      <c r="R21" s="7" t="n">
        <f aca="false">X21-AC21</f>
        <v>32462</v>
      </c>
      <c r="S21" s="8" t="n">
        <f aca="false">(R21/P21)*100</f>
        <v>23.8796527879947</v>
      </c>
      <c r="T21" s="8" t="n">
        <f aca="false">Y21+AD21</f>
        <v>81.8537590113285</v>
      </c>
      <c r="U21" s="7" t="s">
        <v>51</v>
      </c>
      <c r="V21" s="7" t="s">
        <v>52</v>
      </c>
      <c r="W21" s="7" t="s">
        <v>181</v>
      </c>
      <c r="X21" s="7" t="n">
        <v>71867</v>
      </c>
      <c r="Y21" s="8" t="n">
        <f aca="false">(X21/P21)*100</f>
        <v>52.8667058996616</v>
      </c>
      <c r="Z21" s="7" t="s">
        <v>54</v>
      </c>
      <c r="AA21" s="7" t="s">
        <v>170</v>
      </c>
      <c r="AB21" s="7" t="s">
        <v>182</v>
      </c>
      <c r="AC21" s="7" t="n">
        <v>39405</v>
      </c>
      <c r="AD21" s="8" t="n">
        <f aca="false">(AC21/P21)*100</f>
        <v>28.9870531116669</v>
      </c>
      <c r="AE21" s="7" t="s">
        <v>70</v>
      </c>
      <c r="AF21" s="7" t="s">
        <v>71</v>
      </c>
      <c r="AG21" s="7" t="s">
        <v>183</v>
      </c>
      <c r="AH21" s="7" t="n">
        <v>11791</v>
      </c>
      <c r="AI21" s="8" t="n">
        <f aca="false">(AH21/P21)*100</f>
        <v>8.67367956451376</v>
      </c>
      <c r="AJ21" s="7" t="s">
        <v>57</v>
      </c>
      <c r="AK21" s="7" t="s">
        <v>57</v>
      </c>
      <c r="AL21" s="7" t="s">
        <v>184</v>
      </c>
      <c r="AM21" s="7" t="n">
        <v>8884</v>
      </c>
      <c r="AN21" s="8" t="n">
        <f aca="false">(AM21/P21)*100</f>
        <v>6.53523613358835</v>
      </c>
      <c r="AO21" s="7" t="s">
        <v>62</v>
      </c>
      <c r="AP21" s="7" t="s">
        <v>62</v>
      </c>
      <c r="AQ21" s="7" t="s">
        <v>62</v>
      </c>
      <c r="AR21" s="7" t="n">
        <v>1385</v>
      </c>
      <c r="AS21" s="8" t="n">
        <f aca="false">(AR21/P21)*100</f>
        <v>1.0188318375754</v>
      </c>
    </row>
    <row r="22" customFormat="false" ht="12.8" hidden="false" customHeight="false" outlineLevel="0" collapsed="false">
      <c r="A22" s="6" t="n">
        <v>21</v>
      </c>
      <c r="B22" s="7" t="s">
        <v>185</v>
      </c>
      <c r="C22" s="7" t="s">
        <v>99</v>
      </c>
      <c r="D22" s="7" t="s">
        <v>99</v>
      </c>
      <c r="E22" s="7" t="s">
        <v>143</v>
      </c>
      <c r="F22" s="7" t="s">
        <v>124</v>
      </c>
      <c r="G22" s="7" t="s">
        <v>50</v>
      </c>
      <c r="H22" s="7" t="s">
        <v>50</v>
      </c>
      <c r="I22" s="7" t="s">
        <v>50</v>
      </c>
      <c r="J22" s="7" t="s">
        <v>50</v>
      </c>
      <c r="K22" s="12" t="s">
        <v>52</v>
      </c>
      <c r="L22" s="7" t="s">
        <v>50</v>
      </c>
      <c r="M22" s="7" t="s">
        <v>52</v>
      </c>
      <c r="N22" s="7" t="s">
        <v>168</v>
      </c>
      <c r="O22" s="7" t="n">
        <v>286090</v>
      </c>
      <c r="P22" s="7" t="n">
        <v>165096</v>
      </c>
      <c r="Q22" s="8" t="n">
        <f aca="false">(P22/O22)*100</f>
        <v>57.7077143556224</v>
      </c>
      <c r="R22" s="7" t="n">
        <f aca="false">X22-AC22</f>
        <v>27445</v>
      </c>
      <c r="S22" s="8" t="n">
        <f aca="false">(R22/P22)*100</f>
        <v>16.6236613848912</v>
      </c>
      <c r="T22" s="8" t="n">
        <f aca="false">Y22+AD22</f>
        <v>80.3550661433348</v>
      </c>
      <c r="U22" s="7" t="s">
        <v>51</v>
      </c>
      <c r="V22" s="7" t="s">
        <v>52</v>
      </c>
      <c r="W22" s="7" t="s">
        <v>186</v>
      </c>
      <c r="X22" s="7" t="n">
        <v>80054</v>
      </c>
      <c r="Y22" s="8" t="n">
        <f aca="false">(X22/P22)*100</f>
        <v>48.489363764113</v>
      </c>
      <c r="Z22" s="7" t="s">
        <v>54</v>
      </c>
      <c r="AA22" s="7" t="s">
        <v>67</v>
      </c>
      <c r="AB22" s="7" t="s">
        <v>187</v>
      </c>
      <c r="AC22" s="7" t="n">
        <v>52609</v>
      </c>
      <c r="AD22" s="8" t="n">
        <f aca="false">(AC22/P22)*100</f>
        <v>31.8657023792218</v>
      </c>
      <c r="AE22" s="7" t="s">
        <v>70</v>
      </c>
      <c r="AF22" s="7" t="s">
        <v>71</v>
      </c>
      <c r="AG22" s="7" t="s">
        <v>188</v>
      </c>
      <c r="AH22" s="7" t="n">
        <v>17522</v>
      </c>
      <c r="AI22" s="8" t="n">
        <f aca="false">(AH22/P22)*100</f>
        <v>10.6132189756263</v>
      </c>
      <c r="AJ22" s="7" t="s">
        <v>57</v>
      </c>
      <c r="AK22" s="7" t="s">
        <v>57</v>
      </c>
      <c r="AL22" s="7" t="s">
        <v>189</v>
      </c>
      <c r="AM22" s="7" t="n">
        <v>10406</v>
      </c>
      <c r="AN22" s="8" t="n">
        <f aca="false">(AM22/P22)*100</f>
        <v>6.30299946697679</v>
      </c>
      <c r="AO22" s="7" t="s">
        <v>62</v>
      </c>
      <c r="AP22" s="7" t="s">
        <v>62</v>
      </c>
      <c r="AQ22" s="7" t="s">
        <v>62</v>
      </c>
      <c r="AR22" s="7" t="n">
        <v>1545</v>
      </c>
      <c r="AS22" s="8" t="n">
        <f aca="false">(AR22/P22)*100</f>
        <v>0.935819159761593</v>
      </c>
    </row>
    <row r="23" customFormat="false" ht="12.8" hidden="false" customHeight="false" outlineLevel="0" collapsed="false">
      <c r="A23" s="6" t="n">
        <v>22</v>
      </c>
      <c r="B23" s="7" t="s">
        <v>190</v>
      </c>
      <c r="C23" s="7" t="s">
        <v>99</v>
      </c>
      <c r="D23" s="7" t="s">
        <v>99</v>
      </c>
      <c r="E23" s="7" t="s">
        <v>191</v>
      </c>
      <c r="F23" s="7" t="s">
        <v>124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n">
        <v>291691</v>
      </c>
      <c r="P23" s="7" t="n">
        <v>169087</v>
      </c>
      <c r="Q23" s="8" t="n">
        <f aca="false">(P23/O23)*100</f>
        <v>57.9678495394099</v>
      </c>
      <c r="R23" s="7" t="n">
        <f aca="false">X23-AC23</f>
        <v>18367</v>
      </c>
      <c r="S23" s="8" t="n">
        <f aca="false">(R23/P23)*100</f>
        <v>10.8624554223565</v>
      </c>
      <c r="T23" s="8" t="n">
        <f aca="false">Y23+AD23</f>
        <v>77.0816207041346</v>
      </c>
      <c r="U23" s="7" t="s">
        <v>51</v>
      </c>
      <c r="V23" s="7" t="s">
        <v>52</v>
      </c>
      <c r="W23" s="7" t="s">
        <v>192</v>
      </c>
      <c r="X23" s="7" t="n">
        <v>74351</v>
      </c>
      <c r="Y23" s="8" t="n">
        <f aca="false">(X23/P23)*100</f>
        <v>43.9720380632456</v>
      </c>
      <c r="Z23" s="7" t="s">
        <v>54</v>
      </c>
      <c r="AA23" s="7" t="s">
        <v>67</v>
      </c>
      <c r="AB23" s="7" t="s">
        <v>193</v>
      </c>
      <c r="AC23" s="7" t="n">
        <v>55984</v>
      </c>
      <c r="AD23" s="8" t="n">
        <f aca="false">(AC23/P23)*100</f>
        <v>33.109582640889</v>
      </c>
      <c r="AE23" s="7" t="s">
        <v>70</v>
      </c>
      <c r="AF23" s="7" t="s">
        <v>71</v>
      </c>
      <c r="AG23" s="7" t="s">
        <v>194</v>
      </c>
      <c r="AH23" s="7" t="n">
        <v>16939</v>
      </c>
      <c r="AI23" s="8" t="n">
        <f aca="false">(AH23/P23)*100</f>
        <v>10.0179197691129</v>
      </c>
      <c r="AJ23" s="7" t="s">
        <v>57</v>
      </c>
      <c r="AK23" s="7" t="s">
        <v>57</v>
      </c>
      <c r="AL23" s="7" t="s">
        <v>195</v>
      </c>
      <c r="AM23" s="7" t="n">
        <v>10185</v>
      </c>
      <c r="AN23" s="8" t="n">
        <f aca="false">(AM23/P23)*100</f>
        <v>6.02352635034036</v>
      </c>
      <c r="AO23" s="7" t="s">
        <v>196</v>
      </c>
      <c r="AP23" s="7" t="s">
        <v>196</v>
      </c>
      <c r="AQ23" s="7" t="s">
        <v>197</v>
      </c>
      <c r="AR23" s="7" t="n">
        <v>5186</v>
      </c>
      <c r="AS23" s="8" t="n">
        <f aca="false">(AR23/P23)*100</f>
        <v>3.06706015246589</v>
      </c>
    </row>
    <row r="24" customFormat="false" ht="12.8" hidden="false" customHeight="false" outlineLevel="0" collapsed="false">
      <c r="A24" s="6" t="n">
        <v>23</v>
      </c>
      <c r="B24" s="7" t="s">
        <v>198</v>
      </c>
      <c r="C24" s="7" t="s">
        <v>99</v>
      </c>
      <c r="D24" s="7" t="s">
        <v>99</v>
      </c>
      <c r="E24" s="7" t="s">
        <v>191</v>
      </c>
      <c r="F24" s="7" t="s">
        <v>124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52</v>
      </c>
      <c r="N24" s="7" t="s">
        <v>168</v>
      </c>
      <c r="O24" s="7" t="n">
        <v>279033</v>
      </c>
      <c r="P24" s="7" t="n">
        <v>160327</v>
      </c>
      <c r="Q24" s="8" t="n">
        <f aca="false">(P24/O24)*100</f>
        <v>57.4580784351672</v>
      </c>
      <c r="R24" s="7" t="n">
        <f aca="false">X24-AC24</f>
        <v>29408</v>
      </c>
      <c r="S24" s="8" t="n">
        <f aca="false">(R24/P24)*100</f>
        <v>18.3425124900984</v>
      </c>
      <c r="T24" s="8" t="n">
        <f aca="false">Y24+AD24</f>
        <v>81.6955347508529</v>
      </c>
      <c r="U24" s="7" t="s">
        <v>51</v>
      </c>
      <c r="V24" s="7" t="s">
        <v>52</v>
      </c>
      <c r="W24" s="7" t="s">
        <v>199</v>
      </c>
      <c r="X24" s="7" t="n">
        <v>80194</v>
      </c>
      <c r="Y24" s="8" t="n">
        <f aca="false">(X24/P24)*100</f>
        <v>50.0190236204757</v>
      </c>
      <c r="Z24" s="7" t="s">
        <v>54</v>
      </c>
      <c r="AA24" s="7" t="s">
        <v>67</v>
      </c>
      <c r="AB24" s="7" t="s">
        <v>200</v>
      </c>
      <c r="AC24" s="7" t="n">
        <v>50786</v>
      </c>
      <c r="AD24" s="8" t="n">
        <f aca="false">(AC24/P24)*100</f>
        <v>31.6765111303773</v>
      </c>
      <c r="AE24" s="7" t="s">
        <v>70</v>
      </c>
      <c r="AF24" s="7" t="s">
        <v>71</v>
      </c>
      <c r="AG24" s="7" t="s">
        <v>201</v>
      </c>
      <c r="AH24" s="7" t="n">
        <v>13454</v>
      </c>
      <c r="AI24" s="8" t="n">
        <f aca="false">(AH24/P24)*100</f>
        <v>8.39159966817816</v>
      </c>
      <c r="AJ24" s="7" t="s">
        <v>57</v>
      </c>
      <c r="AK24" s="7" t="s">
        <v>57</v>
      </c>
      <c r="AL24" s="7" t="s">
        <v>202</v>
      </c>
      <c r="AM24" s="7" t="n">
        <v>10717</v>
      </c>
      <c r="AN24" s="8" t="n">
        <f aca="false">(AM24/P24)*100</f>
        <v>6.68446362746138</v>
      </c>
      <c r="AO24" s="10" t="s">
        <v>59</v>
      </c>
      <c r="AP24" s="7" t="s">
        <v>73</v>
      </c>
      <c r="AQ24" s="7" t="s">
        <v>203</v>
      </c>
      <c r="AR24" s="7" t="n">
        <v>2081</v>
      </c>
      <c r="AS24" s="8" t="n">
        <f aca="false">(AR24/P24)*100</f>
        <v>1.29797226917487</v>
      </c>
    </row>
    <row r="25" customFormat="false" ht="12.8" hidden="false" customHeight="false" outlineLevel="0" collapsed="false">
      <c r="A25" s="6" t="n">
        <v>24</v>
      </c>
      <c r="B25" s="7" t="s">
        <v>204</v>
      </c>
      <c r="C25" s="7" t="s">
        <v>99</v>
      </c>
      <c r="D25" s="7" t="s">
        <v>99</v>
      </c>
      <c r="E25" s="7" t="s">
        <v>191</v>
      </c>
      <c r="F25" s="7" t="s">
        <v>124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n">
        <v>245040</v>
      </c>
      <c r="P25" s="7" t="n">
        <v>138114</v>
      </c>
      <c r="Q25" s="8" t="n">
        <f aca="false">(P25/O25)*100</f>
        <v>56.3638589618022</v>
      </c>
      <c r="R25" s="7" t="n">
        <f aca="false">X25-AC25</f>
        <v>127</v>
      </c>
      <c r="S25" s="8" t="n">
        <f aca="false">(R25/P25)*100</f>
        <v>0.0919530243132485</v>
      </c>
      <c r="T25" s="8" t="n">
        <f aca="false">Y25+AD25</f>
        <v>81.0366798441867</v>
      </c>
      <c r="U25" s="7" t="s">
        <v>51</v>
      </c>
      <c r="V25" s="7" t="s">
        <v>52</v>
      </c>
      <c r="W25" s="7" t="s">
        <v>205</v>
      </c>
      <c r="X25" s="7" t="n">
        <v>56025</v>
      </c>
      <c r="Y25" s="8" t="n">
        <f aca="false">(X25/P25)*100</f>
        <v>40.56431643425</v>
      </c>
      <c r="Z25" s="7" t="s">
        <v>54</v>
      </c>
      <c r="AA25" s="7" t="s">
        <v>67</v>
      </c>
      <c r="AB25" s="7" t="s">
        <v>206</v>
      </c>
      <c r="AC25" s="7" t="n">
        <v>55898</v>
      </c>
      <c r="AD25" s="8" t="n">
        <f aca="false">(AC25/P25)*100</f>
        <v>40.4723634099367</v>
      </c>
      <c r="AE25" s="7" t="s">
        <v>70</v>
      </c>
      <c r="AF25" s="7" t="s">
        <v>71</v>
      </c>
      <c r="AG25" s="7" t="s">
        <v>207</v>
      </c>
      <c r="AH25" s="7" t="n">
        <v>14567</v>
      </c>
      <c r="AI25" s="8" t="n">
        <f aca="false">(AH25/P25)*100</f>
        <v>10.5470842926858</v>
      </c>
      <c r="AJ25" s="7" t="s">
        <v>57</v>
      </c>
      <c r="AK25" s="7" t="s">
        <v>57</v>
      </c>
      <c r="AL25" s="7" t="s">
        <v>208</v>
      </c>
      <c r="AM25" s="7" t="n">
        <v>8284</v>
      </c>
      <c r="AN25" s="8" t="n">
        <f aca="false">(AM25/P25)*100</f>
        <v>5.99794372764528</v>
      </c>
      <c r="AO25" s="7" t="s">
        <v>62</v>
      </c>
      <c r="AP25" s="7" t="s">
        <v>62</v>
      </c>
      <c r="AQ25" s="7" t="s">
        <v>62</v>
      </c>
      <c r="AR25" s="7" t="n">
        <v>1617</v>
      </c>
      <c r="AS25" s="8" t="n">
        <f aca="false">(AR25/P25)*100</f>
        <v>1.17077197098049</v>
      </c>
    </row>
    <row r="26" customFormat="false" ht="12.8" hidden="false" customHeight="false" outlineLevel="0" collapsed="false">
      <c r="A26" s="6" t="n">
        <v>25</v>
      </c>
      <c r="B26" s="7" t="s">
        <v>209</v>
      </c>
      <c r="C26" s="7" t="s">
        <v>99</v>
      </c>
      <c r="D26" s="7" t="s">
        <v>99</v>
      </c>
      <c r="E26" s="7" t="s">
        <v>191</v>
      </c>
      <c r="F26" s="7" t="s">
        <v>124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n">
        <v>270568</v>
      </c>
      <c r="P26" s="7" t="n">
        <v>153430</v>
      </c>
      <c r="Q26" s="8" t="n">
        <f aca="false">(P26/O26)*100</f>
        <v>56.7066319742172</v>
      </c>
      <c r="R26" s="7" t="n">
        <f aca="false">X26-AC26</f>
        <v>12633</v>
      </c>
      <c r="S26" s="8" t="n">
        <f aca="false">(R26/P26)*100</f>
        <v>8.23372221860132</v>
      </c>
      <c r="T26" s="8" t="n">
        <f aca="false">Y26+AD26</f>
        <v>80.9170305676856</v>
      </c>
      <c r="U26" s="7" t="s">
        <v>51</v>
      </c>
      <c r="V26" s="7" t="s">
        <v>52</v>
      </c>
      <c r="W26" s="7" t="s">
        <v>210</v>
      </c>
      <c r="X26" s="7" t="n">
        <v>68392</v>
      </c>
      <c r="Y26" s="8" t="n">
        <f aca="false">(X26/P26)*100</f>
        <v>44.5753763931435</v>
      </c>
      <c r="Z26" s="7" t="s">
        <v>54</v>
      </c>
      <c r="AA26" s="7" t="s">
        <v>67</v>
      </c>
      <c r="AB26" s="7" t="s">
        <v>211</v>
      </c>
      <c r="AC26" s="7" t="n">
        <v>55759</v>
      </c>
      <c r="AD26" s="8" t="n">
        <f aca="false">(AC26/P26)*100</f>
        <v>36.3416541745421</v>
      </c>
      <c r="AE26" s="7" t="s">
        <v>70</v>
      </c>
      <c r="AF26" s="7" t="s">
        <v>71</v>
      </c>
      <c r="AG26" s="7" t="s">
        <v>212</v>
      </c>
      <c r="AH26" s="7" t="n">
        <v>14904</v>
      </c>
      <c r="AI26" s="8" t="n">
        <f aca="false">(AH26/P26)*100</f>
        <v>9.71387603467379</v>
      </c>
      <c r="AJ26" s="7" t="s">
        <v>57</v>
      </c>
      <c r="AK26" s="7" t="s">
        <v>57</v>
      </c>
      <c r="AL26" s="7" t="s">
        <v>213</v>
      </c>
      <c r="AM26" s="7" t="n">
        <v>10124</v>
      </c>
      <c r="AN26" s="8" t="n">
        <f aca="false">(AM26/P26)*100</f>
        <v>6.59844880401486</v>
      </c>
      <c r="AO26" s="7" t="s">
        <v>62</v>
      </c>
      <c r="AP26" s="7" t="s">
        <v>62</v>
      </c>
      <c r="AQ26" s="7" t="s">
        <v>62</v>
      </c>
      <c r="AR26" s="7" t="n">
        <v>1287</v>
      </c>
      <c r="AS26" s="8" t="n">
        <f aca="false">(AR26/P26)*100</f>
        <v>0.838819005409633</v>
      </c>
    </row>
    <row r="27" customFormat="false" ht="12.8" hidden="false" customHeight="false" outlineLevel="0" collapsed="false">
      <c r="A27" s="6" t="n">
        <v>26</v>
      </c>
      <c r="B27" s="7" t="s">
        <v>214</v>
      </c>
      <c r="C27" s="7" t="s">
        <v>99</v>
      </c>
      <c r="D27" s="7" t="s">
        <v>99</v>
      </c>
      <c r="E27" s="7" t="s">
        <v>191</v>
      </c>
      <c r="F27" s="7" t="s">
        <v>124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n">
        <v>314578</v>
      </c>
      <c r="P27" s="7" t="n">
        <v>176714</v>
      </c>
      <c r="Q27" s="8" t="n">
        <f aca="false">(P27/O27)*100</f>
        <v>56.1749391247958</v>
      </c>
      <c r="R27" s="7" t="n">
        <f aca="false">X27-AC27</f>
        <v>4352</v>
      </c>
      <c r="S27" s="8" t="n">
        <f aca="false">(R27/P27)*100</f>
        <v>2.46273639892708</v>
      </c>
      <c r="T27" s="8" t="n">
        <f aca="false">Y27+AD27</f>
        <v>75.0557397829261</v>
      </c>
      <c r="U27" s="7" t="s">
        <v>51</v>
      </c>
      <c r="V27" s="7" t="s">
        <v>65</v>
      </c>
      <c r="W27" s="7" t="s">
        <v>215</v>
      </c>
      <c r="X27" s="7" t="n">
        <v>68493</v>
      </c>
      <c r="Y27" s="8" t="n">
        <f aca="false">(X27/P27)*100</f>
        <v>38.7592380909266</v>
      </c>
      <c r="Z27" s="7" t="s">
        <v>54</v>
      </c>
      <c r="AA27" s="7" t="s">
        <v>67</v>
      </c>
      <c r="AB27" s="7" t="s">
        <v>216</v>
      </c>
      <c r="AC27" s="7" t="n">
        <v>64141</v>
      </c>
      <c r="AD27" s="8" t="n">
        <f aca="false">(AC27/P27)*100</f>
        <v>36.2965016919995</v>
      </c>
      <c r="AE27" s="7" t="s">
        <v>70</v>
      </c>
      <c r="AF27" s="7" t="s">
        <v>71</v>
      </c>
      <c r="AG27" s="7" t="s">
        <v>217</v>
      </c>
      <c r="AH27" s="7" t="n">
        <v>23072</v>
      </c>
      <c r="AI27" s="8" t="n">
        <f aca="false">(AH27/P27)*100</f>
        <v>13.0561245854884</v>
      </c>
      <c r="AJ27" s="7" t="s">
        <v>57</v>
      </c>
      <c r="AK27" s="7" t="s">
        <v>57</v>
      </c>
      <c r="AL27" s="7" t="s">
        <v>218</v>
      </c>
      <c r="AM27" s="7" t="n">
        <v>14171</v>
      </c>
      <c r="AN27" s="8" t="n">
        <f aca="false">(AM27/P27)*100</f>
        <v>8.01917222178209</v>
      </c>
      <c r="AO27" s="10" t="s">
        <v>59</v>
      </c>
      <c r="AP27" s="7" t="s">
        <v>73</v>
      </c>
      <c r="AQ27" s="7" t="s">
        <v>219</v>
      </c>
      <c r="AR27" s="7" t="n">
        <v>1977</v>
      </c>
      <c r="AS27" s="8" t="n">
        <f aca="false">(AR27/P27)*100</f>
        <v>1.11875686136922</v>
      </c>
    </row>
    <row r="28" customFormat="false" ht="12.8" hidden="false" customHeight="false" outlineLevel="0" collapsed="false">
      <c r="A28" s="6" t="n">
        <v>27</v>
      </c>
      <c r="B28" s="7" t="s">
        <v>220</v>
      </c>
      <c r="C28" s="7" t="s">
        <v>99</v>
      </c>
      <c r="D28" s="7" t="s">
        <v>99</v>
      </c>
      <c r="E28" s="7" t="s">
        <v>191</v>
      </c>
      <c r="F28" s="7" t="s">
        <v>87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n">
        <v>698893</v>
      </c>
      <c r="P28" s="7" t="n">
        <v>388355</v>
      </c>
      <c r="Q28" s="8" t="n">
        <f aca="false">(P28/O28)*100</f>
        <v>55.5671612106574</v>
      </c>
      <c r="R28" s="7" t="n">
        <f aca="false">X28-AC28</f>
        <v>35405</v>
      </c>
      <c r="S28" s="8" t="n">
        <f aca="false">(R28/P28)*100</f>
        <v>9.11665872719548</v>
      </c>
      <c r="T28" s="8" t="n">
        <f aca="false">Y28+AD28</f>
        <v>79.2344633132057</v>
      </c>
      <c r="U28" s="7" t="s">
        <v>51</v>
      </c>
      <c r="V28" s="7" t="s">
        <v>52</v>
      </c>
      <c r="W28" s="7" t="s">
        <v>221</v>
      </c>
      <c r="X28" s="7" t="n">
        <v>171558</v>
      </c>
      <c r="Y28" s="8" t="n">
        <f aca="false">(X28/P28)*100</f>
        <v>44.1755610202006</v>
      </c>
      <c r="Z28" s="7" t="s">
        <v>54</v>
      </c>
      <c r="AA28" s="7" t="s">
        <v>67</v>
      </c>
      <c r="AB28" s="7" t="s">
        <v>222</v>
      </c>
      <c r="AC28" s="7" t="n">
        <v>136153</v>
      </c>
      <c r="AD28" s="8" t="n">
        <f aca="false">(AC28/P28)*100</f>
        <v>35.0589022930051</v>
      </c>
      <c r="AE28" s="7" t="s">
        <v>57</v>
      </c>
      <c r="AF28" s="7" t="s">
        <v>57</v>
      </c>
      <c r="AG28" s="7" t="s">
        <v>223</v>
      </c>
      <c r="AH28" s="7" t="n">
        <v>38872</v>
      </c>
      <c r="AI28" s="8" t="n">
        <f aca="false">(AH28/P28)*100</f>
        <v>10.0093986172445</v>
      </c>
      <c r="AJ28" s="7" t="s">
        <v>70</v>
      </c>
      <c r="AK28" s="7" t="s">
        <v>71</v>
      </c>
      <c r="AL28" s="7" t="s">
        <v>224</v>
      </c>
      <c r="AM28" s="7" t="n">
        <v>30284</v>
      </c>
      <c r="AN28" s="8" t="n">
        <f aca="false">(AM28/P28)*100</f>
        <v>7.79801985296958</v>
      </c>
      <c r="AO28" s="10" t="s">
        <v>59</v>
      </c>
      <c r="AP28" s="7" t="s">
        <v>60</v>
      </c>
      <c r="AQ28" s="7" t="s">
        <v>225</v>
      </c>
      <c r="AR28" s="7" t="n">
        <v>3912</v>
      </c>
      <c r="AS28" s="8" t="n">
        <f aca="false">(AR28/P28)*100</f>
        <v>1.00732577152348</v>
      </c>
    </row>
    <row r="29" customFormat="false" ht="12.8" hidden="false" customHeight="false" outlineLevel="0" collapsed="false">
      <c r="A29" s="6" t="n">
        <v>28</v>
      </c>
      <c r="B29" s="7" t="s">
        <v>226</v>
      </c>
      <c r="C29" s="7" t="s">
        <v>99</v>
      </c>
      <c r="D29" s="7" t="s">
        <v>99</v>
      </c>
      <c r="E29" s="7" t="s">
        <v>191</v>
      </c>
      <c r="F29" s="7" t="s">
        <v>87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227</v>
      </c>
      <c r="O29" s="7" t="n">
        <v>389118</v>
      </c>
      <c r="P29" s="7" t="n">
        <v>237751</v>
      </c>
      <c r="Q29" s="8" t="n">
        <f aca="false">(P29/O29)*100</f>
        <v>61.0999748148377</v>
      </c>
      <c r="R29" s="7" t="n">
        <f aca="false">X29-AC29</f>
        <v>40571</v>
      </c>
      <c r="S29" s="8" t="n">
        <f aca="false">(R29/P29)*100</f>
        <v>17.0644918423056</v>
      </c>
      <c r="T29" s="8" t="n">
        <f aca="false">Y29+AD29</f>
        <v>81.1769456279889</v>
      </c>
      <c r="U29" s="7" t="s">
        <v>51</v>
      </c>
      <c r="V29" s="7" t="s">
        <v>52</v>
      </c>
      <c r="W29" s="7" t="s">
        <v>228</v>
      </c>
      <c r="X29" s="7" t="n">
        <v>116785</v>
      </c>
      <c r="Y29" s="8" t="n">
        <f aca="false">(X29/P29)*100</f>
        <v>49.1207187351473</v>
      </c>
      <c r="Z29" s="7" t="s">
        <v>54</v>
      </c>
      <c r="AA29" s="7" t="s">
        <v>67</v>
      </c>
      <c r="AB29" s="7" t="s">
        <v>229</v>
      </c>
      <c r="AC29" s="7" t="n">
        <v>76214</v>
      </c>
      <c r="AD29" s="8" t="n">
        <f aca="false">(AC29/P29)*100</f>
        <v>32.0562268928417</v>
      </c>
      <c r="AE29" s="7" t="s">
        <v>70</v>
      </c>
      <c r="AF29" s="7" t="s">
        <v>71</v>
      </c>
      <c r="AG29" s="7" t="s">
        <v>230</v>
      </c>
      <c r="AH29" s="7" t="n">
        <v>21139</v>
      </c>
      <c r="AI29" s="8" t="n">
        <f aca="false">(AH29/P29)*100</f>
        <v>8.89123494748708</v>
      </c>
      <c r="AJ29" s="7" t="s">
        <v>57</v>
      </c>
      <c r="AK29" s="7" t="s">
        <v>57</v>
      </c>
      <c r="AL29" s="7" t="s">
        <v>231</v>
      </c>
      <c r="AM29" s="7" t="n">
        <v>16522</v>
      </c>
      <c r="AN29" s="8" t="n">
        <f aca="false">(AM29/P29)*100</f>
        <v>6.94928727954877</v>
      </c>
      <c r="AO29" s="7" t="s">
        <v>62</v>
      </c>
      <c r="AP29" s="7" t="s">
        <v>62</v>
      </c>
      <c r="AQ29" s="7" t="s">
        <v>62</v>
      </c>
      <c r="AR29" s="7" t="n">
        <v>1908</v>
      </c>
      <c r="AS29" s="8" t="n">
        <f aca="false">(AR29/P29)*100</f>
        <v>0.802520283826356</v>
      </c>
    </row>
    <row r="30" customFormat="false" ht="12.8" hidden="false" customHeight="false" outlineLevel="0" collapsed="false">
      <c r="A30" s="6" t="n">
        <v>29</v>
      </c>
      <c r="B30" s="7" t="s">
        <v>232</v>
      </c>
      <c r="C30" s="7" t="s">
        <v>233</v>
      </c>
      <c r="D30" s="7" t="s">
        <v>47</v>
      </c>
      <c r="E30" s="7" t="s">
        <v>48</v>
      </c>
      <c r="F30" s="7" t="s">
        <v>76</v>
      </c>
      <c r="G30" s="7" t="s">
        <v>64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n">
        <v>355267</v>
      </c>
      <c r="P30" s="7" t="n">
        <v>264262</v>
      </c>
      <c r="Q30" s="8" t="n">
        <f aca="false">(P30/O30)*100</f>
        <v>74.3840548094813</v>
      </c>
      <c r="R30" s="7" t="n">
        <f aca="false">X30-AC30</f>
        <v>10879</v>
      </c>
      <c r="S30" s="8" t="n">
        <f aca="false">(R30/P30)*100</f>
        <v>4.11674777304342</v>
      </c>
      <c r="T30" s="8" t="n">
        <f aca="false">Y30+AD30</f>
        <v>83.185247973602</v>
      </c>
      <c r="U30" s="7" t="s">
        <v>51</v>
      </c>
      <c r="V30" s="7" t="s">
        <v>65</v>
      </c>
      <c r="W30" s="7" t="s">
        <v>234</v>
      </c>
      <c r="X30" s="7" t="n">
        <v>115353</v>
      </c>
      <c r="Y30" s="8" t="n">
        <f aca="false">(X30/P30)*100</f>
        <v>43.6509978733227</v>
      </c>
      <c r="Z30" s="7" t="s">
        <v>54</v>
      </c>
      <c r="AA30" s="7" t="s">
        <v>67</v>
      </c>
      <c r="AB30" s="7" t="s">
        <v>235</v>
      </c>
      <c r="AC30" s="7" t="n">
        <v>104474</v>
      </c>
      <c r="AD30" s="8" t="n">
        <f aca="false">(AC30/P30)*100</f>
        <v>39.5342501002793</v>
      </c>
      <c r="AE30" s="7" t="s">
        <v>57</v>
      </c>
      <c r="AF30" s="7" t="s">
        <v>57</v>
      </c>
      <c r="AG30" s="7" t="s">
        <v>236</v>
      </c>
      <c r="AH30" s="7" t="n">
        <v>22034</v>
      </c>
      <c r="AI30" s="8" t="n">
        <f aca="false">(AH30/P30)*100</f>
        <v>8.33793735005411</v>
      </c>
      <c r="AJ30" s="7" t="s">
        <v>70</v>
      </c>
      <c r="AK30" s="7" t="s">
        <v>71</v>
      </c>
      <c r="AL30" s="7" t="s">
        <v>237</v>
      </c>
      <c r="AM30" s="7" t="n">
        <v>8870</v>
      </c>
      <c r="AN30" s="8" t="n">
        <f aca="false">(AM30/P30)*100</f>
        <v>3.35651739561496</v>
      </c>
      <c r="AO30" s="7" t="s">
        <v>196</v>
      </c>
      <c r="AP30" s="7" t="s">
        <v>196</v>
      </c>
      <c r="AQ30" s="7" t="s">
        <v>238</v>
      </c>
      <c r="AR30" s="7" t="n">
        <v>6340</v>
      </c>
      <c r="AS30" s="8" t="n">
        <f aca="false">(AR30/P30)*100</f>
        <v>2.3991341925816</v>
      </c>
    </row>
    <row r="31" customFormat="false" ht="12.8" hidden="false" customHeight="false" outlineLevel="0" collapsed="false">
      <c r="A31" s="6" t="n">
        <v>30</v>
      </c>
      <c r="B31" s="7" t="s">
        <v>239</v>
      </c>
      <c r="C31" s="7" t="s">
        <v>240</v>
      </c>
      <c r="D31" s="7" t="s">
        <v>47</v>
      </c>
      <c r="E31" s="7" t="s">
        <v>48</v>
      </c>
      <c r="F31" s="7" t="s">
        <v>87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n">
        <v>436239</v>
      </c>
      <c r="P31" s="7" t="n">
        <v>266190</v>
      </c>
      <c r="Q31" s="8" t="n">
        <f aca="false">(P31/O31)*100</f>
        <v>61.0193036386018</v>
      </c>
      <c r="R31" s="7" t="n">
        <f aca="false">X31-AC31</f>
        <v>37783</v>
      </c>
      <c r="S31" s="8" t="n">
        <f aca="false">(R31/P31)*100</f>
        <v>14.193996769225</v>
      </c>
      <c r="T31" s="8" t="n">
        <f aca="false">Y31+AD31</f>
        <v>80.796047935685</v>
      </c>
      <c r="U31" s="7" t="s">
        <v>51</v>
      </c>
      <c r="V31" s="7" t="s">
        <v>52</v>
      </c>
      <c r="W31" s="7" t="s">
        <v>241</v>
      </c>
      <c r="X31" s="7" t="n">
        <v>126427</v>
      </c>
      <c r="Y31" s="8" t="n">
        <f aca="false">(X31/P31)*100</f>
        <v>47.495022352455</v>
      </c>
      <c r="Z31" s="7" t="s">
        <v>54</v>
      </c>
      <c r="AA31" s="7" t="s">
        <v>67</v>
      </c>
      <c r="AB31" s="7" t="s">
        <v>242</v>
      </c>
      <c r="AC31" s="7" t="n">
        <v>88644</v>
      </c>
      <c r="AD31" s="8" t="n">
        <f aca="false">(AC31/P31)*100</f>
        <v>33.30102558323</v>
      </c>
      <c r="AE31" s="7" t="s">
        <v>70</v>
      </c>
      <c r="AF31" s="7" t="s">
        <v>71</v>
      </c>
      <c r="AG31" s="7" t="s">
        <v>243</v>
      </c>
      <c r="AH31" s="7" t="n">
        <v>20744</v>
      </c>
      <c r="AI31" s="8" t="n">
        <f aca="false">(AH31/P31)*100</f>
        <v>7.79292986212855</v>
      </c>
      <c r="AJ31" s="7" t="s">
        <v>57</v>
      </c>
      <c r="AK31" s="7" t="s">
        <v>57</v>
      </c>
      <c r="AL31" s="7" t="s">
        <v>244</v>
      </c>
      <c r="AM31" s="7" t="n">
        <v>21522</v>
      </c>
      <c r="AN31" s="8" t="n">
        <f aca="false">(AM31/P31)*100</f>
        <v>8.08520229910966</v>
      </c>
      <c r="AO31" s="7" t="s">
        <v>62</v>
      </c>
      <c r="AP31" s="7" t="s">
        <v>62</v>
      </c>
      <c r="AQ31" s="7" t="s">
        <v>62</v>
      </c>
      <c r="AR31" s="7" t="n">
        <v>1945</v>
      </c>
      <c r="AS31" s="8" t="n">
        <f aca="false">(AR31/P31)*100</f>
        <v>0.730681092452759</v>
      </c>
    </row>
    <row r="32" customFormat="false" ht="12.8" hidden="false" customHeight="false" outlineLevel="0" collapsed="false">
      <c r="A32" s="6" t="n">
        <v>31</v>
      </c>
      <c r="B32" s="7" t="s">
        <v>245</v>
      </c>
      <c r="C32" s="7" t="s">
        <v>240</v>
      </c>
      <c r="D32" s="7" t="s">
        <v>47</v>
      </c>
      <c r="E32" s="7" t="s">
        <v>48</v>
      </c>
      <c r="F32" s="7" t="s">
        <v>87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n">
        <v>415663</v>
      </c>
      <c r="P32" s="7" t="n">
        <v>248968</v>
      </c>
      <c r="Q32" s="8" t="n">
        <f aca="false">(P32/O32)*100</f>
        <v>59.8965989274966</v>
      </c>
      <c r="R32" s="7" t="n">
        <f aca="false">X32-AC32</f>
        <v>36824</v>
      </c>
      <c r="S32" s="8" t="n">
        <f aca="false">(R32/P32)*100</f>
        <v>14.7906558272549</v>
      </c>
      <c r="T32" s="8" t="n">
        <f aca="false">Y32+AD32</f>
        <v>79.0687959898461</v>
      </c>
      <c r="U32" s="7" t="s">
        <v>51</v>
      </c>
      <c r="V32" s="7" t="s">
        <v>52</v>
      </c>
      <c r="W32" s="7" t="s">
        <v>246</v>
      </c>
      <c r="X32" s="7" t="n">
        <v>116840</v>
      </c>
      <c r="Y32" s="8" t="n">
        <f aca="false">(X32/P32)*100</f>
        <v>46.9297259085505</v>
      </c>
      <c r="Z32" s="7" t="s">
        <v>54</v>
      </c>
      <c r="AA32" s="7" t="s">
        <v>67</v>
      </c>
      <c r="AB32" s="7" t="s">
        <v>247</v>
      </c>
      <c r="AC32" s="7" t="n">
        <v>80016</v>
      </c>
      <c r="AD32" s="8" t="n">
        <f aca="false">(AC32/P32)*100</f>
        <v>32.1390700812956</v>
      </c>
      <c r="AE32" s="7" t="s">
        <v>70</v>
      </c>
      <c r="AF32" s="7" t="s">
        <v>71</v>
      </c>
      <c r="AG32" s="7" t="s">
        <v>248</v>
      </c>
      <c r="AH32" s="7" t="n">
        <v>22530</v>
      </c>
      <c r="AI32" s="8" t="n">
        <f aca="false">(AH32/P32)*100</f>
        <v>9.04935574049677</v>
      </c>
      <c r="AJ32" s="7" t="s">
        <v>57</v>
      </c>
      <c r="AK32" s="7" t="s">
        <v>57</v>
      </c>
      <c r="AL32" s="7" t="s">
        <v>249</v>
      </c>
      <c r="AM32" s="7" t="n">
        <v>19494</v>
      </c>
      <c r="AN32" s="8" t="n">
        <f aca="false">(AM32/P32)*100</f>
        <v>7.82992191767617</v>
      </c>
      <c r="AO32" s="10" t="s">
        <v>59</v>
      </c>
      <c r="AP32" s="7" t="s">
        <v>73</v>
      </c>
      <c r="AQ32" s="7" t="s">
        <v>250</v>
      </c>
      <c r="AR32" s="7" t="n">
        <v>4207</v>
      </c>
      <c r="AS32" s="8" t="n">
        <f aca="false">(AR32/P32)*100</f>
        <v>1.68977539282157</v>
      </c>
    </row>
    <row r="33" customFormat="false" ht="12.8" hidden="false" customHeight="false" outlineLevel="0" collapsed="false">
      <c r="A33" s="6" t="n">
        <v>32</v>
      </c>
      <c r="B33" s="7" t="s">
        <v>240</v>
      </c>
      <c r="C33" s="7" t="s">
        <v>240</v>
      </c>
      <c r="D33" s="7" t="s">
        <v>47</v>
      </c>
      <c r="E33" s="7" t="s">
        <v>48</v>
      </c>
      <c r="F33" s="7" t="s">
        <v>76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67</v>
      </c>
      <c r="L33" s="7" t="s">
        <v>50</v>
      </c>
      <c r="M33" s="7" t="s">
        <v>50</v>
      </c>
      <c r="N33" s="7" t="s">
        <v>50</v>
      </c>
      <c r="O33" s="7" t="n">
        <v>428440</v>
      </c>
      <c r="P33" s="7" t="n">
        <v>274087</v>
      </c>
      <c r="Q33" s="8" t="n">
        <f aca="false">(P33/O33)*100</f>
        <v>63.9732517972178</v>
      </c>
      <c r="R33" s="7" t="n">
        <f aca="false">X33-AC33</f>
        <v>26665</v>
      </c>
      <c r="S33" s="8" t="n">
        <f aca="false">(R33/P33)*100</f>
        <v>9.72866279684918</v>
      </c>
      <c r="T33" s="8" t="n">
        <f aca="false">Y33+AD33</f>
        <v>85.5498436627786</v>
      </c>
      <c r="U33" s="7" t="s">
        <v>51</v>
      </c>
      <c r="V33" s="7" t="s">
        <v>52</v>
      </c>
      <c r="W33" s="7" t="s">
        <v>251</v>
      </c>
      <c r="X33" s="7" t="n">
        <v>130573</v>
      </c>
      <c r="Y33" s="8" t="n">
        <f aca="false">(X33/P33)*100</f>
        <v>47.6392532298139</v>
      </c>
      <c r="Z33" s="7" t="s">
        <v>54</v>
      </c>
      <c r="AA33" s="7" t="s">
        <v>67</v>
      </c>
      <c r="AB33" s="7" t="s">
        <v>252</v>
      </c>
      <c r="AC33" s="7" t="n">
        <v>103908</v>
      </c>
      <c r="AD33" s="8" t="n">
        <f aca="false">(AC33/P33)*100</f>
        <v>37.9105904329647</v>
      </c>
      <c r="AE33" s="7" t="s">
        <v>57</v>
      </c>
      <c r="AF33" s="7" t="s">
        <v>57</v>
      </c>
      <c r="AG33" s="7" t="s">
        <v>253</v>
      </c>
      <c r="AH33" s="7" t="n">
        <v>26868</v>
      </c>
      <c r="AI33" s="8" t="n">
        <f aca="false">(AH33/P33)*100</f>
        <v>9.80272687139485</v>
      </c>
      <c r="AJ33" s="7" t="s">
        <v>70</v>
      </c>
      <c r="AK33" s="13" t="s">
        <v>178</v>
      </c>
      <c r="AL33" s="7" t="s">
        <v>254</v>
      </c>
      <c r="AM33" s="7" t="n">
        <v>4146</v>
      </c>
      <c r="AN33" s="8" t="n">
        <f aca="false">(AM33/P33)*100</f>
        <v>1.51265838948947</v>
      </c>
      <c r="AO33" s="7" t="s">
        <v>62</v>
      </c>
      <c r="AP33" s="7" t="s">
        <v>62</v>
      </c>
      <c r="AQ33" s="7" t="s">
        <v>62</v>
      </c>
      <c r="AR33" s="7" t="n">
        <v>3075</v>
      </c>
      <c r="AS33" s="8" t="n">
        <f aca="false">(AR33/P33)*100</f>
        <v>1.12190654792092</v>
      </c>
    </row>
    <row r="34" customFormat="false" ht="12.8" hidden="false" customHeight="false" outlineLevel="0" collapsed="false">
      <c r="A34" s="6" t="n">
        <v>33</v>
      </c>
      <c r="B34" s="7" t="s">
        <v>255</v>
      </c>
      <c r="C34" s="7" t="s">
        <v>240</v>
      </c>
      <c r="D34" s="7" t="s">
        <v>47</v>
      </c>
      <c r="E34" s="7" t="s">
        <v>48</v>
      </c>
      <c r="F34" s="7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n">
        <v>294620</v>
      </c>
      <c r="P34" s="7" t="n">
        <v>226729</v>
      </c>
      <c r="Q34" s="8" t="n">
        <f aca="false">(P34/O34)*100</f>
        <v>76.9564184373091</v>
      </c>
      <c r="R34" s="7" t="n">
        <f aca="false">X34-AC34</f>
        <v>1947</v>
      </c>
      <c r="S34" s="8" t="n">
        <f aca="false">(R34/P34)*100</f>
        <v>0.858734436265321</v>
      </c>
      <c r="T34" s="8" t="n">
        <f aca="false">Y34+AD34</f>
        <v>82.0190624048975</v>
      </c>
      <c r="U34" s="7" t="s">
        <v>51</v>
      </c>
      <c r="V34" s="7" t="s">
        <v>256</v>
      </c>
      <c r="W34" s="7" t="s">
        <v>257</v>
      </c>
      <c r="X34" s="7" t="n">
        <v>93954</v>
      </c>
      <c r="Y34" s="8" t="n">
        <f aca="false">(X34/P34)*100</f>
        <v>41.4388984205814</v>
      </c>
      <c r="Z34" s="7" t="s">
        <v>54</v>
      </c>
      <c r="AA34" s="7" t="s">
        <v>55</v>
      </c>
      <c r="AB34" s="7" t="s">
        <v>258</v>
      </c>
      <c r="AC34" s="7" t="n">
        <v>92007</v>
      </c>
      <c r="AD34" s="8" t="n">
        <f aca="false">(AC34/P34)*100</f>
        <v>40.5801639843161</v>
      </c>
      <c r="AE34" s="7" t="s">
        <v>57</v>
      </c>
      <c r="AF34" s="7" t="s">
        <v>57</v>
      </c>
      <c r="AG34" s="7" t="s">
        <v>259</v>
      </c>
      <c r="AH34" s="7" t="n">
        <v>20428</v>
      </c>
      <c r="AI34" s="8" t="n">
        <f aca="false">(AH34/P34)*100</f>
        <v>9.00987522548946</v>
      </c>
      <c r="AJ34" s="7" t="s">
        <v>70</v>
      </c>
      <c r="AK34" s="7" t="s">
        <v>71</v>
      </c>
      <c r="AL34" s="7" t="s">
        <v>260</v>
      </c>
      <c r="AM34" s="7" t="n">
        <v>8194</v>
      </c>
      <c r="AN34" s="8" t="n">
        <f aca="false">(AM34/P34)*100</f>
        <v>3.61400614830922</v>
      </c>
      <c r="AO34" s="10" t="s">
        <v>59</v>
      </c>
      <c r="AP34" s="7" t="s">
        <v>73</v>
      </c>
      <c r="AQ34" s="7" t="s">
        <v>261</v>
      </c>
      <c r="AR34" s="7" t="n">
        <v>7662</v>
      </c>
      <c r="AS34" s="8" t="n">
        <f aca="false">(AR34/P34)*100</f>
        <v>3.37936479232917</v>
      </c>
    </row>
    <row r="35" customFormat="false" ht="12.8" hidden="false" customHeight="false" outlineLevel="0" collapsed="false">
      <c r="A35" s="6" t="n">
        <v>34</v>
      </c>
      <c r="B35" s="7" t="s">
        <v>262</v>
      </c>
      <c r="C35" s="7" t="s">
        <v>240</v>
      </c>
      <c r="D35" s="7" t="s">
        <v>47</v>
      </c>
      <c r="E35" s="7" t="s">
        <v>48</v>
      </c>
      <c r="F35" s="7" t="s">
        <v>49</v>
      </c>
      <c r="G35" s="7" t="s">
        <v>64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n">
        <v>227468</v>
      </c>
      <c r="P35" s="7" t="n">
        <v>179120</v>
      </c>
      <c r="Q35" s="8" t="n">
        <f aca="false">(P35/O35)*100</f>
        <v>78.7451421738442</v>
      </c>
      <c r="R35" s="7" t="n">
        <f aca="false">X35-AC35</f>
        <v>4042</v>
      </c>
      <c r="S35" s="8" t="n">
        <f aca="false">(R35/P35)*100</f>
        <v>2.25658776239393</v>
      </c>
      <c r="T35" s="8" t="n">
        <f aca="false">Y35+AD35</f>
        <v>90.1395712371594</v>
      </c>
      <c r="U35" s="7" t="s">
        <v>51</v>
      </c>
      <c r="V35" s="7" t="s">
        <v>256</v>
      </c>
      <c r="W35" s="7" t="s">
        <v>263</v>
      </c>
      <c r="X35" s="7" t="n">
        <v>82750</v>
      </c>
      <c r="Y35" s="8" t="n">
        <f aca="false">(X35/P35)*100</f>
        <v>46.1980794997767</v>
      </c>
      <c r="Z35" s="7" t="s">
        <v>54</v>
      </c>
      <c r="AA35" s="7" t="s">
        <v>67</v>
      </c>
      <c r="AB35" s="7" t="s">
        <v>264</v>
      </c>
      <c r="AC35" s="7" t="n">
        <v>78708</v>
      </c>
      <c r="AD35" s="8" t="n">
        <f aca="false">(AC35/P35)*100</f>
        <v>43.9414917373828</v>
      </c>
      <c r="AE35" s="7" t="s">
        <v>57</v>
      </c>
      <c r="AF35" s="7" t="s">
        <v>57</v>
      </c>
      <c r="AG35" s="7" t="s">
        <v>265</v>
      </c>
      <c r="AH35" s="7" t="n">
        <v>9653</v>
      </c>
      <c r="AI35" s="8" t="n">
        <f aca="false">(AH35/P35)*100</f>
        <v>5.38912460920054</v>
      </c>
      <c r="AJ35" s="7" t="s">
        <v>59</v>
      </c>
      <c r="AK35" s="7" t="s">
        <v>60</v>
      </c>
      <c r="AL35" s="7" t="s">
        <v>266</v>
      </c>
      <c r="AM35" s="7" t="n">
        <v>3054</v>
      </c>
      <c r="AN35" s="8" t="n">
        <f aca="false">(AM35/P35)*100</f>
        <v>1.70500223313979</v>
      </c>
      <c r="AO35" s="7" t="s">
        <v>70</v>
      </c>
      <c r="AP35" s="7" t="s">
        <v>71</v>
      </c>
      <c r="AQ35" s="7" t="s">
        <v>267</v>
      </c>
      <c r="AR35" s="7" t="n">
        <v>1968</v>
      </c>
      <c r="AS35" s="8" t="n">
        <f aca="false">(AR35/P35)*100</f>
        <v>1.09870477891916</v>
      </c>
    </row>
    <row r="36" customFormat="false" ht="12.8" hidden="false" customHeight="false" outlineLevel="0" collapsed="false">
      <c r="A36" s="6" t="n">
        <v>35</v>
      </c>
      <c r="B36" s="7" t="s">
        <v>268</v>
      </c>
      <c r="C36" s="7" t="s">
        <v>240</v>
      </c>
      <c r="D36" s="7" t="s">
        <v>47</v>
      </c>
      <c r="E36" s="7" t="s">
        <v>48</v>
      </c>
      <c r="F36" s="7" t="s">
        <v>76</v>
      </c>
      <c r="G36" s="7" t="s">
        <v>64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n">
        <v>226715</v>
      </c>
      <c r="P36" s="7" t="n">
        <v>185842</v>
      </c>
      <c r="Q36" s="8" t="n">
        <f aca="false">(P36/O36)*100</f>
        <v>81.9716384006352</v>
      </c>
      <c r="R36" s="7" t="n">
        <f aca="false">X36-AC36</f>
        <v>3570</v>
      </c>
      <c r="S36" s="8" t="n">
        <f aca="false">(R36/P36)*100</f>
        <v>1.92098664456904</v>
      </c>
      <c r="T36" s="8" t="n">
        <f aca="false">Y36+AD36</f>
        <v>91.3259650671</v>
      </c>
      <c r="U36" s="7" t="s">
        <v>54</v>
      </c>
      <c r="V36" s="7" t="s">
        <v>67</v>
      </c>
      <c r="W36" s="7" t="s">
        <v>269</v>
      </c>
      <c r="X36" s="7" t="n">
        <v>86646</v>
      </c>
      <c r="Y36" s="8" t="n">
        <f aca="false">(X36/P36)*100</f>
        <v>46.6234758558345</v>
      </c>
      <c r="Z36" s="7" t="s">
        <v>51</v>
      </c>
      <c r="AA36" s="7" t="s">
        <v>270</v>
      </c>
      <c r="AB36" s="7" t="s">
        <v>271</v>
      </c>
      <c r="AC36" s="7" t="n">
        <v>83076</v>
      </c>
      <c r="AD36" s="8" t="n">
        <f aca="false">(AC36/P36)*100</f>
        <v>44.7024892112655</v>
      </c>
      <c r="AE36" s="7" t="s">
        <v>57</v>
      </c>
      <c r="AF36" s="7" t="s">
        <v>57</v>
      </c>
      <c r="AG36" s="7" t="s">
        <v>272</v>
      </c>
      <c r="AH36" s="7" t="n">
        <v>9293</v>
      </c>
      <c r="AI36" s="8" t="n">
        <f aca="false">(AH36/P36)*100</f>
        <v>5.00048428234737</v>
      </c>
      <c r="AJ36" s="7" t="s">
        <v>59</v>
      </c>
      <c r="AK36" s="7" t="s">
        <v>60</v>
      </c>
      <c r="AL36" s="7" t="s">
        <v>273</v>
      </c>
      <c r="AM36" s="7" t="n">
        <v>2137</v>
      </c>
      <c r="AN36" s="8" t="n">
        <f aca="false">(AM36/P36)*100</f>
        <v>1.14990152925603</v>
      </c>
      <c r="AO36" s="7" t="s">
        <v>70</v>
      </c>
      <c r="AP36" s="7" t="s">
        <v>71</v>
      </c>
      <c r="AQ36" s="7" t="s">
        <v>274</v>
      </c>
      <c r="AR36" s="7" t="n">
        <v>1488</v>
      </c>
      <c r="AS36" s="8" t="n">
        <f aca="false">(AR36/P36)*100</f>
        <v>0.800680147652307</v>
      </c>
    </row>
    <row r="37" customFormat="false" ht="12.8" hidden="false" customHeight="false" outlineLevel="0" collapsed="false">
      <c r="A37" s="6" t="n">
        <v>36</v>
      </c>
      <c r="B37" s="7" t="s">
        <v>275</v>
      </c>
      <c r="C37" s="7" t="s">
        <v>233</v>
      </c>
      <c r="D37" s="7" t="s">
        <v>47</v>
      </c>
      <c r="E37" s="7" t="s">
        <v>48</v>
      </c>
      <c r="F37" s="7" t="s">
        <v>49</v>
      </c>
      <c r="G37" s="7" t="s">
        <v>50</v>
      </c>
      <c r="H37" s="7" t="s">
        <v>50</v>
      </c>
      <c r="I37" s="7" t="s">
        <v>50</v>
      </c>
      <c r="J37" s="7" t="s">
        <v>52</v>
      </c>
      <c r="K37" s="7" t="s">
        <v>50</v>
      </c>
      <c r="L37" s="7" t="s">
        <v>50</v>
      </c>
      <c r="M37" s="7" t="s">
        <v>50</v>
      </c>
      <c r="N37" s="7" t="s">
        <v>50</v>
      </c>
      <c r="O37" s="7" t="n">
        <v>260462</v>
      </c>
      <c r="P37" s="7" t="n">
        <v>210529</v>
      </c>
      <c r="Q37" s="8" t="n">
        <f aca="false">(P37/O37)*100</f>
        <v>80.8290652763167</v>
      </c>
      <c r="R37" s="7" t="n">
        <f aca="false">X37-AC37</f>
        <v>1622</v>
      </c>
      <c r="S37" s="8" t="n">
        <f aca="false">(R37/P37)*100</f>
        <v>0.770440176887745</v>
      </c>
      <c r="T37" s="8" t="n">
        <f aca="false">Y37+AD37</f>
        <v>87.9840782030029</v>
      </c>
      <c r="U37" s="7" t="s">
        <v>51</v>
      </c>
      <c r="V37" s="7" t="s">
        <v>52</v>
      </c>
      <c r="W37" s="7" t="s">
        <v>276</v>
      </c>
      <c r="X37" s="7" t="n">
        <v>93427</v>
      </c>
      <c r="Y37" s="8" t="n">
        <f aca="false">(X37/P37)*100</f>
        <v>44.3772591899453</v>
      </c>
      <c r="Z37" s="7" t="s">
        <v>54</v>
      </c>
      <c r="AA37" s="7" t="s">
        <v>67</v>
      </c>
      <c r="AB37" s="7" t="s">
        <v>277</v>
      </c>
      <c r="AC37" s="7" t="n">
        <v>91805</v>
      </c>
      <c r="AD37" s="8" t="n">
        <f aca="false">(AC37/P37)*100</f>
        <v>43.6068190130576</v>
      </c>
      <c r="AE37" s="7" t="s">
        <v>57</v>
      </c>
      <c r="AF37" s="7" t="s">
        <v>57</v>
      </c>
      <c r="AG37" s="7" t="s">
        <v>278</v>
      </c>
      <c r="AH37" s="7" t="n">
        <v>11405</v>
      </c>
      <c r="AI37" s="8" t="n">
        <f aca="false">(AH37/P37)*100</f>
        <v>5.4173059293494</v>
      </c>
      <c r="AJ37" s="7" t="s">
        <v>59</v>
      </c>
      <c r="AK37" s="7" t="s">
        <v>73</v>
      </c>
      <c r="AL37" s="7" t="s">
        <v>279</v>
      </c>
      <c r="AM37" s="7" t="n">
        <v>7211</v>
      </c>
      <c r="AN37" s="8" t="n">
        <f aca="false">(AM37/P37)*100</f>
        <v>3.42518132893806</v>
      </c>
      <c r="AO37" s="7" t="s">
        <v>70</v>
      </c>
      <c r="AP37" s="7" t="s">
        <v>71</v>
      </c>
      <c r="AQ37" s="7" t="s">
        <v>280</v>
      </c>
      <c r="AR37" s="7" t="n">
        <v>2100</v>
      </c>
      <c r="AS37" s="8" t="n">
        <f aca="false">(AR37/P37)*100</f>
        <v>0.997487282037154</v>
      </c>
    </row>
    <row r="38" customFormat="false" ht="12.8" hidden="false" customHeight="false" outlineLevel="0" collapsed="false">
      <c r="A38" s="6" t="n">
        <v>37</v>
      </c>
      <c r="B38" s="7" t="s">
        <v>233</v>
      </c>
      <c r="C38" s="7" t="s">
        <v>233</v>
      </c>
      <c r="D38" s="7" t="s">
        <v>47</v>
      </c>
      <c r="E38" s="7" t="s">
        <v>48</v>
      </c>
      <c r="F38" s="7" t="s">
        <v>87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281</v>
      </c>
      <c r="O38" s="7" t="n">
        <v>309192</v>
      </c>
      <c r="P38" s="7" t="n">
        <v>229430</v>
      </c>
      <c r="Q38" s="8" t="n">
        <f aca="false">(P38/O38)*100</f>
        <v>74.2030841677663</v>
      </c>
      <c r="R38" s="7" t="n">
        <f aca="false">X38-AC38</f>
        <v>11595</v>
      </c>
      <c r="S38" s="8" t="n">
        <f aca="false">(R38/P38)*100</f>
        <v>5.05382905461361</v>
      </c>
      <c r="T38" s="8" t="n">
        <f aca="false">Y38+AD38</f>
        <v>84.482848799198</v>
      </c>
      <c r="U38" s="7" t="s">
        <v>51</v>
      </c>
      <c r="V38" s="7" t="s">
        <v>52</v>
      </c>
      <c r="W38" s="7" t="s">
        <v>282</v>
      </c>
      <c r="X38" s="7" t="n">
        <v>102712</v>
      </c>
      <c r="Y38" s="8" t="n">
        <f aca="false">(X38/P38)*100</f>
        <v>44.7683389269058</v>
      </c>
      <c r="Z38" s="7" t="s">
        <v>54</v>
      </c>
      <c r="AA38" s="7" t="s">
        <v>55</v>
      </c>
      <c r="AB38" s="7" t="s">
        <v>283</v>
      </c>
      <c r="AC38" s="7" t="n">
        <v>91117</v>
      </c>
      <c r="AD38" s="8" t="n">
        <f aca="false">(AC38/P38)*100</f>
        <v>39.7145098722922</v>
      </c>
      <c r="AE38" s="7" t="s">
        <v>57</v>
      </c>
      <c r="AF38" s="7" t="s">
        <v>57</v>
      </c>
      <c r="AG38" s="7" t="s">
        <v>284</v>
      </c>
      <c r="AH38" s="7" t="n">
        <v>13946</v>
      </c>
      <c r="AI38" s="8" t="n">
        <f aca="false">(AH38/P38)*100</f>
        <v>6.07854247482892</v>
      </c>
      <c r="AJ38" s="7" t="s">
        <v>70</v>
      </c>
      <c r="AK38" s="7" t="s">
        <v>71</v>
      </c>
      <c r="AL38" s="7" t="s">
        <v>285</v>
      </c>
      <c r="AM38" s="7" t="n">
        <v>12028</v>
      </c>
      <c r="AN38" s="8" t="n">
        <f aca="false">(AM38/P38)*100</f>
        <v>5.24255764285403</v>
      </c>
      <c r="AO38" s="7" t="s">
        <v>62</v>
      </c>
      <c r="AP38" s="7" t="s">
        <v>62</v>
      </c>
      <c r="AQ38" s="7" t="s">
        <v>62</v>
      </c>
      <c r="AR38" s="7" t="n">
        <v>2534</v>
      </c>
      <c r="AS38" s="8" t="n">
        <f aca="false">(AR38/P38)*100</f>
        <v>1.10447631085734</v>
      </c>
    </row>
    <row r="39" customFormat="false" ht="12.8" hidden="false" customHeight="false" outlineLevel="0" collapsed="false">
      <c r="A39" s="6" t="n">
        <v>38</v>
      </c>
      <c r="B39" s="7" t="s">
        <v>286</v>
      </c>
      <c r="C39" s="7" t="s">
        <v>287</v>
      </c>
      <c r="D39" s="7" t="s">
        <v>47</v>
      </c>
      <c r="E39" s="7" t="s">
        <v>288</v>
      </c>
      <c r="F39" s="7" t="s">
        <v>76</v>
      </c>
      <c r="G39" s="7" t="s">
        <v>64</v>
      </c>
      <c r="H39" s="7" t="s">
        <v>50</v>
      </c>
      <c r="I39" s="7" t="s">
        <v>50</v>
      </c>
      <c r="J39" s="7" t="s">
        <v>67</v>
      </c>
      <c r="K39" s="7" t="s">
        <v>50</v>
      </c>
      <c r="L39" s="7" t="s">
        <v>67</v>
      </c>
      <c r="M39" s="7" t="s">
        <v>50</v>
      </c>
      <c r="N39" s="7" t="s">
        <v>50</v>
      </c>
      <c r="O39" s="7" t="n">
        <v>227320</v>
      </c>
      <c r="P39" s="7" t="n">
        <v>171412</v>
      </c>
      <c r="Q39" s="8" t="n">
        <f aca="false">(P39/O39)*100</f>
        <v>75.4055956361077</v>
      </c>
      <c r="R39" s="7" t="n">
        <f aca="false">X39-AC39</f>
        <v>27169</v>
      </c>
      <c r="S39" s="8" t="n">
        <f aca="false">(R39/P39)*100</f>
        <v>15.8501155111661</v>
      </c>
      <c r="T39" s="8" t="n">
        <f aca="false">Y39+AD39</f>
        <v>83.7916831960423</v>
      </c>
      <c r="U39" s="7" t="s">
        <v>54</v>
      </c>
      <c r="V39" s="7" t="s">
        <v>67</v>
      </c>
      <c r="W39" s="7" t="s">
        <v>289</v>
      </c>
      <c r="X39" s="7" t="n">
        <v>85399</v>
      </c>
      <c r="Y39" s="8" t="n">
        <f aca="false">(X39/P39)*100</f>
        <v>49.8208993536042</v>
      </c>
      <c r="Z39" s="7" t="s">
        <v>51</v>
      </c>
      <c r="AA39" s="7" t="s">
        <v>256</v>
      </c>
      <c r="AB39" s="7" t="s">
        <v>290</v>
      </c>
      <c r="AC39" s="7" t="n">
        <v>58230</v>
      </c>
      <c r="AD39" s="8" t="n">
        <f aca="false">(AC39/P39)*100</f>
        <v>33.9707838424381</v>
      </c>
      <c r="AE39" s="7" t="s">
        <v>57</v>
      </c>
      <c r="AF39" s="7" t="s">
        <v>57</v>
      </c>
      <c r="AG39" s="7" t="s">
        <v>291</v>
      </c>
      <c r="AH39" s="7" t="n">
        <v>14631</v>
      </c>
      <c r="AI39" s="8" t="n">
        <f aca="false">(AH39/P39)*100</f>
        <v>8.53557510559354</v>
      </c>
      <c r="AJ39" s="7" t="s">
        <v>59</v>
      </c>
      <c r="AK39" s="7" t="s">
        <v>73</v>
      </c>
      <c r="AL39" s="7" t="s">
        <v>292</v>
      </c>
      <c r="AM39" s="7" t="n">
        <v>4777</v>
      </c>
      <c r="AN39" s="8" t="n">
        <f aca="false">(AM39/P39)*100</f>
        <v>2.78685272909715</v>
      </c>
      <c r="AO39" s="7" t="s">
        <v>70</v>
      </c>
      <c r="AP39" s="7" t="s">
        <v>71</v>
      </c>
      <c r="AQ39" s="7" t="s">
        <v>293</v>
      </c>
      <c r="AR39" s="7" t="n">
        <v>3543</v>
      </c>
      <c r="AS39" s="8" t="n">
        <f aca="false">(AR39/P39)*100</f>
        <v>2.06694980514783</v>
      </c>
    </row>
    <row r="40" customFormat="false" ht="12.8" hidden="false" customHeight="false" outlineLevel="0" collapsed="false">
      <c r="A40" s="6" t="n">
        <v>39</v>
      </c>
      <c r="B40" s="7" t="s">
        <v>294</v>
      </c>
      <c r="C40" s="7" t="s">
        <v>287</v>
      </c>
      <c r="D40" s="7" t="s">
        <v>47</v>
      </c>
      <c r="E40" s="7" t="s">
        <v>288</v>
      </c>
      <c r="F40" s="7" t="s">
        <v>49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n">
        <v>278034</v>
      </c>
      <c r="P40" s="7" t="n">
        <v>224109</v>
      </c>
      <c r="Q40" s="8" t="n">
        <f aca="false">(P40/O40)*100</f>
        <v>80.6048900494184</v>
      </c>
      <c r="R40" s="7" t="n">
        <f aca="false">X40-AC40</f>
        <v>26698</v>
      </c>
      <c r="S40" s="8" t="n">
        <f aca="false">(R40/P40)*100</f>
        <v>11.9129530719427</v>
      </c>
      <c r="T40" s="8" t="n">
        <f aca="false">Y40+AD40</f>
        <v>86.4570365313307</v>
      </c>
      <c r="U40" s="7" t="s">
        <v>51</v>
      </c>
      <c r="V40" s="7" t="s">
        <v>65</v>
      </c>
      <c r="W40" s="7" t="s">
        <v>295</v>
      </c>
      <c r="X40" s="7" t="n">
        <v>110228</v>
      </c>
      <c r="Y40" s="8" t="n">
        <f aca="false">(X40/P40)*100</f>
        <v>49.1849948016367</v>
      </c>
      <c r="Z40" s="7" t="s">
        <v>54</v>
      </c>
      <c r="AA40" s="7" t="s">
        <v>55</v>
      </c>
      <c r="AB40" s="7" t="s">
        <v>296</v>
      </c>
      <c r="AC40" s="7" t="n">
        <v>83530</v>
      </c>
      <c r="AD40" s="8" t="n">
        <f aca="false">(AC40/P40)*100</f>
        <v>37.272041729694</v>
      </c>
      <c r="AE40" s="10" t="s">
        <v>59</v>
      </c>
      <c r="AF40" s="7" t="s">
        <v>73</v>
      </c>
      <c r="AG40" s="7" t="s">
        <v>297</v>
      </c>
      <c r="AH40" s="7" t="n">
        <v>12979</v>
      </c>
      <c r="AI40" s="8" t="n">
        <f aca="false">(AH40/P40)*100</f>
        <v>5.79137830252243</v>
      </c>
      <c r="AJ40" s="7" t="s">
        <v>57</v>
      </c>
      <c r="AK40" s="7" t="s">
        <v>57</v>
      </c>
      <c r="AL40" s="7" t="s">
        <v>298</v>
      </c>
      <c r="AM40" s="7" t="n">
        <v>9656</v>
      </c>
      <c r="AN40" s="8" t="n">
        <f aca="false">(AM40/P40)*100</f>
        <v>4.30861768157459</v>
      </c>
      <c r="AO40" s="7" t="s">
        <v>70</v>
      </c>
      <c r="AP40" s="7" t="s">
        <v>71</v>
      </c>
      <c r="AQ40" s="7" t="s">
        <v>299</v>
      </c>
      <c r="AR40" s="7" t="n">
        <v>1664</v>
      </c>
      <c r="AS40" s="8" t="n">
        <f aca="false">(AR40/P40)*100</f>
        <v>0.742495839078306</v>
      </c>
    </row>
    <row r="41" customFormat="false" ht="12.8" hidden="false" customHeight="false" outlineLevel="0" collapsed="false">
      <c r="A41" s="6" t="n">
        <v>40</v>
      </c>
      <c r="B41" s="7" t="s">
        <v>287</v>
      </c>
      <c r="C41" s="7" t="s">
        <v>287</v>
      </c>
      <c r="D41" s="7" t="s">
        <v>47</v>
      </c>
      <c r="E41" s="7" t="s">
        <v>288</v>
      </c>
      <c r="F41" s="7" t="s">
        <v>76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n">
        <v>267260</v>
      </c>
      <c r="P41" s="7" t="n">
        <v>207462</v>
      </c>
      <c r="Q41" s="8" t="n">
        <f aca="false">(P41/O41)*100</f>
        <v>77.6255331886552</v>
      </c>
      <c r="R41" s="7" t="n">
        <f aca="false">X41-AC41</f>
        <v>16498</v>
      </c>
      <c r="S41" s="8" t="n">
        <f aca="false">(R41/P41)*100</f>
        <v>7.95229969825799</v>
      </c>
      <c r="T41" s="8" t="n">
        <f aca="false">Y41+AD41</f>
        <v>91.62352623613</v>
      </c>
      <c r="U41" s="7" t="s">
        <v>51</v>
      </c>
      <c r="V41" s="7" t="s">
        <v>52</v>
      </c>
      <c r="W41" s="7" t="s">
        <v>300</v>
      </c>
      <c r="X41" s="7" t="n">
        <v>103291</v>
      </c>
      <c r="Y41" s="8" t="n">
        <f aca="false">(X41/P41)*100</f>
        <v>49.787912967194</v>
      </c>
      <c r="Z41" s="7" t="s">
        <v>54</v>
      </c>
      <c r="AA41" s="7" t="s">
        <v>67</v>
      </c>
      <c r="AB41" s="7" t="s">
        <v>301</v>
      </c>
      <c r="AC41" s="7" t="n">
        <v>86793</v>
      </c>
      <c r="AD41" s="8" t="n">
        <f aca="false">(AC41/P41)*100</f>
        <v>41.835613268936</v>
      </c>
      <c r="AE41" s="7" t="s">
        <v>57</v>
      </c>
      <c r="AF41" s="7" t="s">
        <v>57</v>
      </c>
      <c r="AG41" s="7" t="s">
        <v>302</v>
      </c>
      <c r="AH41" s="7" t="n">
        <v>10234</v>
      </c>
      <c r="AI41" s="8" t="n">
        <f aca="false">(AH41/P41)*100</f>
        <v>4.93295157667428</v>
      </c>
      <c r="AJ41" s="7" t="s">
        <v>70</v>
      </c>
      <c r="AK41" s="7" t="s">
        <v>71</v>
      </c>
      <c r="AL41" s="7" t="s">
        <v>303</v>
      </c>
      <c r="AM41" s="7" t="n">
        <v>2762</v>
      </c>
      <c r="AN41" s="8" t="n">
        <f aca="false">(AM41/P41)*100</f>
        <v>1.33132814684135</v>
      </c>
      <c r="AO41" s="7" t="s">
        <v>62</v>
      </c>
      <c r="AP41" s="7" t="s">
        <v>62</v>
      </c>
      <c r="AQ41" s="7" t="s">
        <v>62</v>
      </c>
      <c r="AR41" s="7" t="n">
        <v>1632</v>
      </c>
      <c r="AS41" s="8" t="n">
        <f aca="false">(AR41/P41)*100</f>
        <v>0.786650085316829</v>
      </c>
    </row>
    <row r="42" customFormat="false" ht="12.8" hidden="false" customHeight="false" outlineLevel="0" collapsed="false">
      <c r="A42" s="6" t="n">
        <v>41</v>
      </c>
      <c r="B42" s="7" t="s">
        <v>304</v>
      </c>
      <c r="C42" s="7" t="s">
        <v>287</v>
      </c>
      <c r="D42" s="7" t="s">
        <v>47</v>
      </c>
      <c r="E42" s="7" t="s">
        <v>288</v>
      </c>
      <c r="F42" s="7" t="s">
        <v>76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n">
        <v>262476</v>
      </c>
      <c r="P42" s="7" t="n">
        <v>209791</v>
      </c>
      <c r="Q42" s="8" t="n">
        <f aca="false">(P42/O42)*100</f>
        <v>79.9276886267697</v>
      </c>
      <c r="R42" s="7" t="n">
        <f aca="false">X42-AC42</f>
        <v>19958</v>
      </c>
      <c r="S42" s="8" t="n">
        <f aca="false">(R42/P42)*100</f>
        <v>9.51327749998808</v>
      </c>
      <c r="T42" s="8" t="n">
        <f aca="false">Y42+AD42</f>
        <v>89.5233827952581</v>
      </c>
      <c r="U42" s="7" t="s">
        <v>51</v>
      </c>
      <c r="V42" s="7" t="s">
        <v>52</v>
      </c>
      <c r="W42" s="7" t="s">
        <v>305</v>
      </c>
      <c r="X42" s="7" t="n">
        <v>103885</v>
      </c>
      <c r="Y42" s="8" t="n">
        <f aca="false">(X42/P42)*100</f>
        <v>49.5183301476231</v>
      </c>
      <c r="Z42" s="7" t="s">
        <v>54</v>
      </c>
      <c r="AA42" s="7" t="s">
        <v>55</v>
      </c>
      <c r="AB42" s="7" t="s">
        <v>306</v>
      </c>
      <c r="AC42" s="7" t="n">
        <v>83927</v>
      </c>
      <c r="AD42" s="8" t="n">
        <f aca="false">(AC42/P42)*100</f>
        <v>40.005052647635</v>
      </c>
      <c r="AE42" s="7" t="s">
        <v>57</v>
      </c>
      <c r="AF42" s="7" t="s">
        <v>57</v>
      </c>
      <c r="AG42" s="7" t="s">
        <v>307</v>
      </c>
      <c r="AH42" s="7" t="n">
        <v>12088</v>
      </c>
      <c r="AI42" s="8" t="n">
        <f aca="false">(AH42/P42)*100</f>
        <v>5.76192496341597</v>
      </c>
      <c r="AJ42" s="7" t="s">
        <v>70</v>
      </c>
      <c r="AK42" s="7" t="s">
        <v>71</v>
      </c>
      <c r="AL42" s="7" t="s">
        <v>308</v>
      </c>
      <c r="AM42" s="7" t="n">
        <v>2860</v>
      </c>
      <c r="AN42" s="8" t="n">
        <f aca="false">(AM42/P42)*100</f>
        <v>1.3632615317149</v>
      </c>
      <c r="AO42" s="7" t="s">
        <v>62</v>
      </c>
      <c r="AP42" s="7" t="s">
        <v>62</v>
      </c>
      <c r="AQ42" s="7" t="s">
        <v>62</v>
      </c>
      <c r="AR42" s="7" t="n">
        <v>2253</v>
      </c>
      <c r="AS42" s="8" t="n">
        <f aca="false">(AR42/P42)*100</f>
        <v>1.0739259548789</v>
      </c>
    </row>
    <row r="43" customFormat="false" ht="12.8" hidden="false" customHeight="false" outlineLevel="0" collapsed="false">
      <c r="A43" s="6" t="n">
        <v>42</v>
      </c>
      <c r="B43" s="7" t="s">
        <v>309</v>
      </c>
      <c r="C43" s="7" t="s">
        <v>310</v>
      </c>
      <c r="D43" s="7" t="s">
        <v>47</v>
      </c>
      <c r="E43" s="7" t="s">
        <v>288</v>
      </c>
      <c r="F43" s="7" t="s">
        <v>76</v>
      </c>
      <c r="G43" s="7" t="s">
        <v>50</v>
      </c>
      <c r="H43" s="7" t="s">
        <v>50</v>
      </c>
      <c r="I43" s="7" t="s">
        <v>50</v>
      </c>
      <c r="J43" s="7" t="s">
        <v>52</v>
      </c>
      <c r="K43" s="7" t="s">
        <v>50</v>
      </c>
      <c r="L43" s="7" t="s">
        <v>52</v>
      </c>
      <c r="M43" s="7" t="s">
        <v>50</v>
      </c>
      <c r="N43" s="7" t="s">
        <v>50</v>
      </c>
      <c r="O43" s="7" t="n">
        <v>250228</v>
      </c>
      <c r="P43" s="7" t="n">
        <v>186246</v>
      </c>
      <c r="Q43" s="8" t="n">
        <f aca="false">(P43/O43)*100</f>
        <v>74.4305193663379</v>
      </c>
      <c r="R43" s="7" t="n">
        <f aca="false">X43-AC43</f>
        <v>746</v>
      </c>
      <c r="S43" s="8" t="n">
        <f aca="false">(R43/P43)*100</f>
        <v>0.400545515071465</v>
      </c>
      <c r="T43" s="8" t="n">
        <f aca="false">Y43+AD43</f>
        <v>91.0269213835465</v>
      </c>
      <c r="U43" s="7" t="s">
        <v>51</v>
      </c>
      <c r="V43" s="7" t="s">
        <v>52</v>
      </c>
      <c r="W43" s="7" t="s">
        <v>311</v>
      </c>
      <c r="X43" s="7" t="n">
        <v>85140</v>
      </c>
      <c r="Y43" s="8" t="n">
        <f aca="false">(X43/P43)*100</f>
        <v>45.713733449309</v>
      </c>
      <c r="Z43" s="7" t="s">
        <v>54</v>
      </c>
      <c r="AA43" s="7" t="s">
        <v>67</v>
      </c>
      <c r="AB43" s="7" t="s">
        <v>312</v>
      </c>
      <c r="AC43" s="7" t="n">
        <v>84394</v>
      </c>
      <c r="AD43" s="8" t="n">
        <f aca="false">(AC43/P43)*100</f>
        <v>45.3131879342375</v>
      </c>
      <c r="AE43" s="7" t="s">
        <v>57</v>
      </c>
      <c r="AF43" s="7" t="s">
        <v>57</v>
      </c>
      <c r="AG43" s="7" t="s">
        <v>313</v>
      </c>
      <c r="AH43" s="7" t="n">
        <v>10449</v>
      </c>
      <c r="AI43" s="8" t="n">
        <f aca="false">(AH43/P43)*100</f>
        <v>5.61032183241519</v>
      </c>
      <c r="AJ43" s="7" t="s">
        <v>62</v>
      </c>
      <c r="AK43" s="7" t="s">
        <v>62</v>
      </c>
      <c r="AL43" s="7" t="s">
        <v>62</v>
      </c>
      <c r="AM43" s="7" t="n">
        <v>1889</v>
      </c>
      <c r="AN43" s="8" t="n">
        <f aca="false">(AM43/P43)*100</f>
        <v>1.01424997046916</v>
      </c>
      <c r="AO43" s="10" t="s">
        <v>59</v>
      </c>
      <c r="AP43" s="7" t="s">
        <v>73</v>
      </c>
      <c r="AQ43" s="7" t="s">
        <v>314</v>
      </c>
      <c r="AR43" s="7" t="n">
        <v>1066</v>
      </c>
      <c r="AS43" s="8" t="n">
        <f aca="false">(AR43/P43)*100</f>
        <v>0.572361285611503</v>
      </c>
    </row>
    <row r="44" customFormat="false" ht="12.8" hidden="false" customHeight="false" outlineLevel="0" collapsed="false">
      <c r="A44" s="6" t="n">
        <v>43</v>
      </c>
      <c r="B44" s="7" t="s">
        <v>310</v>
      </c>
      <c r="C44" s="7" t="s">
        <v>310</v>
      </c>
      <c r="D44" s="7" t="s">
        <v>47</v>
      </c>
      <c r="E44" s="7" t="s">
        <v>288</v>
      </c>
      <c r="F44" s="7" t="s">
        <v>87</v>
      </c>
      <c r="G44" s="7" t="s">
        <v>50</v>
      </c>
      <c r="H44" s="7" t="s">
        <v>315</v>
      </c>
      <c r="I44" s="7" t="s">
        <v>50</v>
      </c>
      <c r="J44" s="7" t="s">
        <v>50</v>
      </c>
      <c r="K44" s="14" t="s">
        <v>316</v>
      </c>
      <c r="L44" s="7" t="s">
        <v>50</v>
      </c>
      <c r="M44" s="7" t="s">
        <v>65</v>
      </c>
      <c r="N44" s="7" t="s">
        <v>50</v>
      </c>
      <c r="O44" s="7" t="n">
        <v>253536</v>
      </c>
      <c r="P44" s="7" t="n">
        <v>179899</v>
      </c>
      <c r="Q44" s="8" t="n">
        <f aca="false">(P44/O44)*100</f>
        <v>70.9559983592074</v>
      </c>
      <c r="R44" s="7" t="n">
        <f aca="false">X44-AC44</f>
        <v>9181</v>
      </c>
      <c r="S44" s="8" t="n">
        <f aca="false">(R44/P44)*100</f>
        <v>5.10341914074008</v>
      </c>
      <c r="T44" s="8" t="n">
        <f aca="false">Y44+AD44</f>
        <v>88.6147227055181</v>
      </c>
      <c r="U44" s="7" t="s">
        <v>51</v>
      </c>
      <c r="V44" s="7" t="s">
        <v>52</v>
      </c>
      <c r="W44" s="7" t="s">
        <v>317</v>
      </c>
      <c r="X44" s="7" t="n">
        <v>84299</v>
      </c>
      <c r="Y44" s="8" t="n">
        <f aca="false">(X44/P44)*100</f>
        <v>46.8590709231291</v>
      </c>
      <c r="Z44" s="7" t="s">
        <v>54</v>
      </c>
      <c r="AA44" s="7" t="s">
        <v>67</v>
      </c>
      <c r="AB44" s="7" t="s">
        <v>318</v>
      </c>
      <c r="AC44" s="7" t="n">
        <v>75118</v>
      </c>
      <c r="AD44" s="8" t="n">
        <f aca="false">(AC44/P44)*100</f>
        <v>41.755651782389</v>
      </c>
      <c r="AE44" s="7" t="s">
        <v>57</v>
      </c>
      <c r="AF44" s="7" t="s">
        <v>57</v>
      </c>
      <c r="AG44" s="7" t="s">
        <v>319</v>
      </c>
      <c r="AH44" s="7" t="n">
        <v>8530</v>
      </c>
      <c r="AI44" s="8" t="n">
        <f aca="false">(AH44/P44)*100</f>
        <v>4.74154942495511</v>
      </c>
      <c r="AJ44" s="7" t="s">
        <v>70</v>
      </c>
      <c r="AK44" s="7" t="s">
        <v>71</v>
      </c>
      <c r="AL44" s="7" t="s">
        <v>320</v>
      </c>
      <c r="AM44" s="7" t="n">
        <v>7243</v>
      </c>
      <c r="AN44" s="8" t="n">
        <f aca="false">(AM44/P44)*100</f>
        <v>4.02614800526962</v>
      </c>
      <c r="AO44" s="7" t="s">
        <v>62</v>
      </c>
      <c r="AP44" s="7" t="s">
        <v>62</v>
      </c>
      <c r="AQ44" s="7" t="s">
        <v>62</v>
      </c>
      <c r="AR44" s="7" t="n">
        <v>1441</v>
      </c>
      <c r="AS44" s="8" t="n">
        <f aca="false">(AR44/P44)*100</f>
        <v>0.801005008365805</v>
      </c>
    </row>
    <row r="45" customFormat="false" ht="12.8" hidden="false" customHeight="false" outlineLevel="0" collapsed="false">
      <c r="A45" s="6" t="n">
        <v>44</v>
      </c>
      <c r="B45" s="7" t="s">
        <v>321</v>
      </c>
      <c r="C45" s="7" t="s">
        <v>310</v>
      </c>
      <c r="D45" s="7" t="s">
        <v>47</v>
      </c>
      <c r="E45" s="7" t="s">
        <v>288</v>
      </c>
      <c r="F45" s="7" t="s">
        <v>49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n">
        <v>256727</v>
      </c>
      <c r="P45" s="7" t="n">
        <v>197805</v>
      </c>
      <c r="Q45" s="8" t="n">
        <f aca="false">(P45/O45)*100</f>
        <v>77.0487716523778</v>
      </c>
      <c r="R45" s="7" t="n">
        <f aca="false">X45-AC45</f>
        <v>6360</v>
      </c>
      <c r="S45" s="8" t="n">
        <f aca="false">(R45/P45)*100</f>
        <v>3.21528778342307</v>
      </c>
      <c r="T45" s="8" t="n">
        <f aca="false">Y45+AD45</f>
        <v>92.9996713935442</v>
      </c>
      <c r="U45" s="7" t="s">
        <v>51</v>
      </c>
      <c r="V45" s="7" t="s">
        <v>52</v>
      </c>
      <c r="W45" s="7" t="s">
        <v>322</v>
      </c>
      <c r="X45" s="7" t="n">
        <v>95159</v>
      </c>
      <c r="Y45" s="8" t="n">
        <f aca="false">(X45/P45)*100</f>
        <v>48.1074795884836</v>
      </c>
      <c r="Z45" s="7" t="s">
        <v>54</v>
      </c>
      <c r="AA45" s="7" t="s">
        <v>67</v>
      </c>
      <c r="AB45" s="7" t="s">
        <v>323</v>
      </c>
      <c r="AC45" s="7" t="n">
        <v>88799</v>
      </c>
      <c r="AD45" s="8" t="n">
        <f aca="false">(AC45/P45)*100</f>
        <v>44.8921918050605</v>
      </c>
      <c r="AE45" s="7" t="s">
        <v>57</v>
      </c>
      <c r="AF45" s="7" t="s">
        <v>57</v>
      </c>
      <c r="AG45" s="7" t="s">
        <v>324</v>
      </c>
      <c r="AH45" s="7" t="n">
        <v>8125</v>
      </c>
      <c r="AI45" s="8" t="n">
        <f aca="false">(AH45/P45)*100</f>
        <v>4.10758069816233</v>
      </c>
      <c r="AJ45" s="7" t="s">
        <v>62</v>
      </c>
      <c r="AK45" s="7" t="s">
        <v>62</v>
      </c>
      <c r="AL45" s="7" t="s">
        <v>62</v>
      </c>
      <c r="AM45" s="7" t="n">
        <v>1791</v>
      </c>
      <c r="AN45" s="8" t="n">
        <f aca="false">(AM45/P45)*100</f>
        <v>0.905437172973383</v>
      </c>
      <c r="AO45" s="7" t="s">
        <v>196</v>
      </c>
      <c r="AP45" s="7" t="s">
        <v>196</v>
      </c>
      <c r="AQ45" s="7" t="s">
        <v>325</v>
      </c>
      <c r="AR45" s="7" t="n">
        <v>1357</v>
      </c>
      <c r="AS45" s="8" t="n">
        <f aca="false">(AR45/P45)*100</f>
        <v>0.686029170142312</v>
      </c>
    </row>
    <row r="46" customFormat="false" ht="12.8" hidden="false" customHeight="false" outlineLevel="0" collapsed="false">
      <c r="A46" s="6" t="n">
        <v>45</v>
      </c>
      <c r="B46" s="7" t="s">
        <v>326</v>
      </c>
      <c r="C46" s="7" t="s">
        <v>310</v>
      </c>
      <c r="D46" s="7" t="s">
        <v>47</v>
      </c>
      <c r="E46" s="7" t="s">
        <v>288</v>
      </c>
      <c r="F46" s="7" t="s">
        <v>49</v>
      </c>
      <c r="G46" s="7" t="s">
        <v>64</v>
      </c>
      <c r="H46" s="7" t="s">
        <v>315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n">
        <v>227241</v>
      </c>
      <c r="P46" s="7" t="n">
        <v>174124</v>
      </c>
      <c r="Q46" s="8" t="n">
        <f aca="false">(P46/O46)*100</f>
        <v>76.6252568858613</v>
      </c>
      <c r="R46" s="7" t="n">
        <f aca="false">X46-AC46</f>
        <v>10582</v>
      </c>
      <c r="S46" s="8" t="n">
        <f aca="false">(R46/P46)*100</f>
        <v>6.07727826146884</v>
      </c>
      <c r="T46" s="8" t="n">
        <f aca="false">Y46+AD46</f>
        <v>91.0707312030507</v>
      </c>
      <c r="U46" s="7" t="s">
        <v>54</v>
      </c>
      <c r="V46" s="15" t="s">
        <v>327</v>
      </c>
      <c r="W46" s="7" t="s">
        <v>328</v>
      </c>
      <c r="X46" s="7" t="n">
        <v>84579</v>
      </c>
      <c r="Y46" s="8" t="n">
        <f aca="false">(X46/P46)*100</f>
        <v>48.5740047322598</v>
      </c>
      <c r="Z46" s="7" t="s">
        <v>51</v>
      </c>
      <c r="AA46" s="7" t="s">
        <v>52</v>
      </c>
      <c r="AB46" s="7" t="s">
        <v>329</v>
      </c>
      <c r="AC46" s="7" t="n">
        <v>73997</v>
      </c>
      <c r="AD46" s="8" t="n">
        <f aca="false">(AC46/P46)*100</f>
        <v>42.4967264707909</v>
      </c>
      <c r="AE46" s="7" t="s">
        <v>57</v>
      </c>
      <c r="AF46" s="7" t="s">
        <v>57</v>
      </c>
      <c r="AG46" s="7" t="s">
        <v>330</v>
      </c>
      <c r="AH46" s="7" t="n">
        <v>10027</v>
      </c>
      <c r="AI46" s="8" t="n">
        <f aca="false">(AH46/P46)*100</f>
        <v>5.75853989111208</v>
      </c>
      <c r="AJ46" s="7" t="s">
        <v>62</v>
      </c>
      <c r="AK46" s="7" t="s">
        <v>62</v>
      </c>
      <c r="AL46" s="7" t="s">
        <v>62</v>
      </c>
      <c r="AM46" s="7" t="n">
        <v>1798</v>
      </c>
      <c r="AN46" s="8" t="n">
        <f aca="false">(AM46/P46)*100</f>
        <v>1.03259745928189</v>
      </c>
      <c r="AO46" s="10" t="s">
        <v>59</v>
      </c>
      <c r="AP46" s="7" t="s">
        <v>60</v>
      </c>
      <c r="AQ46" s="7" t="s">
        <v>331</v>
      </c>
      <c r="AR46" s="7" t="n">
        <v>1432</v>
      </c>
      <c r="AS46" s="8" t="n">
        <f aca="false">(AR46/P46)*100</f>
        <v>0.822402425857435</v>
      </c>
    </row>
    <row r="47" customFormat="false" ht="12.8" hidden="false" customHeight="false" outlineLevel="0" collapsed="false">
      <c r="A47" s="6" t="n">
        <v>46</v>
      </c>
      <c r="B47" s="7" t="s">
        <v>332</v>
      </c>
      <c r="C47" s="7" t="s">
        <v>310</v>
      </c>
      <c r="D47" s="7" t="s">
        <v>47</v>
      </c>
      <c r="E47" s="7" t="s">
        <v>288</v>
      </c>
      <c r="F47" s="7" t="s">
        <v>76</v>
      </c>
      <c r="G47" s="7" t="s">
        <v>64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333</v>
      </c>
      <c r="O47" s="7" t="n">
        <v>290135</v>
      </c>
      <c r="P47" s="7" t="n">
        <v>211630</v>
      </c>
      <c r="Q47" s="8" t="n">
        <f aca="false">(P47/O47)*100</f>
        <v>72.9419063539387</v>
      </c>
      <c r="R47" s="7" t="n">
        <f aca="false">X47-AC47</f>
        <v>6901</v>
      </c>
      <c r="S47" s="8" t="n">
        <f aca="false">(R47/P47)*100</f>
        <v>3.26087983745216</v>
      </c>
      <c r="T47" s="8" t="n">
        <f aca="false">Y47+AD47</f>
        <v>91.6330387941218</v>
      </c>
      <c r="U47" s="7" t="s">
        <v>51</v>
      </c>
      <c r="V47" s="7" t="s">
        <v>52</v>
      </c>
      <c r="W47" s="7" t="s">
        <v>334</v>
      </c>
      <c r="X47" s="7" t="n">
        <v>100412</v>
      </c>
      <c r="Y47" s="8" t="n">
        <f aca="false">(X47/P47)*100</f>
        <v>47.446959315787</v>
      </c>
      <c r="Z47" s="7" t="s">
        <v>54</v>
      </c>
      <c r="AA47" s="7" t="s">
        <v>67</v>
      </c>
      <c r="AB47" s="7" t="s">
        <v>335</v>
      </c>
      <c r="AC47" s="7" t="n">
        <v>93511</v>
      </c>
      <c r="AD47" s="8" t="n">
        <f aca="false">(AC47/P47)*100</f>
        <v>44.1860794783348</v>
      </c>
      <c r="AE47" s="7" t="s">
        <v>57</v>
      </c>
      <c r="AF47" s="7" t="s">
        <v>57</v>
      </c>
      <c r="AG47" s="7" t="s">
        <v>336</v>
      </c>
      <c r="AH47" s="7" t="n">
        <v>11834</v>
      </c>
      <c r="AI47" s="8" t="n">
        <f aca="false">(AH47/P47)*100</f>
        <v>5.59183480602939</v>
      </c>
      <c r="AJ47" s="7" t="s">
        <v>59</v>
      </c>
      <c r="AK47" s="7" t="s">
        <v>73</v>
      </c>
      <c r="AL47" s="7" t="s">
        <v>337</v>
      </c>
      <c r="AM47" s="7" t="n">
        <v>1822</v>
      </c>
      <c r="AN47" s="8" t="n">
        <f aca="false">(AM47/P47)*100</f>
        <v>0.860936540188064</v>
      </c>
      <c r="AO47" s="7" t="s">
        <v>62</v>
      </c>
      <c r="AP47" s="7" t="s">
        <v>62</v>
      </c>
      <c r="AQ47" s="7" t="s">
        <v>62</v>
      </c>
      <c r="AR47" s="7" t="n">
        <v>1699</v>
      </c>
      <c r="AS47" s="8" t="n">
        <f aca="false">(AR47/P47)*100</f>
        <v>0.802816235883381</v>
      </c>
    </row>
    <row r="48" customFormat="false" ht="12.8" hidden="false" customHeight="false" outlineLevel="0" collapsed="false">
      <c r="A48" s="6" t="n">
        <v>47</v>
      </c>
      <c r="B48" s="7" t="s">
        <v>338</v>
      </c>
      <c r="C48" s="7" t="s">
        <v>339</v>
      </c>
      <c r="D48" s="7" t="s">
        <v>47</v>
      </c>
      <c r="E48" s="7" t="s">
        <v>288</v>
      </c>
      <c r="F48" s="7" t="s">
        <v>76</v>
      </c>
      <c r="G48" s="7" t="s">
        <v>50</v>
      </c>
      <c r="H48" s="7" t="s">
        <v>50</v>
      </c>
      <c r="I48" s="7" t="s">
        <v>50</v>
      </c>
      <c r="J48" s="7" t="s">
        <v>50</v>
      </c>
      <c r="K48" s="16" t="s">
        <v>196</v>
      </c>
      <c r="L48" s="7" t="s">
        <v>67</v>
      </c>
      <c r="M48" s="7" t="s">
        <v>50</v>
      </c>
      <c r="N48" s="7" t="s">
        <v>50</v>
      </c>
      <c r="O48" s="7" t="n">
        <v>250220</v>
      </c>
      <c r="P48" s="7" t="n">
        <v>189997</v>
      </c>
      <c r="Q48" s="8" t="n">
        <f aca="false">(P48/O48)*100</f>
        <v>75.9319798577252</v>
      </c>
      <c r="R48" s="7" t="n">
        <f aca="false">X48-AC48</f>
        <v>4904</v>
      </c>
      <c r="S48" s="8" t="n">
        <f aca="false">(R48/P48)*100</f>
        <v>2.58109338568504</v>
      </c>
      <c r="T48" s="8" t="n">
        <f aca="false">Y48+AD48</f>
        <v>90.0708958562504</v>
      </c>
      <c r="U48" s="7" t="s">
        <v>54</v>
      </c>
      <c r="V48" s="7" t="s">
        <v>67</v>
      </c>
      <c r="W48" s="7" t="s">
        <v>340</v>
      </c>
      <c r="X48" s="7" t="n">
        <v>88018</v>
      </c>
      <c r="Y48" s="8" t="n">
        <f aca="false">(X48/P48)*100</f>
        <v>46.3259946209677</v>
      </c>
      <c r="Z48" s="7" t="s">
        <v>51</v>
      </c>
      <c r="AA48" s="17" t="s">
        <v>341</v>
      </c>
      <c r="AB48" s="7" t="s">
        <v>342</v>
      </c>
      <c r="AC48" s="7" t="n">
        <v>83114</v>
      </c>
      <c r="AD48" s="8" t="n">
        <f aca="false">(AC48/P48)*100</f>
        <v>43.7449012352827</v>
      </c>
      <c r="AE48" s="7" t="s">
        <v>57</v>
      </c>
      <c r="AF48" s="7" t="s">
        <v>57</v>
      </c>
      <c r="AG48" s="7" t="s">
        <v>343</v>
      </c>
      <c r="AH48" s="7" t="n">
        <v>11226</v>
      </c>
      <c r="AI48" s="8" t="n">
        <f aca="false">(AH48/P48)*100</f>
        <v>5.90851434496334</v>
      </c>
      <c r="AJ48" s="7" t="s">
        <v>59</v>
      </c>
      <c r="AK48" s="18" t="s">
        <v>344</v>
      </c>
      <c r="AL48" s="7" t="s">
        <v>345</v>
      </c>
      <c r="AM48" s="7" t="n">
        <v>1897</v>
      </c>
      <c r="AN48" s="8" t="n">
        <f aca="false">(AM48/P48)*100</f>
        <v>0.998436817423433</v>
      </c>
      <c r="AO48" s="7" t="s">
        <v>70</v>
      </c>
      <c r="AP48" s="7" t="s">
        <v>71</v>
      </c>
      <c r="AQ48" s="7" t="s">
        <v>346</v>
      </c>
      <c r="AR48" s="7" t="n">
        <v>1868</v>
      </c>
      <c r="AS48" s="8" t="n">
        <f aca="false">(AR48/P48)*100</f>
        <v>0.983173418527661</v>
      </c>
    </row>
    <row r="49" customFormat="false" ht="12.8" hidden="false" customHeight="false" outlineLevel="0" collapsed="false">
      <c r="A49" s="6" t="n">
        <v>48</v>
      </c>
      <c r="B49" s="7" t="s">
        <v>347</v>
      </c>
      <c r="C49" s="7" t="s">
        <v>339</v>
      </c>
      <c r="D49" s="7" t="s">
        <v>47</v>
      </c>
      <c r="E49" s="7" t="s">
        <v>288</v>
      </c>
      <c r="F49" s="7" t="s">
        <v>87</v>
      </c>
      <c r="G49" s="7" t="s">
        <v>50</v>
      </c>
      <c r="H49" s="7" t="s">
        <v>50</v>
      </c>
      <c r="I49" s="7" t="s">
        <v>50</v>
      </c>
      <c r="J49" s="7" t="s">
        <v>50</v>
      </c>
      <c r="K49" s="7" t="s">
        <v>50</v>
      </c>
      <c r="L49" s="7" t="s">
        <v>50</v>
      </c>
      <c r="M49" s="7" t="s">
        <v>50</v>
      </c>
      <c r="N49" s="7" t="s">
        <v>50</v>
      </c>
      <c r="O49" s="7" t="n">
        <v>238473</v>
      </c>
      <c r="P49" s="7" t="n">
        <v>177878</v>
      </c>
      <c r="Q49" s="8" t="n">
        <f aca="false">(P49/O49)*100</f>
        <v>74.5904148478025</v>
      </c>
      <c r="R49" s="7" t="n">
        <f aca="false">X49-AC49</f>
        <v>20232</v>
      </c>
      <c r="S49" s="8" t="n">
        <f aca="false">(R49/P49)*100</f>
        <v>11.3740878579701</v>
      </c>
      <c r="T49" s="8" t="n">
        <f aca="false">Y49+AD49</f>
        <v>90.3540628970418</v>
      </c>
      <c r="U49" s="7" t="s">
        <v>51</v>
      </c>
      <c r="V49" s="7" t="s">
        <v>52</v>
      </c>
      <c r="W49" s="7" t="s">
        <v>348</v>
      </c>
      <c r="X49" s="7" t="n">
        <v>90476</v>
      </c>
      <c r="Y49" s="8" t="n">
        <f aca="false">(X49/P49)*100</f>
        <v>50.8640753775059</v>
      </c>
      <c r="Z49" s="7" t="s">
        <v>54</v>
      </c>
      <c r="AA49" s="7" t="s">
        <v>67</v>
      </c>
      <c r="AB49" s="7" t="s">
        <v>349</v>
      </c>
      <c r="AC49" s="7" t="n">
        <v>70244</v>
      </c>
      <c r="AD49" s="8" t="n">
        <f aca="false">(AC49/P49)*100</f>
        <v>39.4899875195359</v>
      </c>
      <c r="AE49" s="7" t="s">
        <v>57</v>
      </c>
      <c r="AF49" s="7" t="s">
        <v>57</v>
      </c>
      <c r="AG49" s="7" t="s">
        <v>350</v>
      </c>
      <c r="AH49" s="7" t="n">
        <v>10150</v>
      </c>
      <c r="AI49" s="8" t="n">
        <f aca="false">(AH49/P49)*100</f>
        <v>5.70615815334105</v>
      </c>
      <c r="AJ49" s="7" t="s">
        <v>59</v>
      </c>
      <c r="AK49" s="19" t="s">
        <v>351</v>
      </c>
      <c r="AL49" s="7" t="s">
        <v>352</v>
      </c>
      <c r="AM49" s="7" t="n">
        <v>1793</v>
      </c>
      <c r="AN49" s="8" t="n">
        <f aca="false">(AM49/P49)*100</f>
        <v>1.00799424324537</v>
      </c>
      <c r="AO49" s="7" t="s">
        <v>70</v>
      </c>
      <c r="AP49" s="7" t="s">
        <v>71</v>
      </c>
      <c r="AQ49" s="7" t="s">
        <v>353</v>
      </c>
      <c r="AR49" s="7" t="n">
        <v>1638</v>
      </c>
      <c r="AS49" s="8" t="n">
        <f aca="false">(AR49/P49)*100</f>
        <v>0.920855867504694</v>
      </c>
    </row>
    <row r="50" customFormat="false" ht="12.8" hidden="false" customHeight="false" outlineLevel="0" collapsed="false">
      <c r="A50" s="6" t="n">
        <v>49</v>
      </c>
      <c r="B50" s="7" t="s">
        <v>354</v>
      </c>
      <c r="C50" s="7" t="s">
        <v>339</v>
      </c>
      <c r="D50" s="7" t="s">
        <v>47</v>
      </c>
      <c r="E50" s="7" t="s">
        <v>288</v>
      </c>
      <c r="F50" s="7" t="s">
        <v>76</v>
      </c>
      <c r="G50" s="7" t="s">
        <v>50</v>
      </c>
      <c r="H50" s="7" t="s">
        <v>50</v>
      </c>
      <c r="I50" s="7" t="s">
        <v>50</v>
      </c>
      <c r="J50" s="7" t="s">
        <v>50</v>
      </c>
      <c r="K50" s="7" t="s">
        <v>50</v>
      </c>
      <c r="L50" s="7" t="s">
        <v>50</v>
      </c>
      <c r="M50" s="7" t="s">
        <v>50</v>
      </c>
      <c r="N50" s="7" t="s">
        <v>50</v>
      </c>
      <c r="O50" s="7" t="n">
        <v>240869</v>
      </c>
      <c r="P50" s="7" t="n">
        <v>196358</v>
      </c>
      <c r="Q50" s="8" t="n">
        <f aca="false">(P50/O50)*100</f>
        <v>81.5206606080484</v>
      </c>
      <c r="R50" s="7" t="n">
        <f aca="false">X50-AC50</f>
        <v>1091</v>
      </c>
      <c r="S50" s="8" t="n">
        <f aca="false">(R50/P50)*100</f>
        <v>0.55561780014056</v>
      </c>
      <c r="T50" s="8" t="n">
        <f aca="false">Y50+AD50</f>
        <v>90.5942207600403</v>
      </c>
      <c r="U50" s="7" t="s">
        <v>51</v>
      </c>
      <c r="V50" s="7" t="s">
        <v>52</v>
      </c>
      <c r="W50" s="7" t="s">
        <v>355</v>
      </c>
      <c r="X50" s="7" t="n">
        <v>89490</v>
      </c>
      <c r="Y50" s="8" t="n">
        <f aca="false">(X50/P50)*100</f>
        <v>45.5749192800905</v>
      </c>
      <c r="Z50" s="7" t="s">
        <v>54</v>
      </c>
      <c r="AA50" s="7" t="s">
        <v>67</v>
      </c>
      <c r="AB50" s="7" t="s">
        <v>356</v>
      </c>
      <c r="AC50" s="7" t="n">
        <v>88399</v>
      </c>
      <c r="AD50" s="8" t="n">
        <f aca="false">(AC50/P50)*100</f>
        <v>45.0193014799499</v>
      </c>
      <c r="AE50" s="7" t="s">
        <v>57</v>
      </c>
      <c r="AF50" s="7" t="s">
        <v>57</v>
      </c>
      <c r="AG50" s="7" t="s">
        <v>266</v>
      </c>
      <c r="AH50" s="7" t="n">
        <v>13328</v>
      </c>
      <c r="AI50" s="8" t="n">
        <f aca="false">(AH50/P50)*100</f>
        <v>6.78760223673087</v>
      </c>
      <c r="AJ50" s="7" t="s">
        <v>62</v>
      </c>
      <c r="AK50" s="7" t="s">
        <v>62</v>
      </c>
      <c r="AL50" s="7" t="s">
        <v>62</v>
      </c>
      <c r="AM50" s="7" t="n">
        <v>1337</v>
      </c>
      <c r="AN50" s="8" t="n">
        <f aca="false">(AM50/P50)*100</f>
        <v>0.680899173957771</v>
      </c>
      <c r="AO50" s="7" t="s">
        <v>196</v>
      </c>
      <c r="AP50" s="7" t="s">
        <v>196</v>
      </c>
      <c r="AQ50" s="7" t="s">
        <v>357</v>
      </c>
      <c r="AR50" s="7" t="n">
        <v>1067</v>
      </c>
      <c r="AS50" s="8" t="n">
        <f aca="false">(AR50/P50)*100</f>
        <v>0.543395227085222</v>
      </c>
    </row>
    <row r="51" customFormat="false" ht="12.8" hidden="false" customHeight="false" outlineLevel="0" collapsed="false">
      <c r="A51" s="6" t="n">
        <v>50</v>
      </c>
      <c r="B51" s="7" t="s">
        <v>339</v>
      </c>
      <c r="C51" s="7" t="s">
        <v>339</v>
      </c>
      <c r="D51" s="7" t="s">
        <v>47</v>
      </c>
      <c r="E51" s="7" t="s">
        <v>288</v>
      </c>
      <c r="F51" s="7" t="s">
        <v>76</v>
      </c>
      <c r="G51" s="7" t="s">
        <v>50</v>
      </c>
      <c r="H51" s="7" t="s">
        <v>50</v>
      </c>
      <c r="I51" s="7" t="s">
        <v>50</v>
      </c>
      <c r="J51" s="7" t="s">
        <v>50</v>
      </c>
      <c r="K51" s="12" t="s">
        <v>52</v>
      </c>
      <c r="L51" s="7" t="s">
        <v>50</v>
      </c>
      <c r="M51" s="7" t="s">
        <v>50</v>
      </c>
      <c r="N51" s="7" t="s">
        <v>50</v>
      </c>
      <c r="O51" s="7" t="n">
        <v>239239</v>
      </c>
      <c r="P51" s="7" t="n">
        <v>185930</v>
      </c>
      <c r="Q51" s="8" t="n">
        <f aca="false">(P51/O51)*100</f>
        <v>77.7172618176802</v>
      </c>
      <c r="R51" s="7" t="n">
        <f aca="false">X51-AC51</f>
        <v>28240</v>
      </c>
      <c r="S51" s="8" t="n">
        <f aca="false">(R51/P51)*100</f>
        <v>15.1885118055182</v>
      </c>
      <c r="T51" s="8" t="n">
        <f aca="false">Y51+AD51</f>
        <v>88.637659334158</v>
      </c>
      <c r="U51" s="7" t="s">
        <v>51</v>
      </c>
      <c r="V51" s="7" t="s">
        <v>52</v>
      </c>
      <c r="W51" s="7" t="s">
        <v>358</v>
      </c>
      <c r="X51" s="7" t="n">
        <v>96522</v>
      </c>
      <c r="Y51" s="8" t="n">
        <f aca="false">(X51/P51)*100</f>
        <v>51.9130855698381</v>
      </c>
      <c r="Z51" s="7" t="s">
        <v>54</v>
      </c>
      <c r="AA51" s="7" t="s">
        <v>55</v>
      </c>
      <c r="AB51" s="7" t="s">
        <v>359</v>
      </c>
      <c r="AC51" s="7" t="n">
        <v>68282</v>
      </c>
      <c r="AD51" s="8" t="n">
        <f aca="false">(AC51/P51)*100</f>
        <v>36.7245737643199</v>
      </c>
      <c r="AE51" s="7" t="s">
        <v>57</v>
      </c>
      <c r="AF51" s="7" t="s">
        <v>57</v>
      </c>
      <c r="AG51" s="7" t="s">
        <v>360</v>
      </c>
      <c r="AH51" s="7" t="n">
        <v>12127</v>
      </c>
      <c r="AI51" s="8" t="n">
        <f aca="false">(AH51/P51)*100</f>
        <v>6.52234711988383</v>
      </c>
      <c r="AJ51" s="7" t="s">
        <v>59</v>
      </c>
      <c r="AK51" s="7" t="s">
        <v>73</v>
      </c>
      <c r="AL51" s="7" t="s">
        <v>361</v>
      </c>
      <c r="AM51" s="7" t="n">
        <v>2702</v>
      </c>
      <c r="AN51" s="8" t="n">
        <f aca="false">(AM51/P51)*100</f>
        <v>1.45323508847416</v>
      </c>
      <c r="AO51" s="7" t="s">
        <v>62</v>
      </c>
      <c r="AP51" s="7" t="s">
        <v>62</v>
      </c>
      <c r="AQ51" s="7" t="s">
        <v>62</v>
      </c>
      <c r="AR51" s="7" t="n">
        <v>1632</v>
      </c>
      <c r="AS51" s="8" t="n">
        <f aca="false">(AR51/P51)*100</f>
        <v>0.877749690743828</v>
      </c>
    </row>
    <row r="52" customFormat="false" ht="12.8" hidden="false" customHeight="false" outlineLevel="0" collapsed="false">
      <c r="A52" s="6" t="n">
        <v>51</v>
      </c>
      <c r="B52" s="7" t="s">
        <v>362</v>
      </c>
      <c r="C52" s="7" t="s">
        <v>363</v>
      </c>
      <c r="D52" s="7" t="s">
        <v>47</v>
      </c>
      <c r="E52" s="7" t="s">
        <v>364</v>
      </c>
      <c r="F52" s="7" t="s">
        <v>49</v>
      </c>
      <c r="G52" s="7" t="s">
        <v>64</v>
      </c>
      <c r="H52" s="7" t="s">
        <v>50</v>
      </c>
      <c r="I52" s="7" t="s">
        <v>50</v>
      </c>
      <c r="J52" s="7" t="s">
        <v>50</v>
      </c>
      <c r="K52" s="7" t="s">
        <v>50</v>
      </c>
      <c r="L52" s="7" t="s">
        <v>67</v>
      </c>
      <c r="M52" s="7" t="s">
        <v>50</v>
      </c>
      <c r="N52" s="7" t="s">
        <v>50</v>
      </c>
      <c r="O52" s="7" t="n">
        <v>238299</v>
      </c>
      <c r="P52" s="7" t="n">
        <v>188223</v>
      </c>
      <c r="Q52" s="8" t="n">
        <f aca="false">(P52/O52)*100</f>
        <v>78.9860637266627</v>
      </c>
      <c r="R52" s="7" t="n">
        <f aca="false">X52-AC52</f>
        <v>28387</v>
      </c>
      <c r="S52" s="8" t="n">
        <f aca="false">(R52/P52)*100</f>
        <v>15.0815787656131</v>
      </c>
      <c r="T52" s="8" t="n">
        <f aca="false">Y52+AD52</f>
        <v>90.8300260860787</v>
      </c>
      <c r="U52" s="7" t="s">
        <v>54</v>
      </c>
      <c r="V52" s="7" t="s">
        <v>67</v>
      </c>
      <c r="W52" s="7" t="s">
        <v>365</v>
      </c>
      <c r="X52" s="7" t="n">
        <v>99675</v>
      </c>
      <c r="Y52" s="8" t="n">
        <f aca="false">(X52/P52)*100</f>
        <v>52.9558024258459</v>
      </c>
      <c r="Z52" s="7" t="s">
        <v>51</v>
      </c>
      <c r="AA52" s="7" t="s">
        <v>65</v>
      </c>
      <c r="AB52" s="7" t="s">
        <v>366</v>
      </c>
      <c r="AC52" s="7" t="n">
        <v>71288</v>
      </c>
      <c r="AD52" s="8" t="n">
        <f aca="false">(AC52/P52)*100</f>
        <v>37.8742236602328</v>
      </c>
      <c r="AE52" s="7" t="s">
        <v>57</v>
      </c>
      <c r="AF52" s="7" t="s">
        <v>57</v>
      </c>
      <c r="AG52" s="7" t="s">
        <v>367</v>
      </c>
      <c r="AH52" s="7" t="n">
        <v>10424</v>
      </c>
      <c r="AI52" s="8" t="n">
        <f aca="false">(AH52/P52)*100</f>
        <v>5.53811170792092</v>
      </c>
      <c r="AJ52" s="7" t="s">
        <v>59</v>
      </c>
      <c r="AK52" s="7" t="s">
        <v>60</v>
      </c>
      <c r="AL52" s="7" t="s">
        <v>368</v>
      </c>
      <c r="AM52" s="7" t="n">
        <v>2291</v>
      </c>
      <c r="AN52" s="8" t="n">
        <f aca="false">(AM52/P52)*100</f>
        <v>1.21717324662767</v>
      </c>
      <c r="AO52" s="7" t="s">
        <v>62</v>
      </c>
      <c r="AP52" s="7" t="s">
        <v>62</v>
      </c>
      <c r="AQ52" s="7" t="s">
        <v>62</v>
      </c>
      <c r="AR52" s="7" t="n">
        <v>1359</v>
      </c>
      <c r="AS52" s="8" t="n">
        <f aca="false">(AR52/P52)*100</f>
        <v>0.722015906663904</v>
      </c>
    </row>
    <row r="53" customFormat="false" ht="12.8" hidden="false" customHeight="false" outlineLevel="0" collapsed="false">
      <c r="A53" s="6" t="n">
        <v>52</v>
      </c>
      <c r="B53" s="7" t="s">
        <v>369</v>
      </c>
      <c r="C53" s="7" t="s">
        <v>363</v>
      </c>
      <c r="D53" s="7" t="s">
        <v>47</v>
      </c>
      <c r="E53" s="7" t="s">
        <v>364</v>
      </c>
      <c r="F53" s="7" t="s">
        <v>49</v>
      </c>
      <c r="G53" s="7" t="s">
        <v>50</v>
      </c>
      <c r="H53" s="7" t="s">
        <v>50</v>
      </c>
      <c r="I53" s="7" t="s">
        <v>50</v>
      </c>
      <c r="J53" s="7" t="s">
        <v>50</v>
      </c>
      <c r="K53" s="7" t="s">
        <v>50</v>
      </c>
      <c r="L53" s="7" t="s">
        <v>50</v>
      </c>
      <c r="M53" s="7" t="s">
        <v>67</v>
      </c>
      <c r="N53" s="7" t="s">
        <v>125</v>
      </c>
      <c r="O53" s="7" t="n">
        <v>248335</v>
      </c>
      <c r="P53" s="7" t="n">
        <v>197784</v>
      </c>
      <c r="Q53" s="8" t="n">
        <f aca="false">(P53/O53)*100</f>
        <v>79.6440292347031</v>
      </c>
      <c r="R53" s="7" t="n">
        <f aca="false">X53-AC53</f>
        <v>12614</v>
      </c>
      <c r="S53" s="8" t="n">
        <f aca="false">(R53/P53)*100</f>
        <v>6.37766452291389</v>
      </c>
      <c r="T53" s="8" t="n">
        <f aca="false">Y53+AD53</f>
        <v>91.9680055009505</v>
      </c>
      <c r="U53" s="7" t="s">
        <v>51</v>
      </c>
      <c r="V53" s="7" t="s">
        <v>52</v>
      </c>
      <c r="W53" s="7" t="s">
        <v>370</v>
      </c>
      <c r="X53" s="7" t="n">
        <v>97256</v>
      </c>
      <c r="Y53" s="8" t="n">
        <f aca="false">(X53/P53)*100</f>
        <v>49.1728350119322</v>
      </c>
      <c r="Z53" s="7" t="s">
        <v>54</v>
      </c>
      <c r="AA53" s="7" t="s">
        <v>67</v>
      </c>
      <c r="AB53" s="7" t="s">
        <v>371</v>
      </c>
      <c r="AC53" s="7" t="n">
        <v>84642</v>
      </c>
      <c r="AD53" s="8" t="n">
        <f aca="false">(AC53/P53)*100</f>
        <v>42.7951704890183</v>
      </c>
      <c r="AE53" s="7" t="s">
        <v>57</v>
      </c>
      <c r="AF53" s="7" t="s">
        <v>57</v>
      </c>
      <c r="AG53" s="7" t="s">
        <v>372</v>
      </c>
      <c r="AH53" s="7" t="n">
        <v>10116</v>
      </c>
      <c r="AI53" s="8" t="n">
        <f aca="false">(AH53/P53)*100</f>
        <v>5.11467054969057</v>
      </c>
      <c r="AJ53" s="7" t="s">
        <v>62</v>
      </c>
      <c r="AK53" s="7" t="s">
        <v>62</v>
      </c>
      <c r="AL53" s="7" t="s">
        <v>62</v>
      </c>
      <c r="AM53" s="7" t="n">
        <v>1518</v>
      </c>
      <c r="AN53" s="8" t="n">
        <f aca="false">(AM53/P53)*100</f>
        <v>0.767503943696153</v>
      </c>
      <c r="AO53" s="10" t="s">
        <v>59</v>
      </c>
      <c r="AP53" s="7" t="s">
        <v>73</v>
      </c>
      <c r="AQ53" s="7" t="s">
        <v>373</v>
      </c>
      <c r="AR53" s="7" t="n">
        <v>1061</v>
      </c>
      <c r="AS53" s="8" t="n">
        <f aca="false">(AR53/P53)*100</f>
        <v>0.536443797273794</v>
      </c>
    </row>
    <row r="54" customFormat="false" ht="12.8" hidden="false" customHeight="false" outlineLevel="0" collapsed="false">
      <c r="A54" s="6" t="n">
        <v>53</v>
      </c>
      <c r="B54" s="7" t="s">
        <v>363</v>
      </c>
      <c r="C54" s="7" t="s">
        <v>363</v>
      </c>
      <c r="D54" s="7" t="s">
        <v>47</v>
      </c>
      <c r="E54" s="7" t="s">
        <v>364</v>
      </c>
      <c r="F54" s="7" t="s">
        <v>76</v>
      </c>
      <c r="G54" s="7" t="s">
        <v>50</v>
      </c>
      <c r="H54" s="7" t="s">
        <v>50</v>
      </c>
      <c r="I54" s="7" t="s">
        <v>50</v>
      </c>
      <c r="J54" s="7" t="s">
        <v>50</v>
      </c>
      <c r="K54" s="7" t="s">
        <v>67</v>
      </c>
      <c r="L54" s="7" t="s">
        <v>50</v>
      </c>
      <c r="M54" s="7" t="s">
        <v>50</v>
      </c>
      <c r="N54" s="7" t="s">
        <v>50</v>
      </c>
      <c r="O54" s="7" t="n">
        <v>268189</v>
      </c>
      <c r="P54" s="7" t="n">
        <v>211648</v>
      </c>
      <c r="Q54" s="8" t="n">
        <f aca="false">(P54/O54)*100</f>
        <v>78.9174798369807</v>
      </c>
      <c r="R54" s="7" t="n">
        <f aca="false">X54-AC54</f>
        <v>794</v>
      </c>
      <c r="S54" s="8" t="n">
        <f aca="false">(R54/P54)*100</f>
        <v>0.375151194436045</v>
      </c>
      <c r="T54" s="8" t="n">
        <f aca="false">Y54+AD54</f>
        <v>90.3887586936801</v>
      </c>
      <c r="U54" s="7" t="s">
        <v>54</v>
      </c>
      <c r="V54" s="7" t="s">
        <v>67</v>
      </c>
      <c r="W54" s="7" t="s">
        <v>374</v>
      </c>
      <c r="X54" s="7" t="n">
        <v>96050</v>
      </c>
      <c r="Y54" s="8" t="n">
        <f aca="false">(X54/P54)*100</f>
        <v>45.3819549440581</v>
      </c>
      <c r="Z54" s="7" t="s">
        <v>51</v>
      </c>
      <c r="AA54" s="7" t="s">
        <v>52</v>
      </c>
      <c r="AB54" s="7" t="s">
        <v>375</v>
      </c>
      <c r="AC54" s="7" t="n">
        <v>95256</v>
      </c>
      <c r="AD54" s="8" t="n">
        <f aca="false">(AC54/P54)*100</f>
        <v>45.006803749622</v>
      </c>
      <c r="AE54" s="7" t="s">
        <v>57</v>
      </c>
      <c r="AF54" s="7" t="s">
        <v>57</v>
      </c>
      <c r="AG54" s="7" t="s">
        <v>376</v>
      </c>
      <c r="AH54" s="7" t="n">
        <v>11137</v>
      </c>
      <c r="AI54" s="8" t="n">
        <f aca="false">(AH54/P54)*100</f>
        <v>5.26203885697006</v>
      </c>
      <c r="AJ54" s="7" t="s">
        <v>70</v>
      </c>
      <c r="AK54" s="7" t="s">
        <v>71</v>
      </c>
      <c r="AL54" s="7" t="s">
        <v>377</v>
      </c>
      <c r="AM54" s="7" t="n">
        <v>3455</v>
      </c>
      <c r="AN54" s="8" t="n">
        <f aca="false">(AM54/P54)*100</f>
        <v>1.6324274266707</v>
      </c>
      <c r="AO54" s="7" t="s">
        <v>62</v>
      </c>
      <c r="AP54" s="7" t="s">
        <v>62</v>
      </c>
      <c r="AQ54" s="7" t="s">
        <v>62</v>
      </c>
      <c r="AR54" s="7" t="n">
        <v>1837</v>
      </c>
      <c r="AS54" s="8" t="n">
        <f aca="false">(AR54/P54)*100</f>
        <v>0.867950559419413</v>
      </c>
    </row>
    <row r="55" customFormat="false" ht="12.8" hidden="false" customHeight="false" outlineLevel="0" collapsed="false">
      <c r="A55" s="6" t="n">
        <v>54</v>
      </c>
      <c r="B55" s="7" t="s">
        <v>378</v>
      </c>
      <c r="C55" s="7" t="s">
        <v>363</v>
      </c>
      <c r="D55" s="7" t="s">
        <v>47</v>
      </c>
      <c r="E55" s="7" t="s">
        <v>364</v>
      </c>
      <c r="F55" s="7" t="s">
        <v>49</v>
      </c>
      <c r="G55" s="7" t="s">
        <v>50</v>
      </c>
      <c r="H55" s="7" t="s">
        <v>50</v>
      </c>
      <c r="I55" s="7" t="s">
        <v>50</v>
      </c>
      <c r="J55" s="7" t="s">
        <v>50</v>
      </c>
      <c r="K55" s="7" t="s">
        <v>50</v>
      </c>
      <c r="L55" s="7" t="s">
        <v>50</v>
      </c>
      <c r="M55" s="7" t="s">
        <v>50</v>
      </c>
      <c r="N55" s="7" t="s">
        <v>50</v>
      </c>
      <c r="O55" s="7" t="n">
        <v>252085</v>
      </c>
      <c r="P55" s="7" t="n">
        <v>205141</v>
      </c>
      <c r="Q55" s="8" t="n">
        <f aca="false">(P55/O55)*100</f>
        <v>81.3777098994387</v>
      </c>
      <c r="R55" s="7" t="n">
        <f aca="false">X55-AC55</f>
        <v>3054</v>
      </c>
      <c r="S55" s="8" t="n">
        <f aca="false">(R55/P55)*100</f>
        <v>1.48873214033275</v>
      </c>
      <c r="T55" s="8" t="n">
        <f aca="false">Y55+AD55</f>
        <v>90.2569452230417</v>
      </c>
      <c r="U55" s="7" t="s">
        <v>54</v>
      </c>
      <c r="V55" s="7" t="s">
        <v>67</v>
      </c>
      <c r="W55" s="7" t="s">
        <v>379</v>
      </c>
      <c r="X55" s="7" t="n">
        <v>94104</v>
      </c>
      <c r="Y55" s="8" t="n">
        <f aca="false">(X55/P55)*100</f>
        <v>45.8728386816872</v>
      </c>
      <c r="Z55" s="7" t="s">
        <v>51</v>
      </c>
      <c r="AA55" s="7" t="s">
        <v>52</v>
      </c>
      <c r="AB55" s="7" t="s">
        <v>380</v>
      </c>
      <c r="AC55" s="7" t="n">
        <v>91050</v>
      </c>
      <c r="AD55" s="8" t="n">
        <f aca="false">(AC55/P55)*100</f>
        <v>44.3841065413545</v>
      </c>
      <c r="AE55" s="7" t="s">
        <v>57</v>
      </c>
      <c r="AF55" s="7" t="s">
        <v>57</v>
      </c>
      <c r="AG55" s="7" t="s">
        <v>381</v>
      </c>
      <c r="AH55" s="7" t="n">
        <v>8310</v>
      </c>
      <c r="AI55" s="8" t="n">
        <f aca="false">(AH55/P55)*100</f>
        <v>4.05087232683861</v>
      </c>
      <c r="AJ55" s="7" t="s">
        <v>59</v>
      </c>
      <c r="AK55" s="7" t="s">
        <v>60</v>
      </c>
      <c r="AL55" s="7" t="s">
        <v>382</v>
      </c>
      <c r="AM55" s="7" t="n">
        <v>3601</v>
      </c>
      <c r="AN55" s="8" t="n">
        <f aca="false">(AM55/P55)*100</f>
        <v>1.75537800829673</v>
      </c>
      <c r="AO55" s="7" t="s">
        <v>196</v>
      </c>
      <c r="AP55" s="7" t="s">
        <v>196</v>
      </c>
      <c r="AQ55" s="7" t="s">
        <v>383</v>
      </c>
      <c r="AR55" s="7" t="n">
        <v>3022</v>
      </c>
      <c r="AS55" s="8" t="n">
        <f aca="false">(AR55/P55)*100</f>
        <v>1.47313311332206</v>
      </c>
    </row>
    <row r="56" customFormat="false" ht="12.8" hidden="false" customHeight="false" outlineLevel="0" collapsed="false">
      <c r="A56" s="6" t="n">
        <v>55</v>
      </c>
      <c r="B56" s="7" t="s">
        <v>384</v>
      </c>
      <c r="C56" s="7" t="s">
        <v>363</v>
      </c>
      <c r="D56" s="7" t="s">
        <v>47</v>
      </c>
      <c r="E56" s="7" t="s">
        <v>364</v>
      </c>
      <c r="F56" s="7" t="s">
        <v>87</v>
      </c>
      <c r="G56" s="7" t="s">
        <v>50</v>
      </c>
      <c r="H56" s="7" t="s">
        <v>50</v>
      </c>
      <c r="I56" s="7" t="s">
        <v>50</v>
      </c>
      <c r="J56" s="7" t="s">
        <v>50</v>
      </c>
      <c r="K56" s="14" t="s">
        <v>385</v>
      </c>
      <c r="L56" s="7" t="s">
        <v>50</v>
      </c>
      <c r="M56" s="7" t="s">
        <v>65</v>
      </c>
      <c r="N56" s="7" t="s">
        <v>50</v>
      </c>
      <c r="O56" s="7" t="n">
        <v>351771</v>
      </c>
      <c r="P56" s="7" t="n">
        <v>248098</v>
      </c>
      <c r="Q56" s="8" t="n">
        <f aca="false">(P56/O56)*100</f>
        <v>70.5282698118947</v>
      </c>
      <c r="R56" s="7" t="n">
        <f aca="false">X56-AC56</f>
        <v>12367</v>
      </c>
      <c r="S56" s="8" t="n">
        <f aca="false">(R56/P56)*100</f>
        <v>4.98472377850688</v>
      </c>
      <c r="T56" s="8" t="n">
        <f aca="false">Y56+AD56</f>
        <v>90.3251940765343</v>
      </c>
      <c r="U56" s="7" t="s">
        <v>51</v>
      </c>
      <c r="V56" s="7" t="s">
        <v>52</v>
      </c>
      <c r="W56" s="7" t="s">
        <v>386</v>
      </c>
      <c r="X56" s="7" t="n">
        <v>118231</v>
      </c>
      <c r="Y56" s="8" t="n">
        <f aca="false">(X56/P56)*100</f>
        <v>47.6549589275206</v>
      </c>
      <c r="Z56" s="7" t="s">
        <v>54</v>
      </c>
      <c r="AA56" s="7" t="s">
        <v>67</v>
      </c>
      <c r="AB56" s="7" t="s">
        <v>387</v>
      </c>
      <c r="AC56" s="7" t="n">
        <v>105864</v>
      </c>
      <c r="AD56" s="8" t="n">
        <f aca="false">(AC56/P56)*100</f>
        <v>42.6702351490137</v>
      </c>
      <c r="AE56" s="7" t="s">
        <v>57</v>
      </c>
      <c r="AF56" s="7" t="s">
        <v>57</v>
      </c>
      <c r="AG56" s="7" t="s">
        <v>388</v>
      </c>
      <c r="AH56" s="7" t="n">
        <v>11422</v>
      </c>
      <c r="AI56" s="8" t="n">
        <f aca="false">(AH56/P56)*100</f>
        <v>4.60382590750429</v>
      </c>
      <c r="AJ56" s="7" t="s">
        <v>70</v>
      </c>
      <c r="AK56" s="7" t="s">
        <v>71</v>
      </c>
      <c r="AL56" s="7" t="s">
        <v>389</v>
      </c>
      <c r="AM56" s="7" t="n">
        <v>6563</v>
      </c>
      <c r="AN56" s="8" t="n">
        <f aca="false">(AM56/P56)*100</f>
        <v>2.64532563744972</v>
      </c>
      <c r="AO56" s="7" t="s">
        <v>62</v>
      </c>
      <c r="AP56" s="7" t="s">
        <v>62</v>
      </c>
      <c r="AQ56" s="7" t="s">
        <v>62</v>
      </c>
      <c r="AR56" s="7" t="n">
        <v>1976</v>
      </c>
      <c r="AS56" s="8" t="n">
        <f aca="false">(AR56/P56)*100</f>
        <v>0.796459463599062</v>
      </c>
    </row>
    <row r="57" customFormat="false" ht="12.8" hidden="false" customHeight="false" outlineLevel="0" collapsed="false">
      <c r="A57" s="6" t="n">
        <v>56</v>
      </c>
      <c r="B57" s="7" t="s">
        <v>390</v>
      </c>
      <c r="C57" s="7" t="s">
        <v>363</v>
      </c>
      <c r="D57" s="7" t="s">
        <v>47</v>
      </c>
      <c r="E57" s="7" t="s">
        <v>364</v>
      </c>
      <c r="F57" s="7" t="s">
        <v>49</v>
      </c>
      <c r="G57" s="7" t="s">
        <v>50</v>
      </c>
      <c r="H57" s="7" t="s">
        <v>50</v>
      </c>
      <c r="I57" s="7" t="s">
        <v>50</v>
      </c>
      <c r="J57" s="7" t="s">
        <v>391</v>
      </c>
      <c r="K57" s="7" t="s">
        <v>50</v>
      </c>
      <c r="L57" s="7" t="s">
        <v>50</v>
      </c>
      <c r="M57" s="7" t="s">
        <v>50</v>
      </c>
      <c r="N57" s="7" t="s">
        <v>50</v>
      </c>
      <c r="O57" s="7" t="n">
        <v>251215</v>
      </c>
      <c r="P57" s="7" t="n">
        <v>194022</v>
      </c>
      <c r="Q57" s="8" t="n">
        <f aca="false">(P57/O57)*100</f>
        <v>77.2334454550883</v>
      </c>
      <c r="R57" s="7" t="n">
        <f aca="false">X57-AC57</f>
        <v>56226</v>
      </c>
      <c r="S57" s="8" t="n">
        <f aca="false">(R57/P57)*100</f>
        <v>28.9791879271423</v>
      </c>
      <c r="T57" s="8" t="n">
        <f aca="false">Y57+AD57</f>
        <v>95.3788745606168</v>
      </c>
      <c r="U57" s="7" t="s">
        <v>51</v>
      </c>
      <c r="V57" s="7" t="s">
        <v>391</v>
      </c>
      <c r="W57" s="7" t="s">
        <v>392</v>
      </c>
      <c r="X57" s="7" t="n">
        <v>120641</v>
      </c>
      <c r="Y57" s="8" t="n">
        <f aca="false">(X57/P57)*100</f>
        <v>62.1790312438796</v>
      </c>
      <c r="Z57" s="7" t="s">
        <v>54</v>
      </c>
      <c r="AA57" s="7" t="s">
        <v>170</v>
      </c>
      <c r="AB57" s="7" t="s">
        <v>393</v>
      </c>
      <c r="AC57" s="7" t="n">
        <v>64415</v>
      </c>
      <c r="AD57" s="8" t="n">
        <f aca="false">(AC57/P57)*100</f>
        <v>33.1998433167373</v>
      </c>
      <c r="AE57" s="7" t="s">
        <v>57</v>
      </c>
      <c r="AF57" s="7" t="s">
        <v>57</v>
      </c>
      <c r="AG57" s="7" t="s">
        <v>394</v>
      </c>
      <c r="AH57" s="7" t="n">
        <v>3776</v>
      </c>
      <c r="AI57" s="8" t="n">
        <f aca="false">(AH57/P57)*100</f>
        <v>1.94617105276721</v>
      </c>
      <c r="AJ57" s="7" t="s">
        <v>62</v>
      </c>
      <c r="AK57" s="7" t="s">
        <v>62</v>
      </c>
      <c r="AL57" s="7" t="s">
        <v>62</v>
      </c>
      <c r="AM57" s="7" t="n">
        <v>1966</v>
      </c>
      <c r="AN57" s="8" t="n">
        <f aca="false">(AM57/P57)*100</f>
        <v>1.01328715300327</v>
      </c>
      <c r="AO57" s="7" t="s">
        <v>70</v>
      </c>
      <c r="AP57" s="13" t="s">
        <v>178</v>
      </c>
      <c r="AQ57" s="7" t="s">
        <v>395</v>
      </c>
      <c r="AR57" s="7" t="n">
        <v>778</v>
      </c>
      <c r="AS57" s="8" t="n">
        <f aca="false">(AR57/P57)*100</f>
        <v>0.400985455257651</v>
      </c>
    </row>
    <row r="58" customFormat="false" ht="12.8" hidden="false" customHeight="false" outlineLevel="0" collapsed="false">
      <c r="A58" s="6" t="n">
        <v>57</v>
      </c>
      <c r="B58" s="7" t="s">
        <v>396</v>
      </c>
      <c r="C58" s="7" t="s">
        <v>397</v>
      </c>
      <c r="D58" s="7" t="s">
        <v>47</v>
      </c>
      <c r="E58" s="7" t="s">
        <v>364</v>
      </c>
      <c r="F58" s="7" t="s">
        <v>49</v>
      </c>
      <c r="G58" s="7" t="s">
        <v>50</v>
      </c>
      <c r="H58" s="7" t="s">
        <v>50</v>
      </c>
      <c r="I58" s="7" t="s">
        <v>50</v>
      </c>
      <c r="J58" s="7" t="s">
        <v>67</v>
      </c>
      <c r="K58" s="7" t="s">
        <v>50</v>
      </c>
      <c r="L58" s="7" t="s">
        <v>67</v>
      </c>
      <c r="M58" s="7" t="s">
        <v>50</v>
      </c>
      <c r="N58" s="7" t="s">
        <v>50</v>
      </c>
      <c r="O58" s="7" t="n">
        <v>237391</v>
      </c>
      <c r="P58" s="7" t="n">
        <v>206595</v>
      </c>
      <c r="Q58" s="8" t="n">
        <f aca="false">(P58/O58)*100</f>
        <v>87.0273093756714</v>
      </c>
      <c r="R58" s="7" t="n">
        <f aca="false">X58-AC58</f>
        <v>28100</v>
      </c>
      <c r="S58" s="8" t="n">
        <f aca="false">(R58/P58)*100</f>
        <v>13.6014908395653</v>
      </c>
      <c r="T58" s="8" t="n">
        <f aca="false">Y58+AD58</f>
        <v>92.9548149761611</v>
      </c>
      <c r="U58" s="7" t="s">
        <v>54</v>
      </c>
      <c r="V58" s="7" t="s">
        <v>67</v>
      </c>
      <c r="W58" s="7" t="s">
        <v>398</v>
      </c>
      <c r="X58" s="7" t="n">
        <v>110070</v>
      </c>
      <c r="Y58" s="8" t="n">
        <f aca="false">(X58/P58)*100</f>
        <v>53.2781529078632</v>
      </c>
      <c r="Z58" s="7" t="s">
        <v>51</v>
      </c>
      <c r="AA58" s="7" t="s">
        <v>52</v>
      </c>
      <c r="AB58" s="7" t="s">
        <v>399</v>
      </c>
      <c r="AC58" s="7" t="n">
        <v>81970</v>
      </c>
      <c r="AD58" s="8" t="n">
        <f aca="false">(AC58/P58)*100</f>
        <v>39.6766620682979</v>
      </c>
      <c r="AE58" s="7" t="s">
        <v>57</v>
      </c>
      <c r="AF58" s="7" t="s">
        <v>57</v>
      </c>
      <c r="AG58" s="7" t="s">
        <v>400</v>
      </c>
      <c r="AH58" s="7" t="n">
        <v>7704</v>
      </c>
      <c r="AI58" s="8" t="n">
        <f aca="false">(AH58/P58)*100</f>
        <v>3.7290350686125</v>
      </c>
      <c r="AJ58" s="7" t="s">
        <v>59</v>
      </c>
      <c r="AK58" s="7" t="s">
        <v>60</v>
      </c>
      <c r="AL58" s="7" t="s">
        <v>401</v>
      </c>
      <c r="AM58" s="7" t="n">
        <v>2409</v>
      </c>
      <c r="AN58" s="8" t="n">
        <f aca="false">(AM58/P58)*100</f>
        <v>1.16604951717128</v>
      </c>
      <c r="AO58" s="7" t="s">
        <v>62</v>
      </c>
      <c r="AP58" s="7" t="s">
        <v>62</v>
      </c>
      <c r="AQ58" s="7" t="s">
        <v>62</v>
      </c>
      <c r="AR58" s="7" t="n">
        <v>1351</v>
      </c>
      <c r="AS58" s="8" t="n">
        <f aca="false">(AR58/P58)*100</f>
        <v>0.653936445702945</v>
      </c>
    </row>
    <row r="59" customFormat="false" ht="12.8" hidden="false" customHeight="false" outlineLevel="0" collapsed="false">
      <c r="A59" s="6" t="n">
        <v>58</v>
      </c>
      <c r="B59" s="7" t="s">
        <v>402</v>
      </c>
      <c r="C59" s="7" t="s">
        <v>397</v>
      </c>
      <c r="D59" s="7" t="s">
        <v>47</v>
      </c>
      <c r="E59" s="7" t="s">
        <v>364</v>
      </c>
      <c r="F59" s="7" t="s">
        <v>49</v>
      </c>
      <c r="G59" s="7" t="s">
        <v>50</v>
      </c>
      <c r="H59" s="7" t="s">
        <v>50</v>
      </c>
      <c r="I59" s="7" t="s">
        <v>55</v>
      </c>
      <c r="J59" s="7" t="s">
        <v>50</v>
      </c>
      <c r="K59" s="7" t="s">
        <v>50</v>
      </c>
      <c r="L59" s="7" t="s">
        <v>50</v>
      </c>
      <c r="M59" s="7" t="s">
        <v>50</v>
      </c>
      <c r="N59" s="7" t="s">
        <v>50</v>
      </c>
      <c r="O59" s="7" t="n">
        <v>246772</v>
      </c>
      <c r="P59" s="7" t="n">
        <v>210305</v>
      </c>
      <c r="Q59" s="8" t="n">
        <f aca="false">(P59/O59)*100</f>
        <v>85.2223915192972</v>
      </c>
      <c r="R59" s="7" t="n">
        <f aca="false">X59-AC59</f>
        <v>21186</v>
      </c>
      <c r="S59" s="8" t="n">
        <f aca="false">(R59/P59)*100</f>
        <v>10.0739402296664</v>
      </c>
      <c r="T59" s="8" t="n">
        <f aca="false">Y59+AD59</f>
        <v>90.8490050165236</v>
      </c>
      <c r="U59" s="7" t="s">
        <v>54</v>
      </c>
      <c r="V59" s="7" t="s">
        <v>55</v>
      </c>
      <c r="W59" s="7" t="s">
        <v>403</v>
      </c>
      <c r="X59" s="7" t="n">
        <v>106123</v>
      </c>
      <c r="Y59" s="8" t="n">
        <f aca="false">(X59/P59)*100</f>
        <v>50.461472623095</v>
      </c>
      <c r="Z59" s="7" t="s">
        <v>51</v>
      </c>
      <c r="AA59" s="7" t="s">
        <v>52</v>
      </c>
      <c r="AB59" s="7" t="s">
        <v>404</v>
      </c>
      <c r="AC59" s="7" t="n">
        <v>84937</v>
      </c>
      <c r="AD59" s="8" t="n">
        <f aca="false">(AC59/P59)*100</f>
        <v>40.3875323934286</v>
      </c>
      <c r="AE59" s="7" t="s">
        <v>57</v>
      </c>
      <c r="AF59" s="7" t="s">
        <v>57</v>
      </c>
      <c r="AG59" s="7" t="s">
        <v>405</v>
      </c>
      <c r="AH59" s="7" t="n">
        <v>8945</v>
      </c>
      <c r="AI59" s="8" t="n">
        <f aca="false">(AH59/P59)*100</f>
        <v>4.25334633032976</v>
      </c>
      <c r="AJ59" s="7" t="s">
        <v>59</v>
      </c>
      <c r="AK59" s="7" t="s">
        <v>60</v>
      </c>
      <c r="AL59" s="7" t="s">
        <v>406</v>
      </c>
      <c r="AM59" s="7" t="n">
        <v>2921</v>
      </c>
      <c r="AN59" s="8" t="n">
        <f aca="false">(AM59/P59)*100</f>
        <v>1.38893511804284</v>
      </c>
      <c r="AO59" s="7" t="s">
        <v>196</v>
      </c>
      <c r="AP59" s="7" t="s">
        <v>196</v>
      </c>
      <c r="AQ59" s="7" t="s">
        <v>407</v>
      </c>
      <c r="AR59" s="7" t="n">
        <v>1968</v>
      </c>
      <c r="AS59" s="8" t="n">
        <f aca="false">(AR59/P59)*100</f>
        <v>0.935783742659471</v>
      </c>
    </row>
    <row r="60" customFormat="false" ht="12.8" hidden="false" customHeight="false" outlineLevel="0" collapsed="false">
      <c r="A60" s="6" t="n">
        <v>59</v>
      </c>
      <c r="B60" s="7" t="s">
        <v>397</v>
      </c>
      <c r="C60" s="7" t="s">
        <v>397</v>
      </c>
      <c r="D60" s="7" t="s">
        <v>47</v>
      </c>
      <c r="E60" s="7" t="s">
        <v>364</v>
      </c>
      <c r="F60" s="7" t="s">
        <v>76</v>
      </c>
      <c r="G60" s="7" t="s">
        <v>50</v>
      </c>
      <c r="H60" s="7" t="s">
        <v>50</v>
      </c>
      <c r="I60" s="7" t="s">
        <v>50</v>
      </c>
      <c r="J60" s="7" t="s">
        <v>50</v>
      </c>
      <c r="K60" s="12" t="s">
        <v>52</v>
      </c>
      <c r="L60" s="7" t="s">
        <v>50</v>
      </c>
      <c r="M60" s="7" t="s">
        <v>50</v>
      </c>
      <c r="N60" s="7" t="s">
        <v>50</v>
      </c>
      <c r="O60" s="7" t="n">
        <v>269773</v>
      </c>
      <c r="P60" s="7" t="n">
        <v>217333</v>
      </c>
      <c r="Q60" s="8" t="n">
        <f aca="false">(P60/O60)*100</f>
        <v>80.5614349842275</v>
      </c>
      <c r="R60" s="7" t="n">
        <f aca="false">X60-AC60</f>
        <v>26860</v>
      </c>
      <c r="S60" s="8" t="n">
        <f aca="false">(R60/P60)*100</f>
        <v>12.3589146609121</v>
      </c>
      <c r="T60" s="8" t="n">
        <f aca="false">Y60+AD60</f>
        <v>84.8467558999324</v>
      </c>
      <c r="U60" s="7" t="s">
        <v>54</v>
      </c>
      <c r="V60" s="7" t="s">
        <v>55</v>
      </c>
      <c r="W60" s="7" t="s">
        <v>408</v>
      </c>
      <c r="X60" s="7" t="n">
        <v>105630</v>
      </c>
      <c r="Y60" s="8" t="n">
        <f aca="false">(X60/P60)*100</f>
        <v>48.6028352804222</v>
      </c>
      <c r="Z60" s="7" t="s">
        <v>51</v>
      </c>
      <c r="AA60" s="7" t="s">
        <v>52</v>
      </c>
      <c r="AB60" s="7" t="s">
        <v>409</v>
      </c>
      <c r="AC60" s="7" t="n">
        <v>78770</v>
      </c>
      <c r="AD60" s="8" t="n">
        <f aca="false">(AC60/P60)*100</f>
        <v>36.2439206195102</v>
      </c>
      <c r="AE60" s="10" t="s">
        <v>59</v>
      </c>
      <c r="AF60" s="10" t="s">
        <v>73</v>
      </c>
      <c r="AG60" s="7" t="s">
        <v>410</v>
      </c>
      <c r="AH60" s="7" t="n">
        <v>11226</v>
      </c>
      <c r="AI60" s="8" t="n">
        <f aca="false">(AH60/P60)*100</f>
        <v>5.1653453456217</v>
      </c>
      <c r="AJ60" s="7" t="s">
        <v>57</v>
      </c>
      <c r="AK60" s="7" t="s">
        <v>57</v>
      </c>
      <c r="AL60" s="7" t="s">
        <v>411</v>
      </c>
      <c r="AM60" s="7" t="n">
        <v>8700</v>
      </c>
      <c r="AN60" s="8" t="n">
        <f aca="false">(AM60/P60)*100</f>
        <v>4.00307362434605</v>
      </c>
      <c r="AO60" s="7" t="s">
        <v>70</v>
      </c>
      <c r="AP60" s="7" t="s">
        <v>71</v>
      </c>
      <c r="AQ60" s="7" t="s">
        <v>412</v>
      </c>
      <c r="AR60" s="7" t="n">
        <v>5083</v>
      </c>
      <c r="AS60" s="8" t="n">
        <f aca="false">(AR60/P60)*100</f>
        <v>2.33880726810931</v>
      </c>
    </row>
    <row r="61" customFormat="false" ht="12.8" hidden="false" customHeight="false" outlineLevel="0" collapsed="false">
      <c r="A61" s="6" t="n">
        <v>60</v>
      </c>
      <c r="B61" s="7" t="s">
        <v>413</v>
      </c>
      <c r="C61" s="7" t="s">
        <v>397</v>
      </c>
      <c r="D61" s="7" t="s">
        <v>47</v>
      </c>
      <c r="E61" s="7" t="s">
        <v>364</v>
      </c>
      <c r="F61" s="7" t="s">
        <v>49</v>
      </c>
      <c r="G61" s="7" t="s">
        <v>50</v>
      </c>
      <c r="H61" s="7" t="s">
        <v>50</v>
      </c>
      <c r="I61" s="7" t="s">
        <v>50</v>
      </c>
      <c r="J61" s="7" t="s">
        <v>50</v>
      </c>
      <c r="K61" s="7" t="s">
        <v>50</v>
      </c>
      <c r="L61" s="7" t="s">
        <v>67</v>
      </c>
      <c r="M61" s="7" t="s">
        <v>50</v>
      </c>
      <c r="N61" s="7" t="s">
        <v>50</v>
      </c>
      <c r="O61" s="7" t="n">
        <v>265487</v>
      </c>
      <c r="P61" s="7" t="n">
        <v>220994</v>
      </c>
      <c r="Q61" s="8" t="n">
        <f aca="false">(P61/O61)*100</f>
        <v>83.2409873176464</v>
      </c>
      <c r="R61" s="7" t="n">
        <f aca="false">X61-AC61</f>
        <v>36943</v>
      </c>
      <c r="S61" s="8" t="n">
        <f aca="false">(R61/P61)*100</f>
        <v>16.7167434409984</v>
      </c>
      <c r="T61" s="8" t="n">
        <f aca="false">Y61+AD61</f>
        <v>86.9123143614759</v>
      </c>
      <c r="U61" s="7" t="s">
        <v>54</v>
      </c>
      <c r="V61" s="7" t="s">
        <v>67</v>
      </c>
      <c r="W61" s="7" t="s">
        <v>414</v>
      </c>
      <c r="X61" s="7" t="n">
        <v>114507</v>
      </c>
      <c r="Y61" s="8" t="n">
        <f aca="false">(X61/P61)*100</f>
        <v>51.8145289012371</v>
      </c>
      <c r="Z61" s="7" t="s">
        <v>51</v>
      </c>
      <c r="AA61" s="7" t="s">
        <v>52</v>
      </c>
      <c r="AB61" s="7" t="s">
        <v>415</v>
      </c>
      <c r="AC61" s="7" t="n">
        <v>77564</v>
      </c>
      <c r="AD61" s="8" t="n">
        <f aca="false">(AC61/P61)*100</f>
        <v>35.0977854602387</v>
      </c>
      <c r="AE61" s="10" t="s">
        <v>59</v>
      </c>
      <c r="AF61" s="7" t="s">
        <v>73</v>
      </c>
      <c r="AG61" s="7" t="s">
        <v>416</v>
      </c>
      <c r="AH61" s="7" t="n">
        <v>15863</v>
      </c>
      <c r="AI61" s="8" t="n">
        <f aca="false">(AH61/P61)*100</f>
        <v>7.17802293274931</v>
      </c>
      <c r="AJ61" s="7" t="s">
        <v>57</v>
      </c>
      <c r="AK61" s="7" t="s">
        <v>57</v>
      </c>
      <c r="AL61" s="7" t="s">
        <v>417</v>
      </c>
      <c r="AM61" s="7" t="n">
        <v>7573</v>
      </c>
      <c r="AN61" s="8" t="n">
        <f aca="false">(AM61/P61)*100</f>
        <v>3.42678986759822</v>
      </c>
      <c r="AO61" s="7" t="s">
        <v>70</v>
      </c>
      <c r="AP61" s="7" t="s">
        <v>71</v>
      </c>
      <c r="AQ61" s="7" t="s">
        <v>418</v>
      </c>
      <c r="AR61" s="7" t="n">
        <v>1729</v>
      </c>
      <c r="AS61" s="8" t="n">
        <f aca="false">(AR61/P61)*100</f>
        <v>0.782374182104492</v>
      </c>
    </row>
    <row r="62" customFormat="false" ht="12.8" hidden="false" customHeight="false" outlineLevel="0" collapsed="false">
      <c r="A62" s="6" t="n">
        <v>61</v>
      </c>
      <c r="B62" s="7" t="s">
        <v>419</v>
      </c>
      <c r="C62" s="7" t="s">
        <v>397</v>
      </c>
      <c r="D62" s="7" t="s">
        <v>47</v>
      </c>
      <c r="E62" s="7" t="s">
        <v>364</v>
      </c>
      <c r="F62" s="7" t="s">
        <v>76</v>
      </c>
      <c r="G62" s="7" t="s">
        <v>64</v>
      </c>
      <c r="H62" s="7" t="s">
        <v>315</v>
      </c>
      <c r="I62" s="7" t="s">
        <v>50</v>
      </c>
      <c r="J62" s="7" t="s">
        <v>50</v>
      </c>
      <c r="K62" s="7" t="s">
        <v>50</v>
      </c>
      <c r="L62" s="7" t="s">
        <v>50</v>
      </c>
      <c r="M62" s="7" t="s">
        <v>50</v>
      </c>
      <c r="N62" s="7" t="s">
        <v>50</v>
      </c>
      <c r="O62" s="7" t="n">
        <v>250120</v>
      </c>
      <c r="P62" s="7" t="n">
        <v>198565</v>
      </c>
      <c r="Q62" s="8" t="n">
        <f aca="false">(P62/O62)*100</f>
        <v>79.3878938109707</v>
      </c>
      <c r="R62" s="7" t="n">
        <f aca="false">X62-AC62</f>
        <v>30362</v>
      </c>
      <c r="S62" s="8" t="n">
        <f aca="false">(R62/P62)*100</f>
        <v>15.2907108503513</v>
      </c>
      <c r="T62" s="8" t="n">
        <f aca="false">Y62+AD62</f>
        <v>84.4861884017828</v>
      </c>
      <c r="U62" s="7" t="s">
        <v>54</v>
      </c>
      <c r="V62" s="7" t="s">
        <v>67</v>
      </c>
      <c r="W62" s="7" t="s">
        <v>420</v>
      </c>
      <c r="X62" s="7" t="n">
        <v>99061</v>
      </c>
      <c r="Y62" s="8" t="n">
        <f aca="false">(X62/P62)*100</f>
        <v>49.888449626067</v>
      </c>
      <c r="Z62" s="7" t="s">
        <v>51</v>
      </c>
      <c r="AA62" s="7" t="s">
        <v>421</v>
      </c>
      <c r="AB62" s="7" t="s">
        <v>422</v>
      </c>
      <c r="AC62" s="7" t="n">
        <v>68699</v>
      </c>
      <c r="AD62" s="8" t="n">
        <f aca="false">(AC62/P62)*100</f>
        <v>34.5977387757158</v>
      </c>
      <c r="AE62" s="10" t="s">
        <v>59</v>
      </c>
      <c r="AF62" s="7" t="s">
        <v>73</v>
      </c>
      <c r="AG62" s="7" t="s">
        <v>225</v>
      </c>
      <c r="AH62" s="7" t="n">
        <v>14327</v>
      </c>
      <c r="AI62" s="8" t="n">
        <f aca="false">(AH62/P62)*100</f>
        <v>7.21526955908645</v>
      </c>
      <c r="AJ62" s="7" t="s">
        <v>57</v>
      </c>
      <c r="AK62" s="7" t="s">
        <v>57</v>
      </c>
      <c r="AL62" s="7" t="s">
        <v>423</v>
      </c>
      <c r="AM62" s="7" t="n">
        <v>10950</v>
      </c>
      <c r="AN62" s="8" t="n">
        <f aca="false">(AM62/P62)*100</f>
        <v>5.51456701835671</v>
      </c>
      <c r="AO62" s="7" t="s">
        <v>62</v>
      </c>
      <c r="AP62" s="7" t="s">
        <v>62</v>
      </c>
      <c r="AQ62" s="7" t="s">
        <v>62</v>
      </c>
      <c r="AR62" s="7" t="n">
        <v>2249</v>
      </c>
      <c r="AS62" s="8" t="n">
        <f aca="false">(AR62/P62)*100</f>
        <v>1.13262659582504</v>
      </c>
    </row>
    <row r="63" customFormat="false" ht="12.8" hidden="false" customHeight="false" outlineLevel="0" collapsed="false">
      <c r="A63" s="6" t="n">
        <v>62</v>
      </c>
      <c r="B63" s="7" t="s">
        <v>424</v>
      </c>
      <c r="C63" s="7" t="s">
        <v>425</v>
      </c>
      <c r="D63" s="7" t="s">
        <v>47</v>
      </c>
      <c r="E63" s="7" t="s">
        <v>288</v>
      </c>
      <c r="F63" s="7" t="s">
        <v>49</v>
      </c>
      <c r="G63" s="7" t="s">
        <v>64</v>
      </c>
      <c r="H63" s="7" t="s">
        <v>50</v>
      </c>
      <c r="I63" s="7" t="s">
        <v>50</v>
      </c>
      <c r="J63" s="7" t="s">
        <v>50</v>
      </c>
      <c r="K63" s="7" t="s">
        <v>67</v>
      </c>
      <c r="L63" s="7" t="s">
        <v>50</v>
      </c>
      <c r="M63" s="7" t="s">
        <v>50</v>
      </c>
      <c r="N63" s="7" t="s">
        <v>50</v>
      </c>
      <c r="O63" s="7" t="n">
        <v>275419</v>
      </c>
      <c r="P63" s="7" t="n">
        <v>223950</v>
      </c>
      <c r="Q63" s="8" t="n">
        <f aca="false">(P63/O63)*100</f>
        <v>81.3124729956902</v>
      </c>
      <c r="R63" s="7" t="n">
        <f aca="false">X63-AC63</f>
        <v>11570</v>
      </c>
      <c r="S63" s="8" t="n">
        <f aca="false">(R63/P63)*100</f>
        <v>5.16633177048448</v>
      </c>
      <c r="T63" s="8" t="n">
        <f aca="false">Y63+AD63</f>
        <v>91.3561062737218</v>
      </c>
      <c r="U63" s="7" t="s">
        <v>51</v>
      </c>
      <c r="V63" s="7" t="s">
        <v>52</v>
      </c>
      <c r="W63" s="7" t="s">
        <v>426</v>
      </c>
      <c r="X63" s="7" t="n">
        <v>108081</v>
      </c>
      <c r="Y63" s="8" t="n">
        <f aca="false">(X63/P63)*100</f>
        <v>48.2612190221032</v>
      </c>
      <c r="Z63" s="7" t="s">
        <v>54</v>
      </c>
      <c r="AA63" s="7" t="s">
        <v>67</v>
      </c>
      <c r="AB63" s="7" t="s">
        <v>427</v>
      </c>
      <c r="AC63" s="7" t="n">
        <v>96511</v>
      </c>
      <c r="AD63" s="8" t="n">
        <f aca="false">(AC63/P63)*100</f>
        <v>43.0948872516187</v>
      </c>
      <c r="AE63" s="7" t="s">
        <v>57</v>
      </c>
      <c r="AF63" s="7" t="s">
        <v>57</v>
      </c>
      <c r="AG63" s="7" t="s">
        <v>428</v>
      </c>
      <c r="AH63" s="7" t="n">
        <v>12080</v>
      </c>
      <c r="AI63" s="8" t="n">
        <f aca="false">(AH63/P63)*100</f>
        <v>5.39406117436928</v>
      </c>
      <c r="AJ63" s="7" t="s">
        <v>59</v>
      </c>
      <c r="AK63" s="7" t="s">
        <v>60</v>
      </c>
      <c r="AL63" s="7" t="s">
        <v>429</v>
      </c>
      <c r="AM63" s="7" t="n">
        <v>2769</v>
      </c>
      <c r="AN63" s="8" t="n">
        <f aca="false">(AM63/P63)*100</f>
        <v>1.23643670462157</v>
      </c>
      <c r="AO63" s="7" t="s">
        <v>70</v>
      </c>
      <c r="AP63" s="13" t="s">
        <v>178</v>
      </c>
      <c r="AQ63" s="7" t="s">
        <v>430</v>
      </c>
      <c r="AR63" s="7" t="n">
        <v>828</v>
      </c>
      <c r="AS63" s="8" t="n">
        <f aca="false">(AR63/P63)*100</f>
        <v>0.36972538513061</v>
      </c>
    </row>
    <row r="64" customFormat="false" ht="12.8" hidden="false" customHeight="false" outlineLevel="0" collapsed="false">
      <c r="A64" s="6" t="n">
        <v>63</v>
      </c>
      <c r="B64" s="7" t="s">
        <v>425</v>
      </c>
      <c r="C64" s="7" t="s">
        <v>425</v>
      </c>
      <c r="D64" s="7" t="s">
        <v>47</v>
      </c>
      <c r="E64" s="7" t="s">
        <v>288</v>
      </c>
      <c r="F64" s="7" t="s">
        <v>87</v>
      </c>
      <c r="G64" s="7" t="s">
        <v>50</v>
      </c>
      <c r="H64" s="7" t="s">
        <v>50</v>
      </c>
      <c r="I64" s="7" t="s">
        <v>50</v>
      </c>
      <c r="J64" s="7" t="s">
        <v>52</v>
      </c>
      <c r="K64" s="7" t="s">
        <v>52</v>
      </c>
      <c r="L64" s="7" t="s">
        <v>52</v>
      </c>
      <c r="M64" s="7" t="s">
        <v>50</v>
      </c>
      <c r="N64" s="7" t="s">
        <v>50</v>
      </c>
      <c r="O64" s="7" t="n">
        <v>286589</v>
      </c>
      <c r="P64" s="7" t="n">
        <v>208836</v>
      </c>
      <c r="Q64" s="8" t="n">
        <f aca="false">(P64/O64)*100</f>
        <v>72.8695099951499</v>
      </c>
      <c r="R64" s="7" t="n">
        <f aca="false">X64-AC64</f>
        <v>94673</v>
      </c>
      <c r="S64" s="8" t="n">
        <f aca="false">(R64/P64)*100</f>
        <v>45.333658947691</v>
      </c>
      <c r="T64" s="8" t="n">
        <f aca="false">Y64+AD64</f>
        <v>86.7087092263786</v>
      </c>
      <c r="U64" s="7" t="s">
        <v>51</v>
      </c>
      <c r="V64" s="7" t="s">
        <v>52</v>
      </c>
      <c r="W64" s="7" t="s">
        <v>431</v>
      </c>
      <c r="X64" s="7" t="n">
        <v>137876</v>
      </c>
      <c r="Y64" s="8" t="n">
        <f aca="false">(X64/P64)*100</f>
        <v>66.0211840870348</v>
      </c>
      <c r="Z64" s="7" t="s">
        <v>54</v>
      </c>
      <c r="AA64" s="7" t="s">
        <v>170</v>
      </c>
      <c r="AB64" s="7" t="s">
        <v>432</v>
      </c>
      <c r="AC64" s="7" t="n">
        <v>43203</v>
      </c>
      <c r="AD64" s="8" t="n">
        <f aca="false">(AC64/P64)*100</f>
        <v>20.6875251393438</v>
      </c>
      <c r="AE64" s="7" t="s">
        <v>57</v>
      </c>
      <c r="AF64" s="7" t="s">
        <v>57</v>
      </c>
      <c r="AG64" s="7" t="s">
        <v>433</v>
      </c>
      <c r="AH64" s="7" t="n">
        <v>13995</v>
      </c>
      <c r="AI64" s="8" t="n">
        <f aca="false">(AH64/P64)*100</f>
        <v>6.70143078779521</v>
      </c>
      <c r="AJ64" s="7" t="s">
        <v>70</v>
      </c>
      <c r="AK64" s="7" t="s">
        <v>71</v>
      </c>
      <c r="AL64" s="7" t="s">
        <v>434</v>
      </c>
      <c r="AM64" s="7" t="n">
        <v>6246</v>
      </c>
      <c r="AN64" s="8" t="n">
        <f aca="false">(AM64/P64)*100</f>
        <v>2.99086364419928</v>
      </c>
      <c r="AO64" s="7" t="s">
        <v>62</v>
      </c>
      <c r="AP64" s="7" t="s">
        <v>62</v>
      </c>
      <c r="AQ64" s="7" t="s">
        <v>62</v>
      </c>
      <c r="AR64" s="7" t="n">
        <v>2194</v>
      </c>
      <c r="AS64" s="8" t="n">
        <f aca="false">(AR64/P64)*100</f>
        <v>1.05058514815453</v>
      </c>
    </row>
    <row r="65" customFormat="false" ht="12.8" hidden="false" customHeight="false" outlineLevel="0" collapsed="false">
      <c r="A65" s="6" t="n">
        <v>64</v>
      </c>
      <c r="B65" s="7" t="s">
        <v>435</v>
      </c>
      <c r="C65" s="7" t="s">
        <v>425</v>
      </c>
      <c r="D65" s="7" t="s">
        <v>47</v>
      </c>
      <c r="E65" s="7" t="s">
        <v>288</v>
      </c>
      <c r="F65" s="7" t="s">
        <v>49</v>
      </c>
      <c r="G65" s="7" t="s">
        <v>50</v>
      </c>
      <c r="H65" s="7" t="s">
        <v>50</v>
      </c>
      <c r="I65" s="7" t="s">
        <v>50</v>
      </c>
      <c r="J65" s="7" t="s">
        <v>50</v>
      </c>
      <c r="K65" s="7" t="s">
        <v>50</v>
      </c>
      <c r="L65" s="7" t="s">
        <v>50</v>
      </c>
      <c r="M65" s="7" t="s">
        <v>50</v>
      </c>
      <c r="N65" s="7" t="s">
        <v>50</v>
      </c>
      <c r="O65" s="7" t="n">
        <v>253562</v>
      </c>
      <c r="P65" s="7" t="n">
        <v>203886</v>
      </c>
      <c r="Q65" s="8" t="n">
        <f aca="false">(P65/O65)*100</f>
        <v>80.4087363248436</v>
      </c>
      <c r="R65" s="7" t="n">
        <f aca="false">X65-AC65</f>
        <v>26787</v>
      </c>
      <c r="S65" s="8" t="n">
        <f aca="false">(R65/P65)*100</f>
        <v>13.1382243018157</v>
      </c>
      <c r="T65" s="8" t="n">
        <f aca="false">Y65+AD65</f>
        <v>89.5417046781044</v>
      </c>
      <c r="U65" s="7" t="s">
        <v>51</v>
      </c>
      <c r="V65" s="7" t="s">
        <v>52</v>
      </c>
      <c r="W65" s="7" t="s">
        <v>436</v>
      </c>
      <c r="X65" s="7" t="n">
        <v>104675</v>
      </c>
      <c r="Y65" s="8" t="n">
        <f aca="false">(X65/P65)*100</f>
        <v>51.3399644899601</v>
      </c>
      <c r="Z65" s="7" t="s">
        <v>54</v>
      </c>
      <c r="AA65" s="7" t="s">
        <v>55</v>
      </c>
      <c r="AB65" s="7" t="s">
        <v>437</v>
      </c>
      <c r="AC65" s="7" t="n">
        <v>77888</v>
      </c>
      <c r="AD65" s="8" t="n">
        <f aca="false">(AC65/P65)*100</f>
        <v>38.2017401881444</v>
      </c>
      <c r="AE65" s="7" t="s">
        <v>57</v>
      </c>
      <c r="AF65" s="7" t="s">
        <v>57</v>
      </c>
      <c r="AG65" s="7" t="s">
        <v>438</v>
      </c>
      <c r="AH65" s="7" t="n">
        <v>11541</v>
      </c>
      <c r="AI65" s="8" t="n">
        <f aca="false">(AH65/P65)*100</f>
        <v>5.66051617080133</v>
      </c>
      <c r="AJ65" s="7" t="s">
        <v>59</v>
      </c>
      <c r="AK65" s="7" t="s">
        <v>73</v>
      </c>
      <c r="AL65" s="7" t="s">
        <v>317</v>
      </c>
      <c r="AM65" s="7" t="n">
        <v>2191</v>
      </c>
      <c r="AN65" s="8" t="n">
        <f aca="false">(AM65/P65)*100</f>
        <v>1.07462013085744</v>
      </c>
      <c r="AO65" s="7" t="s">
        <v>70</v>
      </c>
      <c r="AP65" s="7" t="s">
        <v>71</v>
      </c>
      <c r="AQ65" s="7" t="s">
        <v>439</v>
      </c>
      <c r="AR65" s="7" t="n">
        <v>1437</v>
      </c>
      <c r="AS65" s="8" t="n">
        <f aca="false">(AR65/P65)*100</f>
        <v>0.704805626673729</v>
      </c>
    </row>
    <row r="66" customFormat="false" ht="12.8" hidden="false" customHeight="false" outlineLevel="0" collapsed="false">
      <c r="A66" s="6" t="n">
        <v>65</v>
      </c>
      <c r="B66" s="7" t="s">
        <v>440</v>
      </c>
      <c r="C66" s="7" t="s">
        <v>425</v>
      </c>
      <c r="D66" s="7" t="s">
        <v>47</v>
      </c>
      <c r="E66" s="7" t="s">
        <v>288</v>
      </c>
      <c r="F66" s="7" t="s">
        <v>49</v>
      </c>
      <c r="G66" s="7" t="s">
        <v>50</v>
      </c>
      <c r="H66" s="7" t="s">
        <v>50</v>
      </c>
      <c r="I66" s="7" t="s">
        <v>50</v>
      </c>
      <c r="J66" s="7" t="s">
        <v>50</v>
      </c>
      <c r="K66" s="12" t="s">
        <v>52</v>
      </c>
      <c r="L66" s="7" t="s">
        <v>50</v>
      </c>
      <c r="M66" s="7" t="s">
        <v>67</v>
      </c>
      <c r="N66" s="7" t="s">
        <v>50</v>
      </c>
      <c r="O66" s="7" t="n">
        <v>243655</v>
      </c>
      <c r="P66" s="7" t="n">
        <v>196434</v>
      </c>
      <c r="Q66" s="8" t="n">
        <f aca="false">(P66/O66)*100</f>
        <v>80.6197287147812</v>
      </c>
      <c r="R66" s="7" t="n">
        <f aca="false">X66-AC66</f>
        <v>9222</v>
      </c>
      <c r="S66" s="8" t="n">
        <f aca="false">(R66/P66)*100</f>
        <v>4.69470661901707</v>
      </c>
      <c r="T66" s="8" t="n">
        <f aca="false">Y66+AD66</f>
        <v>91.1481719050674</v>
      </c>
      <c r="U66" s="7" t="s">
        <v>51</v>
      </c>
      <c r="V66" s="7" t="s">
        <v>52</v>
      </c>
      <c r="W66" s="7" t="s">
        <v>441</v>
      </c>
      <c r="X66" s="7" t="n">
        <v>94134</v>
      </c>
      <c r="Y66" s="8" t="n">
        <f aca="false">(X66/P66)*100</f>
        <v>47.9214392620422</v>
      </c>
      <c r="Z66" s="7" t="s">
        <v>54</v>
      </c>
      <c r="AA66" s="7" t="s">
        <v>67</v>
      </c>
      <c r="AB66" s="7" t="s">
        <v>442</v>
      </c>
      <c r="AC66" s="7" t="n">
        <v>84912</v>
      </c>
      <c r="AD66" s="8" t="n">
        <f aca="false">(AC66/P66)*100</f>
        <v>43.2267326430251</v>
      </c>
      <c r="AE66" s="7" t="s">
        <v>57</v>
      </c>
      <c r="AF66" s="7" t="s">
        <v>57</v>
      </c>
      <c r="AG66" s="7" t="s">
        <v>443</v>
      </c>
      <c r="AH66" s="7" t="n">
        <v>8822</v>
      </c>
      <c r="AI66" s="8" t="n">
        <f aca="false">(AH66/P66)*100</f>
        <v>4.49107588299378</v>
      </c>
      <c r="AJ66" s="7" t="s">
        <v>59</v>
      </c>
      <c r="AK66" s="7" t="s">
        <v>60</v>
      </c>
      <c r="AL66" s="7" t="s">
        <v>444</v>
      </c>
      <c r="AM66" s="7" t="n">
        <v>2756</v>
      </c>
      <c r="AN66" s="8" t="n">
        <f aca="false">(AM66/P66)*100</f>
        <v>1.40301577120051</v>
      </c>
      <c r="AO66" s="7" t="s">
        <v>62</v>
      </c>
      <c r="AP66" s="7" t="s">
        <v>62</v>
      </c>
      <c r="AQ66" s="7" t="s">
        <v>62</v>
      </c>
      <c r="AR66" s="7" t="n">
        <v>1595</v>
      </c>
      <c r="AS66" s="8" t="n">
        <f aca="false">(AR66/P66)*100</f>
        <v>0.81197755989289</v>
      </c>
    </row>
    <row r="67" customFormat="false" ht="12.8" hidden="false" customHeight="false" outlineLevel="0" collapsed="false">
      <c r="A67" s="6" t="n">
        <v>66</v>
      </c>
      <c r="B67" s="7" t="s">
        <v>445</v>
      </c>
      <c r="C67" s="7" t="s">
        <v>425</v>
      </c>
      <c r="D67" s="7" t="s">
        <v>47</v>
      </c>
      <c r="E67" s="7" t="s">
        <v>288</v>
      </c>
      <c r="F67" s="7" t="s">
        <v>49</v>
      </c>
      <c r="G67" s="7" t="s">
        <v>50</v>
      </c>
      <c r="H67" s="7" t="s">
        <v>50</v>
      </c>
      <c r="I67" s="7" t="s">
        <v>50</v>
      </c>
      <c r="J67" s="7" t="s">
        <v>50</v>
      </c>
      <c r="K67" s="7" t="s">
        <v>50</v>
      </c>
      <c r="L67" s="7" t="s">
        <v>50</v>
      </c>
      <c r="M67" s="7" t="s">
        <v>50</v>
      </c>
      <c r="N67" s="7" t="s">
        <v>50</v>
      </c>
      <c r="O67" s="7" t="n">
        <v>245195</v>
      </c>
      <c r="P67" s="7" t="n">
        <v>202012</v>
      </c>
      <c r="Q67" s="8" t="n">
        <f aca="false">(P67/O67)*100</f>
        <v>82.3883031872591</v>
      </c>
      <c r="R67" s="7" t="n">
        <f aca="false">X67-AC67</f>
        <v>9725</v>
      </c>
      <c r="S67" s="8" t="n">
        <f aca="false">(R67/P67)*100</f>
        <v>4.81407045126032</v>
      </c>
      <c r="T67" s="8" t="n">
        <f aca="false">Y67+AD67</f>
        <v>91.9445379482407</v>
      </c>
      <c r="U67" s="7" t="s">
        <v>54</v>
      </c>
      <c r="V67" s="7" t="s">
        <v>67</v>
      </c>
      <c r="W67" s="7" t="s">
        <v>446</v>
      </c>
      <c r="X67" s="7" t="n">
        <v>97732</v>
      </c>
      <c r="Y67" s="8" t="n">
        <f aca="false">(X67/P67)*100</f>
        <v>48.3793041997505</v>
      </c>
      <c r="Z67" s="7" t="s">
        <v>51</v>
      </c>
      <c r="AA67" s="7" t="s">
        <v>52</v>
      </c>
      <c r="AB67" s="7" t="s">
        <v>447</v>
      </c>
      <c r="AC67" s="7" t="n">
        <v>88007</v>
      </c>
      <c r="AD67" s="8" t="n">
        <f aca="false">(AC67/P67)*100</f>
        <v>43.5652337484902</v>
      </c>
      <c r="AE67" s="7" t="s">
        <v>57</v>
      </c>
      <c r="AF67" s="7" t="s">
        <v>57</v>
      </c>
      <c r="AG67" s="7" t="s">
        <v>448</v>
      </c>
      <c r="AH67" s="7" t="n">
        <v>10197</v>
      </c>
      <c r="AI67" s="8" t="n">
        <f aca="false">(AH67/P67)*100</f>
        <v>5.04771993742946</v>
      </c>
      <c r="AJ67" s="7" t="s">
        <v>70</v>
      </c>
      <c r="AK67" s="7" t="s">
        <v>71</v>
      </c>
      <c r="AL67" s="7" t="s">
        <v>449</v>
      </c>
      <c r="AM67" s="7" t="n">
        <v>1580</v>
      </c>
      <c r="AN67" s="8" t="n">
        <f aca="false">(AM67/P67)*100</f>
        <v>0.782131754549235</v>
      </c>
      <c r="AO67" s="7" t="s">
        <v>196</v>
      </c>
      <c r="AP67" s="7" t="s">
        <v>196</v>
      </c>
      <c r="AQ67" s="7" t="s">
        <v>450</v>
      </c>
      <c r="AR67" s="7" t="n">
        <v>1188</v>
      </c>
      <c r="AS67" s="8" t="n">
        <f aca="false">(AR67/P67)*100</f>
        <v>0.588083876205374</v>
      </c>
    </row>
    <row r="68" customFormat="false" ht="12.8" hidden="false" customHeight="false" outlineLevel="0" collapsed="false">
      <c r="A68" s="6" t="n">
        <v>67</v>
      </c>
      <c r="B68" s="7" t="s">
        <v>451</v>
      </c>
      <c r="C68" s="7" t="s">
        <v>425</v>
      </c>
      <c r="D68" s="7" t="s">
        <v>47</v>
      </c>
      <c r="E68" s="7" t="s">
        <v>288</v>
      </c>
      <c r="F68" s="7" t="s">
        <v>76</v>
      </c>
      <c r="G68" s="7" t="s">
        <v>50</v>
      </c>
      <c r="H68" s="7" t="s">
        <v>50</v>
      </c>
      <c r="I68" s="7" t="s">
        <v>50</v>
      </c>
      <c r="J68" s="7" t="s">
        <v>50</v>
      </c>
      <c r="K68" s="7" t="s">
        <v>50</v>
      </c>
      <c r="L68" s="7" t="s">
        <v>50</v>
      </c>
      <c r="M68" s="7" t="s">
        <v>50</v>
      </c>
      <c r="N68" s="7" t="s">
        <v>50</v>
      </c>
      <c r="O68" s="7" t="n">
        <v>277727</v>
      </c>
      <c r="P68" s="7" t="n">
        <v>221422</v>
      </c>
      <c r="Q68" s="8" t="n">
        <f aca="false">(P68/O68)*100</f>
        <v>79.7264940031038</v>
      </c>
      <c r="R68" s="7" t="n">
        <f aca="false">X68-AC68</f>
        <v>3128</v>
      </c>
      <c r="S68" s="8" t="n">
        <f aca="false">(R68/P68)*100</f>
        <v>1.4126870861974</v>
      </c>
      <c r="T68" s="8" t="n">
        <f aca="false">Y68+AD68</f>
        <v>91.5871051657017</v>
      </c>
      <c r="U68" s="7" t="s">
        <v>54</v>
      </c>
      <c r="V68" s="7" t="s">
        <v>67</v>
      </c>
      <c r="W68" s="7" t="s">
        <v>452</v>
      </c>
      <c r="X68" s="7" t="n">
        <v>102961</v>
      </c>
      <c r="Y68" s="8" t="n">
        <f aca="false">(X68/P68)*100</f>
        <v>46.4998961259496</v>
      </c>
      <c r="Z68" s="7" t="s">
        <v>51</v>
      </c>
      <c r="AA68" s="7" t="s">
        <v>52</v>
      </c>
      <c r="AB68" s="7" t="s">
        <v>453</v>
      </c>
      <c r="AC68" s="7" t="n">
        <v>99833</v>
      </c>
      <c r="AD68" s="8" t="n">
        <f aca="false">(AC68/P68)*100</f>
        <v>45.0872090397521</v>
      </c>
      <c r="AE68" s="7" t="s">
        <v>57</v>
      </c>
      <c r="AF68" s="7" t="s">
        <v>57</v>
      </c>
      <c r="AG68" s="7" t="s">
        <v>454</v>
      </c>
      <c r="AH68" s="7" t="n">
        <v>10491</v>
      </c>
      <c r="AI68" s="8" t="n">
        <f aca="false">(AH68/P68)*100</f>
        <v>4.7380115796985</v>
      </c>
      <c r="AJ68" s="7" t="s">
        <v>70</v>
      </c>
      <c r="AK68" s="7" t="s">
        <v>71</v>
      </c>
      <c r="AL68" s="7" t="s">
        <v>455</v>
      </c>
      <c r="AM68" s="7" t="n">
        <v>2213</v>
      </c>
      <c r="AN68" s="8" t="n">
        <f aca="false">(AM68/P68)*100</f>
        <v>0.999449015906279</v>
      </c>
      <c r="AO68" s="10" t="s">
        <v>59</v>
      </c>
      <c r="AP68" s="7" t="s">
        <v>60</v>
      </c>
      <c r="AQ68" s="7" t="s">
        <v>456</v>
      </c>
      <c r="AR68" s="7" t="n">
        <v>1861</v>
      </c>
      <c r="AS68" s="8" t="n">
        <f aca="false">(AR68/P68)*100</f>
        <v>0.840476556078438</v>
      </c>
    </row>
    <row r="69" customFormat="false" ht="12.8" hidden="false" customHeight="false" outlineLevel="0" collapsed="false">
      <c r="A69" s="6" t="n">
        <v>68</v>
      </c>
      <c r="B69" s="7" t="s">
        <v>457</v>
      </c>
      <c r="C69" s="7" t="s">
        <v>425</v>
      </c>
      <c r="D69" s="7" t="s">
        <v>47</v>
      </c>
      <c r="E69" s="7" t="s">
        <v>288</v>
      </c>
      <c r="F69" s="7" t="s">
        <v>76</v>
      </c>
      <c r="G69" s="7" t="s">
        <v>50</v>
      </c>
      <c r="H69" s="7" t="s">
        <v>50</v>
      </c>
      <c r="I69" s="7" t="s">
        <v>50</v>
      </c>
      <c r="J69" s="7" t="s">
        <v>50</v>
      </c>
      <c r="K69" s="7" t="s">
        <v>52</v>
      </c>
      <c r="L69" s="7" t="s">
        <v>50</v>
      </c>
      <c r="M69" s="7" t="s">
        <v>52</v>
      </c>
      <c r="N69" s="7" t="s">
        <v>50</v>
      </c>
      <c r="O69" s="7" t="n">
        <v>259890</v>
      </c>
      <c r="P69" s="7" t="n">
        <v>214460</v>
      </c>
      <c r="Q69" s="8" t="n">
        <f aca="false">(P69/O69)*100</f>
        <v>82.5195274924006</v>
      </c>
      <c r="R69" s="7" t="n">
        <f aca="false">X69-AC69</f>
        <v>12271</v>
      </c>
      <c r="S69" s="8" t="n">
        <f aca="false">(R69/P69)*100</f>
        <v>5.72181292548727</v>
      </c>
      <c r="T69" s="8" t="n">
        <f aca="false">Y69+AD69</f>
        <v>89.8298050918586</v>
      </c>
      <c r="U69" s="7" t="s">
        <v>51</v>
      </c>
      <c r="V69" s="7" t="s">
        <v>52</v>
      </c>
      <c r="W69" s="7" t="s">
        <v>458</v>
      </c>
      <c r="X69" s="7" t="n">
        <v>102460</v>
      </c>
      <c r="Y69" s="8" t="n">
        <f aca="false">(X69/P69)*100</f>
        <v>47.775809008673</v>
      </c>
      <c r="Z69" s="7" t="s">
        <v>54</v>
      </c>
      <c r="AA69" s="7" t="s">
        <v>67</v>
      </c>
      <c r="AB69" s="7" t="s">
        <v>459</v>
      </c>
      <c r="AC69" s="7" t="n">
        <v>90189</v>
      </c>
      <c r="AD69" s="8" t="n">
        <f aca="false">(AC69/P69)*100</f>
        <v>42.0539960831857</v>
      </c>
      <c r="AE69" s="7" t="s">
        <v>57</v>
      </c>
      <c r="AF69" s="7" t="s">
        <v>57</v>
      </c>
      <c r="AG69" s="7" t="s">
        <v>460</v>
      </c>
      <c r="AH69" s="7" t="n">
        <v>12192</v>
      </c>
      <c r="AI69" s="8" t="n">
        <f aca="false">(AH69/P69)*100</f>
        <v>5.6849762193416</v>
      </c>
      <c r="AJ69" s="7" t="s">
        <v>70</v>
      </c>
      <c r="AK69" s="7" t="s">
        <v>71</v>
      </c>
      <c r="AL69" s="7" t="s">
        <v>461</v>
      </c>
      <c r="AM69" s="7" t="n">
        <v>2429</v>
      </c>
      <c r="AN69" s="8" t="n">
        <f aca="false">(AM69/P69)*100</f>
        <v>1.13261214212441</v>
      </c>
      <c r="AO69" s="7" t="s">
        <v>62</v>
      </c>
      <c r="AP69" s="7" t="s">
        <v>62</v>
      </c>
      <c r="AQ69" s="7" t="s">
        <v>62</v>
      </c>
      <c r="AR69" s="7" t="n">
        <v>1895</v>
      </c>
      <c r="AS69" s="8" t="n">
        <f aca="false">(AR69/P69)*100</f>
        <v>0.883614660076471</v>
      </c>
    </row>
    <row r="70" customFormat="false" ht="12.8" hidden="false" customHeight="false" outlineLevel="0" collapsed="false">
      <c r="A70" s="6" t="n">
        <v>69</v>
      </c>
      <c r="B70" s="7" t="s">
        <v>462</v>
      </c>
      <c r="C70" s="7" t="s">
        <v>425</v>
      </c>
      <c r="D70" s="7" t="s">
        <v>47</v>
      </c>
      <c r="E70" s="7" t="s">
        <v>288</v>
      </c>
      <c r="F70" s="7" t="s">
        <v>76</v>
      </c>
      <c r="G70" s="7" t="s">
        <v>64</v>
      </c>
      <c r="H70" s="7" t="s">
        <v>50</v>
      </c>
      <c r="I70" s="7" t="s">
        <v>50</v>
      </c>
      <c r="J70" s="7" t="s">
        <v>50</v>
      </c>
      <c r="K70" s="7" t="s">
        <v>50</v>
      </c>
      <c r="L70" s="7" t="s">
        <v>50</v>
      </c>
      <c r="M70" s="7" t="s">
        <v>50</v>
      </c>
      <c r="N70" s="7" t="s">
        <v>50</v>
      </c>
      <c r="O70" s="7" t="n">
        <v>240654</v>
      </c>
      <c r="P70" s="7" t="n">
        <v>185974</v>
      </c>
      <c r="Q70" s="8" t="n">
        <f aca="false">(P70/O70)*100</f>
        <v>77.2785825292744</v>
      </c>
      <c r="R70" s="7" t="n">
        <f aca="false">X70-AC70</f>
        <v>35953</v>
      </c>
      <c r="S70" s="8" t="n">
        <f aca="false">(R70/P70)*100</f>
        <v>19.3322722531107</v>
      </c>
      <c r="T70" s="8" t="n">
        <f aca="false">Y70+AD70</f>
        <v>90.429307322529</v>
      </c>
      <c r="U70" s="7" t="s">
        <v>51</v>
      </c>
      <c r="V70" s="7" t="s">
        <v>52</v>
      </c>
      <c r="W70" s="7" t="s">
        <v>463</v>
      </c>
      <c r="X70" s="7" t="n">
        <v>102064</v>
      </c>
      <c r="Y70" s="8" t="n">
        <f aca="false">(X70/P70)*100</f>
        <v>54.8807897878198</v>
      </c>
      <c r="Z70" s="7" t="s">
        <v>54</v>
      </c>
      <c r="AA70" s="7" t="s">
        <v>55</v>
      </c>
      <c r="AB70" s="7" t="s">
        <v>464</v>
      </c>
      <c r="AC70" s="7" t="n">
        <v>66111</v>
      </c>
      <c r="AD70" s="8" t="n">
        <f aca="false">(AC70/P70)*100</f>
        <v>35.5485175347092</v>
      </c>
      <c r="AE70" s="7" t="s">
        <v>57</v>
      </c>
      <c r="AF70" s="7" t="s">
        <v>57</v>
      </c>
      <c r="AG70" s="7" t="s">
        <v>465</v>
      </c>
      <c r="AH70" s="7" t="n">
        <v>9284</v>
      </c>
      <c r="AI70" s="8" t="n">
        <f aca="false">(AH70/P70)*100</f>
        <v>4.99209566928711</v>
      </c>
      <c r="AJ70" s="7" t="s">
        <v>62</v>
      </c>
      <c r="AK70" s="7" t="s">
        <v>62</v>
      </c>
      <c r="AL70" s="7" t="s">
        <v>62</v>
      </c>
      <c r="AM70" s="7" t="n">
        <v>1769</v>
      </c>
      <c r="AN70" s="8" t="n">
        <f aca="false">(AM70/P70)*100</f>
        <v>0.951208233408971</v>
      </c>
      <c r="AO70" s="10" t="s">
        <v>59</v>
      </c>
      <c r="AP70" s="7" t="s">
        <v>73</v>
      </c>
      <c r="AQ70" s="7" t="s">
        <v>466</v>
      </c>
      <c r="AR70" s="7" t="n">
        <v>1728</v>
      </c>
      <c r="AS70" s="8" t="n">
        <f aca="false">(AR70/P70)*100</f>
        <v>0.929162140944433</v>
      </c>
    </row>
    <row r="71" customFormat="false" ht="12.8" hidden="false" customHeight="false" outlineLevel="0" collapsed="false">
      <c r="A71" s="6" t="n">
        <v>70</v>
      </c>
      <c r="B71" s="7" t="s">
        <v>467</v>
      </c>
      <c r="C71" s="7" t="s">
        <v>468</v>
      </c>
      <c r="D71" s="7" t="s">
        <v>47</v>
      </c>
      <c r="E71" s="7" t="s">
        <v>469</v>
      </c>
      <c r="F71" s="7" t="s">
        <v>49</v>
      </c>
      <c r="G71" s="7" t="s">
        <v>50</v>
      </c>
      <c r="H71" s="7" t="s">
        <v>50</v>
      </c>
      <c r="I71" s="7" t="s">
        <v>50</v>
      </c>
      <c r="J71" s="7" t="s">
        <v>50</v>
      </c>
      <c r="K71" s="7" t="s">
        <v>52</v>
      </c>
      <c r="L71" s="7" t="s">
        <v>50</v>
      </c>
      <c r="M71" s="7" t="s">
        <v>52</v>
      </c>
      <c r="N71" s="7" t="s">
        <v>50</v>
      </c>
      <c r="O71" s="7" t="n">
        <v>261167</v>
      </c>
      <c r="P71" s="7" t="n">
        <v>206880</v>
      </c>
      <c r="Q71" s="8" t="n">
        <f aca="false">(P71/O71)*100</f>
        <v>79.2136831988728</v>
      </c>
      <c r="R71" s="7" t="n">
        <f aca="false">X71-AC71</f>
        <v>35803</v>
      </c>
      <c r="S71" s="8" t="n">
        <f aca="false">(R71/P71)*100</f>
        <v>17.3061678267595</v>
      </c>
      <c r="T71" s="8" t="n">
        <f aca="false">Y71+AD71</f>
        <v>88.6731438515081</v>
      </c>
      <c r="U71" s="7" t="s">
        <v>51</v>
      </c>
      <c r="V71" s="7" t="s">
        <v>52</v>
      </c>
      <c r="W71" s="7" t="s">
        <v>470</v>
      </c>
      <c r="X71" s="7" t="n">
        <v>109625</v>
      </c>
      <c r="Y71" s="8" t="n">
        <f aca="false">(X71/P71)*100</f>
        <v>52.9896558391338</v>
      </c>
      <c r="Z71" s="7" t="s">
        <v>54</v>
      </c>
      <c r="AA71" s="7" t="s">
        <v>55</v>
      </c>
      <c r="AB71" s="7" t="s">
        <v>471</v>
      </c>
      <c r="AC71" s="7" t="n">
        <v>73822</v>
      </c>
      <c r="AD71" s="8" t="n">
        <f aca="false">(AC71/P71)*100</f>
        <v>35.6834880123743</v>
      </c>
      <c r="AE71" s="7" t="s">
        <v>57</v>
      </c>
      <c r="AF71" s="7" t="s">
        <v>57</v>
      </c>
      <c r="AG71" s="7" t="s">
        <v>472</v>
      </c>
      <c r="AH71" s="7" t="n">
        <v>9920</v>
      </c>
      <c r="AI71" s="8" t="n">
        <f aca="false">(AH71/P71)*100</f>
        <v>4.79505027068832</v>
      </c>
      <c r="AJ71" s="7" t="s">
        <v>59</v>
      </c>
      <c r="AK71" s="7" t="s">
        <v>73</v>
      </c>
      <c r="AL71" s="7" t="s">
        <v>473</v>
      </c>
      <c r="AM71" s="7" t="n">
        <v>4811</v>
      </c>
      <c r="AN71" s="8" t="n">
        <f aca="false">(AM71/P71)*100</f>
        <v>2.32550270688322</v>
      </c>
      <c r="AO71" s="7" t="s">
        <v>62</v>
      </c>
      <c r="AP71" s="7" t="s">
        <v>62</v>
      </c>
      <c r="AQ71" s="7" t="s">
        <v>62</v>
      </c>
      <c r="AR71" s="7" t="n">
        <v>2279</v>
      </c>
      <c r="AS71" s="8" t="n">
        <f aca="false">(AR71/P71)*100</f>
        <v>1.10160479505027</v>
      </c>
    </row>
    <row r="72" customFormat="false" ht="12.8" hidden="false" customHeight="false" outlineLevel="0" collapsed="false">
      <c r="A72" s="6" t="n">
        <v>71</v>
      </c>
      <c r="B72" s="7" t="s">
        <v>474</v>
      </c>
      <c r="C72" s="7" t="s">
        <v>468</v>
      </c>
      <c r="D72" s="7" t="s">
        <v>47</v>
      </c>
      <c r="E72" s="7" t="s">
        <v>469</v>
      </c>
      <c r="F72" s="7" t="s">
        <v>49</v>
      </c>
      <c r="G72" s="7" t="s">
        <v>50</v>
      </c>
      <c r="H72" s="7" t="s">
        <v>50</v>
      </c>
      <c r="I72" s="7" t="s">
        <v>50</v>
      </c>
      <c r="J72" s="7" t="s">
        <v>50</v>
      </c>
      <c r="K72" s="7" t="s">
        <v>50</v>
      </c>
      <c r="L72" s="7" t="s">
        <v>50</v>
      </c>
      <c r="M72" s="7" t="s">
        <v>50</v>
      </c>
      <c r="N72" s="7" t="s">
        <v>50</v>
      </c>
      <c r="O72" s="7" t="n">
        <v>220324</v>
      </c>
      <c r="P72" s="7" t="n">
        <v>176989</v>
      </c>
      <c r="Q72" s="8" t="n">
        <f aca="false">(P72/O72)*100</f>
        <v>80.3312394473594</v>
      </c>
      <c r="R72" s="7" t="n">
        <f aca="false">X72-AC72</f>
        <v>2230</v>
      </c>
      <c r="S72" s="8" t="n">
        <f aca="false">(R72/P72)*100</f>
        <v>1.2599653085785</v>
      </c>
      <c r="T72" s="8" t="n">
        <f aca="false">Y72+AD72</f>
        <v>90.3208673985389</v>
      </c>
      <c r="U72" s="7" t="s">
        <v>54</v>
      </c>
      <c r="V72" s="7" t="s">
        <v>55</v>
      </c>
      <c r="W72" s="7" t="s">
        <v>475</v>
      </c>
      <c r="X72" s="7" t="n">
        <v>81044</v>
      </c>
      <c r="Y72" s="8" t="n">
        <f aca="false">(X72/P72)*100</f>
        <v>45.7904163535587</v>
      </c>
      <c r="Z72" s="7" t="s">
        <v>51</v>
      </c>
      <c r="AA72" s="7" t="s">
        <v>52</v>
      </c>
      <c r="AB72" s="7" t="s">
        <v>476</v>
      </c>
      <c r="AC72" s="7" t="n">
        <v>78814</v>
      </c>
      <c r="AD72" s="8" t="n">
        <f aca="false">(AC72/P72)*100</f>
        <v>44.5304510449802</v>
      </c>
      <c r="AE72" s="7" t="s">
        <v>57</v>
      </c>
      <c r="AF72" s="7" t="s">
        <v>57</v>
      </c>
      <c r="AG72" s="7" t="s">
        <v>477</v>
      </c>
      <c r="AH72" s="7" t="n">
        <v>8340</v>
      </c>
      <c r="AI72" s="8" t="n">
        <f aca="false">(AH72/P72)*100</f>
        <v>4.71215725271062</v>
      </c>
      <c r="AJ72" s="7" t="s">
        <v>59</v>
      </c>
      <c r="AK72" s="7" t="s">
        <v>60</v>
      </c>
      <c r="AL72" s="7" t="s">
        <v>478</v>
      </c>
      <c r="AM72" s="7" t="n">
        <v>3921</v>
      </c>
      <c r="AN72" s="8" t="n">
        <f aca="false">(AM72/P72)*100</f>
        <v>2.21539191701179</v>
      </c>
      <c r="AO72" s="7" t="s">
        <v>62</v>
      </c>
      <c r="AP72" s="7" t="s">
        <v>62</v>
      </c>
      <c r="AQ72" s="7" t="s">
        <v>62</v>
      </c>
      <c r="AR72" s="7" t="n">
        <v>884</v>
      </c>
      <c r="AS72" s="8" t="n">
        <f aca="false">(AR72/P72)*100</f>
        <v>0.499466068512732</v>
      </c>
    </row>
    <row r="73" customFormat="false" ht="12.8" hidden="false" customHeight="false" outlineLevel="0" collapsed="false">
      <c r="A73" s="6" t="n">
        <v>72</v>
      </c>
      <c r="B73" s="7" t="s">
        <v>479</v>
      </c>
      <c r="C73" s="7" t="s">
        <v>468</v>
      </c>
      <c r="D73" s="7" t="s">
        <v>47</v>
      </c>
      <c r="E73" s="7" t="s">
        <v>469</v>
      </c>
      <c r="F73" s="7" t="s">
        <v>76</v>
      </c>
      <c r="G73" s="7" t="s">
        <v>50</v>
      </c>
      <c r="H73" s="7" t="s">
        <v>50</v>
      </c>
      <c r="I73" s="7" t="s">
        <v>50</v>
      </c>
      <c r="J73" s="7" t="s">
        <v>50</v>
      </c>
      <c r="K73" s="7" t="s">
        <v>50</v>
      </c>
      <c r="L73" s="7" t="s">
        <v>50</v>
      </c>
      <c r="M73" s="7" t="s">
        <v>50</v>
      </c>
      <c r="N73" s="7" t="s">
        <v>50</v>
      </c>
      <c r="O73" s="7" t="n">
        <v>230570</v>
      </c>
      <c r="P73" s="7" t="n">
        <v>182538</v>
      </c>
      <c r="Q73" s="8" t="n">
        <f aca="false">(P73/O73)*100</f>
        <v>79.1681485015397</v>
      </c>
      <c r="R73" s="7" t="n">
        <f aca="false">X73-AC73</f>
        <v>9753</v>
      </c>
      <c r="S73" s="8" t="n">
        <f aca="false">(R73/P73)*100</f>
        <v>5.34299707458173</v>
      </c>
      <c r="T73" s="8" t="n">
        <f aca="false">Y73+AD73</f>
        <v>90.1461613472263</v>
      </c>
      <c r="U73" s="7" t="s">
        <v>54</v>
      </c>
      <c r="V73" s="7" t="s">
        <v>67</v>
      </c>
      <c r="W73" s="7" t="s">
        <v>480</v>
      </c>
      <c r="X73" s="7" t="n">
        <v>87152</v>
      </c>
      <c r="Y73" s="8" t="n">
        <f aca="false">(X73/P73)*100</f>
        <v>47.744579210904</v>
      </c>
      <c r="Z73" s="7" t="s">
        <v>51</v>
      </c>
      <c r="AA73" s="7" t="s">
        <v>52</v>
      </c>
      <c r="AB73" s="7" t="s">
        <v>481</v>
      </c>
      <c r="AC73" s="7" t="n">
        <v>77399</v>
      </c>
      <c r="AD73" s="8" t="n">
        <f aca="false">(AC73/P73)*100</f>
        <v>42.4015821363223</v>
      </c>
      <c r="AE73" s="7" t="s">
        <v>57</v>
      </c>
      <c r="AF73" s="7" t="s">
        <v>57</v>
      </c>
      <c r="AG73" s="7" t="s">
        <v>482</v>
      </c>
      <c r="AH73" s="7" t="n">
        <v>9203</v>
      </c>
      <c r="AI73" s="8" t="n">
        <f aca="false">(AH73/P73)*100</f>
        <v>5.04168994948997</v>
      </c>
      <c r="AJ73" s="7" t="s">
        <v>59</v>
      </c>
      <c r="AK73" s="7" t="s">
        <v>60</v>
      </c>
      <c r="AL73" s="7" t="s">
        <v>483</v>
      </c>
      <c r="AM73" s="7" t="n">
        <v>2701</v>
      </c>
      <c r="AN73" s="8" t="n">
        <f aca="false">(AM73/P73)*100</f>
        <v>1.47969189976882</v>
      </c>
      <c r="AO73" s="7" t="s">
        <v>70</v>
      </c>
      <c r="AP73" s="7" t="s">
        <v>71</v>
      </c>
      <c r="AQ73" s="7" t="s">
        <v>484</v>
      </c>
      <c r="AR73" s="7" t="n">
        <v>2079</v>
      </c>
      <c r="AS73" s="8" t="n">
        <f aca="false">(AR73/P73)*100</f>
        <v>1.13894093284686</v>
      </c>
    </row>
    <row r="74" customFormat="false" ht="12.8" hidden="false" customHeight="false" outlineLevel="0" collapsed="false">
      <c r="A74" s="6" t="n">
        <v>73</v>
      </c>
      <c r="B74" s="7" t="s">
        <v>485</v>
      </c>
      <c r="C74" s="7" t="s">
        <v>468</v>
      </c>
      <c r="D74" s="7" t="s">
        <v>47</v>
      </c>
      <c r="E74" s="7" t="s">
        <v>469</v>
      </c>
      <c r="F74" s="7" t="s">
        <v>49</v>
      </c>
      <c r="G74" s="7" t="s">
        <v>64</v>
      </c>
      <c r="H74" s="7" t="s">
        <v>50</v>
      </c>
      <c r="I74" s="7" t="s">
        <v>50</v>
      </c>
      <c r="J74" s="7" t="s">
        <v>50</v>
      </c>
      <c r="K74" s="7" t="s">
        <v>50</v>
      </c>
      <c r="L74" s="7" t="s">
        <v>67</v>
      </c>
      <c r="M74" s="7" t="s">
        <v>52</v>
      </c>
      <c r="N74" s="7" t="s">
        <v>50</v>
      </c>
      <c r="O74" s="7" t="n">
        <v>226608</v>
      </c>
      <c r="P74" s="7" t="n">
        <v>182208</v>
      </c>
      <c r="Q74" s="8" t="n">
        <f aca="false">(P74/O74)*100</f>
        <v>80.4066934971404</v>
      </c>
      <c r="R74" s="7" t="n">
        <f aca="false">X74-AC74</f>
        <v>21727</v>
      </c>
      <c r="S74" s="8" t="n">
        <f aca="false">(R74/P74)*100</f>
        <v>11.9242843343871</v>
      </c>
      <c r="T74" s="8" t="n">
        <f aca="false">Y74+AD74</f>
        <v>89.2995916754478</v>
      </c>
      <c r="U74" s="7" t="s">
        <v>54</v>
      </c>
      <c r="V74" s="7" t="s">
        <v>67</v>
      </c>
      <c r="W74" s="7" t="s">
        <v>486</v>
      </c>
      <c r="X74" s="7" t="n">
        <v>92219</v>
      </c>
      <c r="Y74" s="8" t="n">
        <f aca="false">(X74/P74)*100</f>
        <v>50.6119380049175</v>
      </c>
      <c r="Z74" s="7" t="s">
        <v>51</v>
      </c>
      <c r="AA74" s="7" t="s">
        <v>256</v>
      </c>
      <c r="AB74" s="7" t="s">
        <v>487</v>
      </c>
      <c r="AC74" s="7" t="n">
        <v>70492</v>
      </c>
      <c r="AD74" s="8" t="n">
        <f aca="false">(AC74/P74)*100</f>
        <v>38.6876536705304</v>
      </c>
      <c r="AE74" s="7" t="s">
        <v>57</v>
      </c>
      <c r="AF74" s="7" t="s">
        <v>57</v>
      </c>
      <c r="AG74" s="7" t="s">
        <v>488</v>
      </c>
      <c r="AH74" s="7" t="n">
        <v>8587</v>
      </c>
      <c r="AI74" s="8" t="n">
        <f aca="false">(AH74/P74)*100</f>
        <v>4.71274587284861</v>
      </c>
      <c r="AJ74" s="7" t="s">
        <v>59</v>
      </c>
      <c r="AK74" s="7" t="s">
        <v>60</v>
      </c>
      <c r="AL74" s="7" t="s">
        <v>489</v>
      </c>
      <c r="AM74" s="7" t="n">
        <v>5460</v>
      </c>
      <c r="AN74" s="8" t="n">
        <f aca="false">(AM74/P74)*100</f>
        <v>2.99657534246575</v>
      </c>
      <c r="AO74" s="7" t="s">
        <v>70</v>
      </c>
      <c r="AP74" s="7" t="s">
        <v>71</v>
      </c>
      <c r="AQ74" s="7" t="s">
        <v>490</v>
      </c>
      <c r="AR74" s="7" t="n">
        <v>2500</v>
      </c>
      <c r="AS74" s="8" t="n">
        <f aca="false">(AR74/P74)*100</f>
        <v>1.37205830698981</v>
      </c>
    </row>
    <row r="75" customFormat="false" ht="12.8" hidden="false" customHeight="false" outlineLevel="0" collapsed="false">
      <c r="A75" s="6" t="n">
        <v>74</v>
      </c>
      <c r="B75" s="7" t="s">
        <v>491</v>
      </c>
      <c r="C75" s="7" t="s">
        <v>468</v>
      </c>
      <c r="D75" s="7" t="s">
        <v>47</v>
      </c>
      <c r="E75" s="7" t="s">
        <v>469</v>
      </c>
      <c r="F75" s="7" t="s">
        <v>76</v>
      </c>
      <c r="G75" s="7" t="s">
        <v>50</v>
      </c>
      <c r="H75" s="7" t="s">
        <v>50</v>
      </c>
      <c r="I75" s="7" t="s">
        <v>50</v>
      </c>
      <c r="J75" s="7" t="s">
        <v>50</v>
      </c>
      <c r="K75" s="7" t="s">
        <v>52</v>
      </c>
      <c r="L75" s="7" t="s">
        <v>50</v>
      </c>
      <c r="M75" s="7" t="s">
        <v>50</v>
      </c>
      <c r="N75" s="7" t="s">
        <v>50</v>
      </c>
      <c r="O75" s="7" t="n">
        <v>262175</v>
      </c>
      <c r="P75" s="7" t="n">
        <v>204860</v>
      </c>
      <c r="Q75" s="8" t="n">
        <f aca="false">(P75/O75)*100</f>
        <v>78.1386478497187</v>
      </c>
      <c r="R75" s="7" t="n">
        <f aca="false">X75-AC75</f>
        <v>14868</v>
      </c>
      <c r="S75" s="8" t="n">
        <f aca="false">(R75/P75)*100</f>
        <v>7.25763936346773</v>
      </c>
      <c r="T75" s="8" t="n">
        <f aca="false">Y75+AD75</f>
        <v>92.5871326759738</v>
      </c>
      <c r="U75" s="7" t="s">
        <v>51</v>
      </c>
      <c r="V75" s="7" t="s">
        <v>52</v>
      </c>
      <c r="W75" s="7" t="s">
        <v>492</v>
      </c>
      <c r="X75" s="7" t="n">
        <v>102271</v>
      </c>
      <c r="Y75" s="8" t="n">
        <f aca="false">(X75/P75)*100</f>
        <v>49.9223860197208</v>
      </c>
      <c r="Z75" s="7" t="s">
        <v>54</v>
      </c>
      <c r="AA75" s="7" t="s">
        <v>67</v>
      </c>
      <c r="AB75" s="7" t="s">
        <v>493</v>
      </c>
      <c r="AC75" s="7" t="n">
        <v>87403</v>
      </c>
      <c r="AD75" s="8" t="n">
        <f aca="false">(AC75/P75)*100</f>
        <v>42.6647466562531</v>
      </c>
      <c r="AE75" s="7" t="s">
        <v>57</v>
      </c>
      <c r="AF75" s="7" t="s">
        <v>57</v>
      </c>
      <c r="AG75" s="7" t="s">
        <v>494</v>
      </c>
      <c r="AH75" s="7" t="n">
        <v>6375</v>
      </c>
      <c r="AI75" s="8" t="n">
        <f aca="false">(AH75/P75)*100</f>
        <v>3.11188128477985</v>
      </c>
      <c r="AJ75" s="7" t="s">
        <v>70</v>
      </c>
      <c r="AK75" s="7" t="s">
        <v>71</v>
      </c>
      <c r="AL75" s="7" t="s">
        <v>495</v>
      </c>
      <c r="AM75" s="7" t="n">
        <v>3242</v>
      </c>
      <c r="AN75" s="8" t="n">
        <f aca="false">(AM75/P75)*100</f>
        <v>1.58254417651079</v>
      </c>
      <c r="AO75" s="10" t="s">
        <v>59</v>
      </c>
      <c r="AP75" s="7" t="s">
        <v>73</v>
      </c>
      <c r="AQ75" s="7" t="s">
        <v>496</v>
      </c>
      <c r="AR75" s="7" t="n">
        <v>1695</v>
      </c>
      <c r="AS75" s="8" t="n">
        <f aca="false">(AR75/P75)*100</f>
        <v>0.827394318070878</v>
      </c>
    </row>
    <row r="76" customFormat="false" ht="12.8" hidden="false" customHeight="false" outlineLevel="0" collapsed="false">
      <c r="A76" s="6" t="n">
        <v>75</v>
      </c>
      <c r="B76" s="7" t="s">
        <v>497</v>
      </c>
      <c r="C76" s="7" t="s">
        <v>468</v>
      </c>
      <c r="D76" s="7" t="s">
        <v>47</v>
      </c>
      <c r="E76" s="7" t="s">
        <v>469</v>
      </c>
      <c r="F76" s="7" t="s">
        <v>49</v>
      </c>
      <c r="G76" s="7" t="s">
        <v>50</v>
      </c>
      <c r="H76" s="7" t="s">
        <v>50</v>
      </c>
      <c r="I76" s="7" t="s">
        <v>50</v>
      </c>
      <c r="J76" s="7" t="s">
        <v>50</v>
      </c>
      <c r="K76" s="7" t="s">
        <v>50</v>
      </c>
      <c r="L76" s="7" t="s">
        <v>50</v>
      </c>
      <c r="M76" s="7" t="s">
        <v>50</v>
      </c>
      <c r="N76" s="7" t="s">
        <v>50</v>
      </c>
      <c r="O76" s="7" t="n">
        <v>234841</v>
      </c>
      <c r="P76" s="7" t="n">
        <v>193617</v>
      </c>
      <c r="Q76" s="8" t="n">
        <f aca="false">(P76/O76)*100</f>
        <v>82.4459953755946</v>
      </c>
      <c r="R76" s="7" t="n">
        <f aca="false">X76-AC76</f>
        <v>9573</v>
      </c>
      <c r="S76" s="8" t="n">
        <f aca="false">(R76/P76)*100</f>
        <v>4.94429724662607</v>
      </c>
      <c r="T76" s="8" t="n">
        <f aca="false">Y76+AD76</f>
        <v>91.8757133929355</v>
      </c>
      <c r="U76" s="7" t="s">
        <v>51</v>
      </c>
      <c r="V76" s="7" t="s">
        <v>52</v>
      </c>
      <c r="W76" s="7" t="s">
        <v>498</v>
      </c>
      <c r="X76" s="7" t="n">
        <v>93730</v>
      </c>
      <c r="Y76" s="8" t="n">
        <f aca="false">(X76/P76)*100</f>
        <v>48.4100053197808</v>
      </c>
      <c r="Z76" s="7" t="s">
        <v>54</v>
      </c>
      <c r="AA76" s="7" t="s">
        <v>67</v>
      </c>
      <c r="AB76" s="7" t="s">
        <v>499</v>
      </c>
      <c r="AC76" s="7" t="n">
        <v>84157</v>
      </c>
      <c r="AD76" s="8" t="n">
        <f aca="false">(AC76/P76)*100</f>
        <v>43.4657080731547</v>
      </c>
      <c r="AE76" s="7" t="s">
        <v>57</v>
      </c>
      <c r="AF76" s="7" t="s">
        <v>57</v>
      </c>
      <c r="AG76" s="7" t="s">
        <v>500</v>
      </c>
      <c r="AH76" s="7" t="n">
        <v>8216</v>
      </c>
      <c r="AI76" s="8" t="n">
        <f aca="false">(AH76/P76)*100</f>
        <v>4.24342903773946</v>
      </c>
      <c r="AJ76" s="7" t="s">
        <v>59</v>
      </c>
      <c r="AK76" s="7" t="s">
        <v>73</v>
      </c>
      <c r="AL76" s="7" t="s">
        <v>501</v>
      </c>
      <c r="AM76" s="7" t="n">
        <v>3053</v>
      </c>
      <c r="AN76" s="8" t="n">
        <f aca="false">(AM76/P76)*100</f>
        <v>1.57682434910158</v>
      </c>
      <c r="AO76" s="7" t="s">
        <v>62</v>
      </c>
      <c r="AP76" s="7" t="s">
        <v>62</v>
      </c>
      <c r="AQ76" s="7" t="s">
        <v>62</v>
      </c>
      <c r="AR76" s="7" t="n">
        <v>1122</v>
      </c>
      <c r="AS76" s="8" t="n">
        <f aca="false">(AR76/P76)*100</f>
        <v>0.579494569175227</v>
      </c>
    </row>
    <row r="77" customFormat="false" ht="12.8" hidden="false" customHeight="false" outlineLevel="0" collapsed="false">
      <c r="A77" s="6" t="n">
        <v>76</v>
      </c>
      <c r="B77" s="7" t="s">
        <v>502</v>
      </c>
      <c r="C77" s="7" t="s">
        <v>468</v>
      </c>
      <c r="D77" s="7" t="s">
        <v>47</v>
      </c>
      <c r="E77" s="7" t="s">
        <v>469</v>
      </c>
      <c r="F77" s="7" t="s">
        <v>49</v>
      </c>
      <c r="G77" s="7" t="s">
        <v>50</v>
      </c>
      <c r="H77" s="7" t="s">
        <v>50</v>
      </c>
      <c r="I77" s="7" t="s">
        <v>50</v>
      </c>
      <c r="J77" s="7" t="s">
        <v>50</v>
      </c>
      <c r="K77" s="7" t="s">
        <v>50</v>
      </c>
      <c r="L77" s="7" t="s">
        <v>50</v>
      </c>
      <c r="M77" s="7" t="s">
        <v>50</v>
      </c>
      <c r="N77" s="7" t="s">
        <v>50</v>
      </c>
      <c r="O77" s="7" t="n">
        <v>254716</v>
      </c>
      <c r="P77" s="7" t="n">
        <v>196217</v>
      </c>
      <c r="Q77" s="8" t="n">
        <f aca="false">(P77/O77)*100</f>
        <v>77.0336374628999</v>
      </c>
      <c r="R77" s="7" t="n">
        <f aca="false">X77-AC77</f>
        <v>59680</v>
      </c>
      <c r="S77" s="8" t="n">
        <f aca="false">(R77/P77)*100</f>
        <v>30.4153055036006</v>
      </c>
      <c r="T77" s="8" t="n">
        <f aca="false">Y77+AD77</f>
        <v>82.7043528338523</v>
      </c>
      <c r="U77" s="7" t="s">
        <v>51</v>
      </c>
      <c r="V77" s="7" t="s">
        <v>52</v>
      </c>
      <c r="W77" s="7" t="s">
        <v>503</v>
      </c>
      <c r="X77" s="7" t="n">
        <v>110980</v>
      </c>
      <c r="Y77" s="8" t="n">
        <f aca="false">(X77/P77)*100</f>
        <v>56.5598291687265</v>
      </c>
      <c r="Z77" s="7" t="s">
        <v>54</v>
      </c>
      <c r="AA77" s="7" t="s">
        <v>170</v>
      </c>
      <c r="AB77" s="7" t="s">
        <v>504</v>
      </c>
      <c r="AC77" s="7" t="n">
        <v>51300</v>
      </c>
      <c r="AD77" s="8" t="n">
        <f aca="false">(AC77/P77)*100</f>
        <v>26.1445236651259</v>
      </c>
      <c r="AE77" s="10" t="s">
        <v>59</v>
      </c>
      <c r="AF77" s="7" t="s">
        <v>60</v>
      </c>
      <c r="AG77" s="7" t="s">
        <v>505</v>
      </c>
      <c r="AH77" s="7" t="n">
        <v>13997</v>
      </c>
      <c r="AI77" s="8" t="n">
        <f aca="false">(AH77/P77)*100</f>
        <v>7.1334288058629</v>
      </c>
      <c r="AJ77" s="7" t="s">
        <v>57</v>
      </c>
      <c r="AK77" s="7" t="s">
        <v>57</v>
      </c>
      <c r="AL77" s="7" t="s">
        <v>506</v>
      </c>
      <c r="AM77" s="7" t="n">
        <v>11620</v>
      </c>
      <c r="AN77" s="8" t="n">
        <f aca="false">(AM77/P77)*100</f>
        <v>5.92201491206165</v>
      </c>
      <c r="AO77" s="7" t="s">
        <v>62</v>
      </c>
      <c r="AP77" s="7" t="s">
        <v>62</v>
      </c>
      <c r="AQ77" s="7" t="s">
        <v>62</v>
      </c>
      <c r="AR77" s="7" t="n">
        <v>2039</v>
      </c>
      <c r="AS77" s="8" t="n">
        <f aca="false">(AR77/P77)*100</f>
        <v>1.03915562871719</v>
      </c>
    </row>
    <row r="78" customFormat="false" ht="12.8" hidden="false" customHeight="false" outlineLevel="0" collapsed="false">
      <c r="A78" s="6" t="n">
        <v>77</v>
      </c>
      <c r="B78" s="7" t="s">
        <v>507</v>
      </c>
      <c r="C78" s="7" t="s">
        <v>508</v>
      </c>
      <c r="D78" s="7" t="s">
        <v>47</v>
      </c>
      <c r="E78" s="7" t="s">
        <v>469</v>
      </c>
      <c r="F78" s="7" t="s">
        <v>49</v>
      </c>
      <c r="G78" s="7" t="s">
        <v>50</v>
      </c>
      <c r="H78" s="7" t="s">
        <v>50</v>
      </c>
      <c r="I78" s="7" t="s">
        <v>50</v>
      </c>
      <c r="J78" s="7" t="s">
        <v>50</v>
      </c>
      <c r="K78" s="7" t="s">
        <v>50</v>
      </c>
      <c r="L78" s="7" t="s">
        <v>50</v>
      </c>
      <c r="M78" s="7" t="s">
        <v>50</v>
      </c>
      <c r="N78" s="7" t="s">
        <v>50</v>
      </c>
      <c r="O78" s="7" t="n">
        <v>293464</v>
      </c>
      <c r="P78" s="7" t="n">
        <v>244853</v>
      </c>
      <c r="Q78" s="8" t="n">
        <f aca="false">(P78/O78)*100</f>
        <v>83.4354469372734</v>
      </c>
      <c r="R78" s="7" t="n">
        <f aca="false">X78-AC78</f>
        <v>5256</v>
      </c>
      <c r="S78" s="8" t="n">
        <f aca="false">(R78/P78)*100</f>
        <v>2.14659407889632</v>
      </c>
      <c r="T78" s="8" t="n">
        <f aca="false">Y78+AD78</f>
        <v>92.1557015842159</v>
      </c>
      <c r="U78" s="7" t="s">
        <v>51</v>
      </c>
      <c r="V78" s="7" t="s">
        <v>52</v>
      </c>
      <c r="W78" s="7" t="s">
        <v>509</v>
      </c>
      <c r="X78" s="7" t="n">
        <v>115451</v>
      </c>
      <c r="Y78" s="8" t="n">
        <f aca="false">(X78/P78)*100</f>
        <v>47.1511478315561</v>
      </c>
      <c r="Z78" s="7" t="s">
        <v>54</v>
      </c>
      <c r="AA78" s="7" t="s">
        <v>67</v>
      </c>
      <c r="AB78" s="7" t="s">
        <v>510</v>
      </c>
      <c r="AC78" s="7" t="n">
        <v>110195</v>
      </c>
      <c r="AD78" s="8" t="n">
        <f aca="false">(AC78/P78)*100</f>
        <v>45.0045537526598</v>
      </c>
      <c r="AE78" s="7" t="s">
        <v>57</v>
      </c>
      <c r="AF78" s="7" t="s">
        <v>57</v>
      </c>
      <c r="AG78" s="7" t="s">
        <v>511</v>
      </c>
      <c r="AH78" s="7" t="n">
        <v>9000</v>
      </c>
      <c r="AI78" s="8" t="n">
        <f aca="false">(AH78/P78)*100</f>
        <v>3.67567479263068</v>
      </c>
      <c r="AJ78" s="7" t="s">
        <v>59</v>
      </c>
      <c r="AK78" s="7" t="s">
        <v>73</v>
      </c>
      <c r="AL78" s="7" t="s">
        <v>512</v>
      </c>
      <c r="AM78" s="7" t="n">
        <v>2848</v>
      </c>
      <c r="AN78" s="8" t="n">
        <f aca="false">(AM78/P78)*100</f>
        <v>1.16314686771246</v>
      </c>
      <c r="AO78" s="7" t="s">
        <v>62</v>
      </c>
      <c r="AP78" s="7" t="s">
        <v>62</v>
      </c>
      <c r="AQ78" s="7" t="s">
        <v>62</v>
      </c>
      <c r="AR78" s="7" t="n">
        <v>2280</v>
      </c>
      <c r="AS78" s="8" t="n">
        <f aca="false">(AR78/P78)*100</f>
        <v>0.931170947466439</v>
      </c>
    </row>
    <row r="79" customFormat="false" ht="12.8" hidden="false" customHeight="false" outlineLevel="0" collapsed="false">
      <c r="A79" s="6" t="n">
        <v>78</v>
      </c>
      <c r="B79" s="7" t="s">
        <v>513</v>
      </c>
      <c r="C79" s="7" t="s">
        <v>508</v>
      </c>
      <c r="D79" s="7" t="s">
        <v>47</v>
      </c>
      <c r="E79" s="7" t="s">
        <v>469</v>
      </c>
      <c r="F79" s="7" t="s">
        <v>49</v>
      </c>
      <c r="G79" s="7" t="s">
        <v>50</v>
      </c>
      <c r="H79" s="7" t="s">
        <v>50</v>
      </c>
      <c r="I79" s="7" t="s">
        <v>50</v>
      </c>
      <c r="J79" s="7" t="s">
        <v>50</v>
      </c>
      <c r="K79" s="7" t="s">
        <v>50</v>
      </c>
      <c r="L79" s="7" t="s">
        <v>50</v>
      </c>
      <c r="M79" s="7" t="s">
        <v>50</v>
      </c>
      <c r="N79" s="7" t="s">
        <v>514</v>
      </c>
      <c r="O79" s="7" t="n">
        <v>268323</v>
      </c>
      <c r="P79" s="7" t="n">
        <v>215106</v>
      </c>
      <c r="Q79" s="8" t="n">
        <f aca="false">(P79/O79)*100</f>
        <v>80.1668138773046</v>
      </c>
      <c r="R79" s="7" t="n">
        <f aca="false">X79-AC79</f>
        <v>41728</v>
      </c>
      <c r="S79" s="8" t="n">
        <f aca="false">(R79/P79)*100</f>
        <v>19.3988080295296</v>
      </c>
      <c r="T79" s="8" t="n">
        <f aca="false">Y79+AD79</f>
        <v>86.5136258402834</v>
      </c>
      <c r="U79" s="7" t="s">
        <v>51</v>
      </c>
      <c r="V79" s="7" t="s">
        <v>52</v>
      </c>
      <c r="W79" s="7" t="s">
        <v>515</v>
      </c>
      <c r="X79" s="7" t="n">
        <v>113912</v>
      </c>
      <c r="Y79" s="8" t="n">
        <f aca="false">(X79/P79)*100</f>
        <v>52.9562169349065</v>
      </c>
      <c r="Z79" s="7" t="s">
        <v>54</v>
      </c>
      <c r="AA79" s="7" t="s">
        <v>67</v>
      </c>
      <c r="AB79" s="7" t="s">
        <v>516</v>
      </c>
      <c r="AC79" s="7" t="n">
        <v>72184</v>
      </c>
      <c r="AD79" s="8" t="n">
        <f aca="false">(AC79/P79)*100</f>
        <v>33.5574089053769</v>
      </c>
      <c r="AE79" s="10" t="s">
        <v>57</v>
      </c>
      <c r="AF79" s="7" t="s">
        <v>57</v>
      </c>
      <c r="AG79" s="7" t="s">
        <v>517</v>
      </c>
      <c r="AH79" s="7" t="n">
        <v>12066</v>
      </c>
      <c r="AI79" s="8" t="n">
        <f aca="false">(AH79/P79)*100</f>
        <v>5.60932749435162</v>
      </c>
      <c r="AJ79" s="7" t="s">
        <v>59</v>
      </c>
      <c r="AK79" s="7" t="s">
        <v>73</v>
      </c>
      <c r="AL79" s="7" t="s">
        <v>518</v>
      </c>
      <c r="AM79" s="7" t="n">
        <v>10387</v>
      </c>
      <c r="AN79" s="8" t="n">
        <f aca="false">(AM79/P79)*100</f>
        <v>4.82878208883062</v>
      </c>
      <c r="AO79" s="7" t="s">
        <v>62</v>
      </c>
      <c r="AP79" s="7" t="s">
        <v>62</v>
      </c>
      <c r="AQ79" s="7" t="s">
        <v>62</v>
      </c>
      <c r="AR79" s="7" t="n">
        <v>2420</v>
      </c>
      <c r="AS79" s="8" t="n">
        <f aca="false">(AR79/P79)*100</f>
        <v>1.12502673100704</v>
      </c>
    </row>
    <row r="80" customFormat="false" ht="12.8" hidden="false" customHeight="false" outlineLevel="0" collapsed="false">
      <c r="A80" s="6" t="n">
        <v>79</v>
      </c>
      <c r="B80" s="7" t="s">
        <v>519</v>
      </c>
      <c r="C80" s="7" t="s">
        <v>508</v>
      </c>
      <c r="D80" s="7" t="s">
        <v>47</v>
      </c>
      <c r="E80" s="7" t="s">
        <v>469</v>
      </c>
      <c r="F80" s="7" t="s">
        <v>49</v>
      </c>
      <c r="G80" s="7" t="s">
        <v>50</v>
      </c>
      <c r="H80" s="7" t="s">
        <v>50</v>
      </c>
      <c r="I80" s="7" t="s">
        <v>50</v>
      </c>
      <c r="J80" s="7" t="s">
        <v>50</v>
      </c>
      <c r="K80" s="7" t="s">
        <v>50</v>
      </c>
      <c r="L80" s="7" t="s">
        <v>50</v>
      </c>
      <c r="M80" s="7" t="s">
        <v>50</v>
      </c>
      <c r="N80" s="7" t="s">
        <v>50</v>
      </c>
      <c r="O80" s="7" t="n">
        <v>268594</v>
      </c>
      <c r="P80" s="7" t="n">
        <v>215802</v>
      </c>
      <c r="Q80" s="8" t="n">
        <f aca="false">(P80/O80)*100</f>
        <v>80.3450561069868</v>
      </c>
      <c r="R80" s="7" t="n">
        <f aca="false">X80-AC80</f>
        <v>45963</v>
      </c>
      <c r="S80" s="8" t="n">
        <f aca="false">(R80/P80)*100</f>
        <v>21.2986904662607</v>
      </c>
      <c r="T80" s="8" t="n">
        <f aca="false">Y80+AD80</f>
        <v>91.0135216541089</v>
      </c>
      <c r="U80" s="7" t="s">
        <v>51</v>
      </c>
      <c r="V80" s="7" t="s">
        <v>52</v>
      </c>
      <c r="W80" s="7" t="s">
        <v>520</v>
      </c>
      <c r="X80" s="7" t="n">
        <v>121186</v>
      </c>
      <c r="Y80" s="8" t="n">
        <f aca="false">(X80/P80)*100</f>
        <v>56.1561060601848</v>
      </c>
      <c r="Z80" s="7" t="s">
        <v>54</v>
      </c>
      <c r="AA80" s="7" t="s">
        <v>55</v>
      </c>
      <c r="AB80" s="7" t="s">
        <v>521</v>
      </c>
      <c r="AC80" s="7" t="n">
        <v>75223</v>
      </c>
      <c r="AD80" s="8" t="n">
        <f aca="false">(AC80/P80)*100</f>
        <v>34.8574155939241</v>
      </c>
      <c r="AE80" s="7" t="s">
        <v>57</v>
      </c>
      <c r="AF80" s="7" t="s">
        <v>57</v>
      </c>
      <c r="AG80" s="7" t="s">
        <v>522</v>
      </c>
      <c r="AH80" s="7" t="n">
        <v>9873</v>
      </c>
      <c r="AI80" s="8" t="n">
        <f aca="false">(AH80/P80)*100</f>
        <v>4.5750271081825</v>
      </c>
      <c r="AJ80" s="7" t="s">
        <v>196</v>
      </c>
      <c r="AK80" s="7" t="s">
        <v>196</v>
      </c>
      <c r="AL80" s="7" t="s">
        <v>523</v>
      </c>
      <c r="AM80" s="7" t="n">
        <v>2120</v>
      </c>
      <c r="AN80" s="8" t="n">
        <f aca="false">(AM80/P80)*100</f>
        <v>0.982381998313269</v>
      </c>
      <c r="AO80" s="7" t="s">
        <v>196</v>
      </c>
      <c r="AP80" s="7" t="s">
        <v>196</v>
      </c>
      <c r="AQ80" s="7" t="s">
        <v>524</v>
      </c>
      <c r="AR80" s="7" t="n">
        <v>1156</v>
      </c>
      <c r="AS80" s="8" t="n">
        <f aca="false">(AR80/P80)*100</f>
        <v>0.535676221721763</v>
      </c>
    </row>
    <row r="81" customFormat="false" ht="12.8" hidden="false" customHeight="false" outlineLevel="0" collapsed="false">
      <c r="A81" s="6" t="n">
        <v>80</v>
      </c>
      <c r="B81" s="7" t="s">
        <v>508</v>
      </c>
      <c r="C81" s="7" t="s">
        <v>508</v>
      </c>
      <c r="D81" s="7" t="s">
        <v>47</v>
      </c>
      <c r="E81" s="7" t="s">
        <v>469</v>
      </c>
      <c r="F81" s="7" t="s">
        <v>76</v>
      </c>
      <c r="G81" s="7" t="s">
        <v>64</v>
      </c>
      <c r="H81" s="7" t="s">
        <v>525</v>
      </c>
      <c r="I81" s="7" t="s">
        <v>50</v>
      </c>
      <c r="J81" s="7" t="s">
        <v>50</v>
      </c>
      <c r="K81" s="7" t="s">
        <v>50</v>
      </c>
      <c r="L81" s="7" t="s">
        <v>67</v>
      </c>
      <c r="M81" s="7" t="s">
        <v>50</v>
      </c>
      <c r="N81" s="7" t="s">
        <v>50</v>
      </c>
      <c r="O81" s="7" t="n">
        <v>286621</v>
      </c>
      <c r="P81" s="7" t="n">
        <v>225858</v>
      </c>
      <c r="Q81" s="8" t="n">
        <f aca="false">(P81/O81)*100</f>
        <v>78.8002274780983</v>
      </c>
      <c r="R81" s="7" t="n">
        <f aca="false">X81-AC81</f>
        <v>25891</v>
      </c>
      <c r="S81" s="8" t="n">
        <f aca="false">(R81/P81)*100</f>
        <v>11.4633973558608</v>
      </c>
      <c r="T81" s="8" t="n">
        <f aca="false">Y81+AD81</f>
        <v>86.5123219013717</v>
      </c>
      <c r="U81" s="7" t="s">
        <v>54</v>
      </c>
      <c r="V81" s="7" t="s">
        <v>67</v>
      </c>
      <c r="W81" s="7" t="s">
        <v>526</v>
      </c>
      <c r="X81" s="7" t="n">
        <v>110643</v>
      </c>
      <c r="Y81" s="8" t="n">
        <f aca="false">(X81/P81)*100</f>
        <v>48.9878596286162</v>
      </c>
      <c r="Z81" s="7" t="s">
        <v>51</v>
      </c>
      <c r="AA81" s="7" t="s">
        <v>65</v>
      </c>
      <c r="AB81" s="7" t="s">
        <v>527</v>
      </c>
      <c r="AC81" s="7" t="n">
        <v>84752</v>
      </c>
      <c r="AD81" s="8" t="n">
        <f aca="false">(AC81/P81)*100</f>
        <v>37.5244622727555</v>
      </c>
      <c r="AE81" s="7" t="s">
        <v>57</v>
      </c>
      <c r="AF81" s="7" t="s">
        <v>57</v>
      </c>
      <c r="AG81" s="7" t="s">
        <v>528</v>
      </c>
      <c r="AH81" s="7" t="n">
        <v>16474</v>
      </c>
      <c r="AI81" s="8" t="n">
        <f aca="false">(AH81/P81)*100</f>
        <v>7.29396346376927</v>
      </c>
      <c r="AJ81" s="7" t="s">
        <v>59</v>
      </c>
      <c r="AK81" s="7" t="s">
        <v>73</v>
      </c>
      <c r="AL81" s="7" t="s">
        <v>529</v>
      </c>
      <c r="AM81" s="7" t="n">
        <v>6571</v>
      </c>
      <c r="AN81" s="8" t="n">
        <f aca="false">(AM81/P81)*100</f>
        <v>2.90935012264343</v>
      </c>
      <c r="AO81" s="7" t="s">
        <v>62</v>
      </c>
      <c r="AP81" s="7" t="s">
        <v>62</v>
      </c>
      <c r="AQ81" s="7" t="s">
        <v>62</v>
      </c>
      <c r="AR81" s="7" t="n">
        <v>1257</v>
      </c>
      <c r="AS81" s="8" t="n">
        <f aca="false">(AR81/P81)*100</f>
        <v>0.556544377440693</v>
      </c>
    </row>
    <row r="82" customFormat="false" ht="12.8" hidden="false" customHeight="false" outlineLevel="0" collapsed="false">
      <c r="A82" s="6" t="n">
        <v>151</v>
      </c>
      <c r="B82" s="7" t="s">
        <v>530</v>
      </c>
      <c r="C82" s="7" t="s">
        <v>531</v>
      </c>
      <c r="D82" s="7" t="s">
        <v>47</v>
      </c>
      <c r="E82" s="7" t="s">
        <v>469</v>
      </c>
      <c r="F82" s="7" t="s">
        <v>49</v>
      </c>
      <c r="G82" s="7" t="s">
        <v>64</v>
      </c>
      <c r="H82" s="7" t="s">
        <v>50</v>
      </c>
      <c r="I82" s="7" t="s">
        <v>50</v>
      </c>
      <c r="J82" s="7" t="s">
        <v>50</v>
      </c>
      <c r="K82" s="7" t="s">
        <v>50</v>
      </c>
      <c r="L82" s="7" t="s">
        <v>50</v>
      </c>
      <c r="M82" s="7" t="s">
        <v>50</v>
      </c>
      <c r="N82" s="7" t="s">
        <v>50</v>
      </c>
      <c r="O82" s="7" t="n">
        <v>219415</v>
      </c>
      <c r="P82" s="7" t="n">
        <v>168184</v>
      </c>
      <c r="Q82" s="8" t="n">
        <f aca="false">(P82/O82)*100</f>
        <v>76.6510949570449</v>
      </c>
      <c r="R82" s="7" t="n">
        <f aca="false">X82-AC82</f>
        <v>21563</v>
      </c>
      <c r="S82" s="8" t="n">
        <f aca="false">(R82/P82)*100</f>
        <v>12.8210769157589</v>
      </c>
      <c r="T82" s="8" t="n">
        <f aca="false">Y82+AD82</f>
        <v>86.7436854873234</v>
      </c>
      <c r="U82" s="7" t="s">
        <v>51</v>
      </c>
      <c r="V82" s="7" t="s">
        <v>52</v>
      </c>
      <c r="W82" s="7" t="s">
        <v>532</v>
      </c>
      <c r="X82" s="7" t="n">
        <v>83726</v>
      </c>
      <c r="Y82" s="8" t="n">
        <f aca="false">(X82/P82)*100</f>
        <v>49.7823812015412</v>
      </c>
      <c r="Z82" s="7" t="s">
        <v>54</v>
      </c>
      <c r="AA82" s="7" t="s">
        <v>170</v>
      </c>
      <c r="AB82" s="7" t="s">
        <v>533</v>
      </c>
      <c r="AC82" s="7" t="n">
        <v>62163</v>
      </c>
      <c r="AD82" s="8" t="n">
        <f aca="false">(AC82/P82)*100</f>
        <v>36.9613042857822</v>
      </c>
      <c r="AE82" s="7" t="s">
        <v>57</v>
      </c>
      <c r="AF82" s="7" t="s">
        <v>57</v>
      </c>
      <c r="AG82" s="7" t="s">
        <v>534</v>
      </c>
      <c r="AH82" s="7" t="n">
        <v>10591</v>
      </c>
      <c r="AI82" s="8" t="n">
        <f aca="false">(AH82/P82)*100</f>
        <v>6.29726965704229</v>
      </c>
      <c r="AJ82" s="7" t="s">
        <v>59</v>
      </c>
      <c r="AK82" s="7" t="s">
        <v>60</v>
      </c>
      <c r="AL82" s="7" t="s">
        <v>535</v>
      </c>
      <c r="AM82" s="7" t="n">
        <v>4142</v>
      </c>
      <c r="AN82" s="8" t="n">
        <f aca="false">(AM82/P82)*100</f>
        <v>2.46277886124721</v>
      </c>
      <c r="AO82" s="7" t="s">
        <v>70</v>
      </c>
      <c r="AP82" s="7" t="s">
        <v>71</v>
      </c>
      <c r="AQ82" s="7" t="s">
        <v>536</v>
      </c>
      <c r="AR82" s="7" t="n">
        <v>1745</v>
      </c>
      <c r="AS82" s="8" t="n">
        <f aca="false">(AR82/P82)*100</f>
        <v>1.03755410740617</v>
      </c>
    </row>
    <row r="83" customFormat="false" ht="12.8" hidden="false" customHeight="false" outlineLevel="0" collapsed="false">
      <c r="A83" s="6" t="n">
        <v>152</v>
      </c>
      <c r="B83" s="7" t="s">
        <v>537</v>
      </c>
      <c r="C83" s="7" t="s">
        <v>531</v>
      </c>
      <c r="D83" s="7" t="s">
        <v>47</v>
      </c>
      <c r="E83" s="7" t="s">
        <v>469</v>
      </c>
      <c r="F83" s="7" t="s">
        <v>76</v>
      </c>
      <c r="G83" s="7" t="s">
        <v>50</v>
      </c>
      <c r="H83" s="7" t="s">
        <v>50</v>
      </c>
      <c r="I83" s="7" t="s">
        <v>60</v>
      </c>
      <c r="J83" s="7" t="s">
        <v>50</v>
      </c>
      <c r="K83" s="7" t="s">
        <v>50</v>
      </c>
      <c r="L83" s="7" t="s">
        <v>50</v>
      </c>
      <c r="M83" s="7" t="s">
        <v>50</v>
      </c>
      <c r="N83" s="7" t="s">
        <v>514</v>
      </c>
      <c r="O83" s="7" t="n">
        <v>252911</v>
      </c>
      <c r="P83" s="7" t="n">
        <v>196734</v>
      </c>
      <c r="Q83" s="8" t="n">
        <f aca="false">(P83/O83)*100</f>
        <v>77.7878384095591</v>
      </c>
      <c r="R83" s="7" t="n">
        <f aca="false">X83-AC83</f>
        <v>862</v>
      </c>
      <c r="S83" s="8" t="n">
        <f aca="false">(R83/P83)*100</f>
        <v>0.438155072331168</v>
      </c>
      <c r="T83" s="8" t="n">
        <f aca="false">Y83+AD83</f>
        <v>77.9051917817967</v>
      </c>
      <c r="U83" s="7" t="s">
        <v>51</v>
      </c>
      <c r="V83" s="7" t="s">
        <v>65</v>
      </c>
      <c r="W83" s="7" t="s">
        <v>538</v>
      </c>
      <c r="X83" s="7" t="n">
        <v>77064</v>
      </c>
      <c r="Y83" s="8" t="n">
        <f aca="false">(X83/P83)*100</f>
        <v>39.171673427064</v>
      </c>
      <c r="Z83" s="7" t="s">
        <v>54</v>
      </c>
      <c r="AA83" s="7" t="s">
        <v>55</v>
      </c>
      <c r="AB83" s="7" t="s">
        <v>539</v>
      </c>
      <c r="AC83" s="7" t="n">
        <v>76202</v>
      </c>
      <c r="AD83" s="8" t="n">
        <f aca="false">(AC83/P83)*100</f>
        <v>38.7335183547328</v>
      </c>
      <c r="AE83" s="10" t="s">
        <v>59</v>
      </c>
      <c r="AF83" s="7" t="s">
        <v>60</v>
      </c>
      <c r="AG83" s="7" t="s">
        <v>540</v>
      </c>
      <c r="AH83" s="7" t="n">
        <v>25908</v>
      </c>
      <c r="AI83" s="8" t="n">
        <f aca="false">(AH83/P83)*100</f>
        <v>13.1690505962365</v>
      </c>
      <c r="AJ83" s="7" t="s">
        <v>57</v>
      </c>
      <c r="AK83" s="7" t="s">
        <v>57</v>
      </c>
      <c r="AL83" s="7" t="s">
        <v>541</v>
      </c>
      <c r="AM83" s="7" t="n">
        <v>8642</v>
      </c>
      <c r="AN83" s="8" t="n">
        <f aca="false">(AM83/P83)*100</f>
        <v>4.39273333536654</v>
      </c>
      <c r="AO83" s="7" t="s">
        <v>196</v>
      </c>
      <c r="AP83" s="7" t="s">
        <v>196</v>
      </c>
      <c r="AQ83" s="7" t="s">
        <v>542</v>
      </c>
      <c r="AR83" s="7" t="n">
        <v>891</v>
      </c>
      <c r="AS83" s="8" t="n">
        <f aca="false">(AR83/P83)*100</f>
        <v>0.45289578822166</v>
      </c>
    </row>
    <row r="84" customFormat="false" ht="12.8" hidden="false" customHeight="false" outlineLevel="0" collapsed="false">
      <c r="A84" s="6" t="n">
        <v>153</v>
      </c>
      <c r="B84" s="7" t="s">
        <v>543</v>
      </c>
      <c r="C84" s="7" t="s">
        <v>531</v>
      </c>
      <c r="D84" s="7" t="s">
        <v>47</v>
      </c>
      <c r="E84" s="7" t="s">
        <v>469</v>
      </c>
      <c r="F84" s="7" t="s">
        <v>87</v>
      </c>
      <c r="G84" s="7" t="s">
        <v>50</v>
      </c>
      <c r="H84" s="7" t="s">
        <v>50</v>
      </c>
      <c r="I84" s="7" t="s">
        <v>50</v>
      </c>
      <c r="J84" s="7" t="s">
        <v>50</v>
      </c>
      <c r="K84" s="7" t="s">
        <v>50</v>
      </c>
      <c r="L84" s="7" t="s">
        <v>50</v>
      </c>
      <c r="M84" s="7" t="s">
        <v>50</v>
      </c>
      <c r="N84" s="7" t="s">
        <v>50</v>
      </c>
      <c r="O84" s="7" t="n">
        <v>218666</v>
      </c>
      <c r="P84" s="7" t="n">
        <v>164130</v>
      </c>
      <c r="Q84" s="8" t="n">
        <f aca="false">(P84/O84)*100</f>
        <v>75.0596800600002</v>
      </c>
      <c r="R84" s="7" t="n">
        <f aca="false">X84-AC84</f>
        <v>977</v>
      </c>
      <c r="S84" s="8" t="n">
        <f aca="false">(R84/P84)*100</f>
        <v>0.595259854992993</v>
      </c>
      <c r="T84" s="8" t="n">
        <f aca="false">Y84+AD84</f>
        <v>91.0113934076647</v>
      </c>
      <c r="U84" s="7" t="s">
        <v>51</v>
      </c>
      <c r="V84" s="7" t="s">
        <v>52</v>
      </c>
      <c r="W84" s="7" t="s">
        <v>544</v>
      </c>
      <c r="X84" s="7" t="n">
        <v>75177</v>
      </c>
      <c r="Y84" s="8" t="n">
        <f aca="false">(X84/P84)*100</f>
        <v>45.8033266313288</v>
      </c>
      <c r="Z84" s="7" t="s">
        <v>54</v>
      </c>
      <c r="AA84" s="7" t="s">
        <v>55</v>
      </c>
      <c r="AB84" s="7" t="s">
        <v>545</v>
      </c>
      <c r="AC84" s="7" t="n">
        <v>74200</v>
      </c>
      <c r="AD84" s="8" t="n">
        <f aca="false">(AC84/P84)*100</f>
        <v>45.2080667763358</v>
      </c>
      <c r="AE84" s="7" t="s">
        <v>57</v>
      </c>
      <c r="AF84" s="7" t="s">
        <v>57</v>
      </c>
      <c r="AG84" s="7" t="s">
        <v>546</v>
      </c>
      <c r="AH84" s="7" t="n">
        <v>7785</v>
      </c>
      <c r="AI84" s="8" t="n">
        <f aca="false">(AH84/P84)*100</f>
        <v>4.74319137269238</v>
      </c>
      <c r="AJ84" s="7" t="s">
        <v>59</v>
      </c>
      <c r="AK84" s="7" t="s">
        <v>73</v>
      </c>
      <c r="AL84" s="7" t="s">
        <v>547</v>
      </c>
      <c r="AM84" s="7" t="n">
        <v>2230</v>
      </c>
      <c r="AN84" s="8" t="n">
        <f aca="false">(AM84/P84)*100</f>
        <v>1.35867909583866</v>
      </c>
      <c r="AO84" s="7" t="s">
        <v>62</v>
      </c>
      <c r="AP84" s="7" t="s">
        <v>62</v>
      </c>
      <c r="AQ84" s="7" t="s">
        <v>62</v>
      </c>
      <c r="AR84" s="7" t="n">
        <v>1171</v>
      </c>
      <c r="AS84" s="8" t="n">
        <f aca="false">(AR84/P84)*100</f>
        <v>0.713458843599586</v>
      </c>
    </row>
    <row r="85" customFormat="false" ht="12.8" hidden="false" customHeight="false" outlineLevel="0" collapsed="false">
      <c r="A85" s="6" t="n">
        <v>154</v>
      </c>
      <c r="B85" s="7" t="s">
        <v>548</v>
      </c>
      <c r="C85" s="7" t="s">
        <v>531</v>
      </c>
      <c r="D85" s="7" t="s">
        <v>47</v>
      </c>
      <c r="E85" s="7" t="s">
        <v>469</v>
      </c>
      <c r="F85" s="7" t="s">
        <v>76</v>
      </c>
      <c r="G85" s="7" t="s">
        <v>50</v>
      </c>
      <c r="H85" s="7" t="s">
        <v>50</v>
      </c>
      <c r="I85" s="7" t="s">
        <v>50</v>
      </c>
      <c r="J85" s="20" t="s">
        <v>549</v>
      </c>
      <c r="K85" s="7" t="s">
        <v>67</v>
      </c>
      <c r="L85" s="7" t="s">
        <v>50</v>
      </c>
      <c r="M85" s="7" t="s">
        <v>50</v>
      </c>
      <c r="N85" s="7" t="s">
        <v>50</v>
      </c>
      <c r="O85" s="7" t="n">
        <v>245530</v>
      </c>
      <c r="P85" s="7" t="n">
        <v>197049</v>
      </c>
      <c r="Q85" s="8" t="n">
        <f aca="false">(P85/O85)*100</f>
        <v>80.2545513786503</v>
      </c>
      <c r="R85" s="7" t="n">
        <f aca="false">X85-AC85</f>
        <v>4697</v>
      </c>
      <c r="S85" s="8" t="n">
        <f aca="false">(R85/P85)*100</f>
        <v>2.3836710665875</v>
      </c>
      <c r="T85" s="8" t="n">
        <f aca="false">Y85+AD85</f>
        <v>92.8220899370207</v>
      </c>
      <c r="U85" s="7" t="s">
        <v>51</v>
      </c>
      <c r="V85" s="21" t="s">
        <v>549</v>
      </c>
      <c r="W85" s="7" t="s">
        <v>550</v>
      </c>
      <c r="X85" s="7" t="n">
        <v>93801</v>
      </c>
      <c r="Y85" s="8" t="n">
        <f aca="false">(X85/P85)*100</f>
        <v>47.6028805018041</v>
      </c>
      <c r="Z85" s="7" t="s">
        <v>54</v>
      </c>
      <c r="AA85" s="7" t="s">
        <v>67</v>
      </c>
      <c r="AB85" s="7" t="s">
        <v>551</v>
      </c>
      <c r="AC85" s="7" t="n">
        <v>89104</v>
      </c>
      <c r="AD85" s="8" t="n">
        <f aca="false">(AC85/P85)*100</f>
        <v>45.2192094352166</v>
      </c>
      <c r="AE85" s="7" t="s">
        <v>57</v>
      </c>
      <c r="AF85" s="7" t="s">
        <v>57</v>
      </c>
      <c r="AG85" s="7" t="s">
        <v>552</v>
      </c>
      <c r="AH85" s="7" t="n">
        <v>6547</v>
      </c>
      <c r="AI85" s="8" t="n">
        <f aca="false">(AH85/P85)*100</f>
        <v>3.32252383924811</v>
      </c>
      <c r="AJ85" s="7" t="s">
        <v>59</v>
      </c>
      <c r="AK85" s="7" t="s">
        <v>60</v>
      </c>
      <c r="AL85" s="7" t="s">
        <v>553</v>
      </c>
      <c r="AM85" s="7" t="n">
        <v>3362</v>
      </c>
      <c r="AN85" s="8" t="n">
        <f aca="false">(AM85/P85)*100</f>
        <v>1.7061746063162</v>
      </c>
      <c r="AO85" s="7" t="s">
        <v>70</v>
      </c>
      <c r="AP85" s="7" t="s">
        <v>71</v>
      </c>
      <c r="AQ85" s="7" t="s">
        <v>554</v>
      </c>
      <c r="AR85" s="7" t="n">
        <v>1670</v>
      </c>
      <c r="AS85" s="8" t="n">
        <f aca="false">(AR85/P85)*100</f>
        <v>0.847504935320656</v>
      </c>
    </row>
    <row r="86" customFormat="false" ht="12.8" hidden="false" customHeight="false" outlineLevel="0" collapsed="false">
      <c r="A86" s="6" t="n">
        <v>155</v>
      </c>
      <c r="B86" s="7" t="s">
        <v>531</v>
      </c>
      <c r="C86" s="7" t="s">
        <v>531</v>
      </c>
      <c r="D86" s="7" t="s">
        <v>47</v>
      </c>
      <c r="E86" s="7" t="s">
        <v>469</v>
      </c>
      <c r="F86" s="7" t="s">
        <v>87</v>
      </c>
      <c r="G86" s="7" t="s">
        <v>50</v>
      </c>
      <c r="H86" s="7" t="s">
        <v>50</v>
      </c>
      <c r="I86" s="7" t="s">
        <v>50</v>
      </c>
      <c r="J86" s="7" t="s">
        <v>50</v>
      </c>
      <c r="K86" s="7" t="s">
        <v>50</v>
      </c>
      <c r="L86" s="7" t="s">
        <v>50</v>
      </c>
      <c r="M86" s="7" t="s">
        <v>50</v>
      </c>
      <c r="N86" s="7" t="s">
        <v>50</v>
      </c>
      <c r="O86" s="7" t="n">
        <v>239474</v>
      </c>
      <c r="P86" s="7" t="n">
        <v>182001</v>
      </c>
      <c r="Q86" s="8" t="n">
        <f aca="false">(P86/O86)*100</f>
        <v>76.0003173622189</v>
      </c>
      <c r="R86" s="7" t="n">
        <f aca="false">X86-AC86</f>
        <v>5151</v>
      </c>
      <c r="S86" s="8" t="n">
        <f aca="false">(R86/P86)*100</f>
        <v>2.83020422964709</v>
      </c>
      <c r="T86" s="8" t="n">
        <f aca="false">Y86+AD86</f>
        <v>90.0956588150615</v>
      </c>
      <c r="U86" s="7" t="s">
        <v>51</v>
      </c>
      <c r="V86" s="7" t="s">
        <v>52</v>
      </c>
      <c r="W86" s="7" t="s">
        <v>555</v>
      </c>
      <c r="X86" s="7" t="n">
        <v>84563</v>
      </c>
      <c r="Y86" s="8" t="n">
        <f aca="false">(X86/P86)*100</f>
        <v>46.4629315223543</v>
      </c>
      <c r="Z86" s="7" t="s">
        <v>54</v>
      </c>
      <c r="AA86" s="7" t="s">
        <v>67</v>
      </c>
      <c r="AB86" s="7" t="s">
        <v>556</v>
      </c>
      <c r="AC86" s="7" t="n">
        <v>79412</v>
      </c>
      <c r="AD86" s="8" t="n">
        <f aca="false">(AC86/P86)*100</f>
        <v>43.6327272927072</v>
      </c>
      <c r="AE86" s="7" t="s">
        <v>57</v>
      </c>
      <c r="AF86" s="7" t="s">
        <v>57</v>
      </c>
      <c r="AG86" s="7" t="s">
        <v>557</v>
      </c>
      <c r="AH86" s="7" t="n">
        <v>9563</v>
      </c>
      <c r="AI86" s="8" t="n">
        <f aca="false">(AH86/P86)*100</f>
        <v>5.25436673424871</v>
      </c>
      <c r="AJ86" s="7" t="s">
        <v>70</v>
      </c>
      <c r="AK86" s="7" t="s">
        <v>71</v>
      </c>
      <c r="AL86" s="7" t="s">
        <v>558</v>
      </c>
      <c r="AM86" s="7" t="n">
        <v>4040</v>
      </c>
      <c r="AN86" s="8" t="n">
        <f aca="false">(AM86/P86)*100</f>
        <v>2.21976802325262</v>
      </c>
      <c r="AO86" s="10" t="s">
        <v>59</v>
      </c>
      <c r="AP86" s="7" t="s">
        <v>60</v>
      </c>
      <c r="AQ86" s="7" t="s">
        <v>559</v>
      </c>
      <c r="AR86" s="7" t="n">
        <v>1499</v>
      </c>
      <c r="AS86" s="8" t="n">
        <f aca="false">(AR86/P86)*100</f>
        <v>0.823621848231603</v>
      </c>
    </row>
    <row r="87" customFormat="false" ht="12.8" hidden="false" customHeight="false" outlineLevel="0" collapsed="false">
      <c r="A87" s="6" t="n">
        <v>156</v>
      </c>
      <c r="B87" s="7" t="s">
        <v>560</v>
      </c>
      <c r="C87" s="7" t="s">
        <v>531</v>
      </c>
      <c r="D87" s="7" t="s">
        <v>47</v>
      </c>
      <c r="E87" s="7" t="s">
        <v>469</v>
      </c>
      <c r="F87" s="7" t="s">
        <v>49</v>
      </c>
      <c r="G87" s="7" t="s">
        <v>50</v>
      </c>
      <c r="H87" s="7" t="s">
        <v>50</v>
      </c>
      <c r="I87" s="7" t="s">
        <v>50</v>
      </c>
      <c r="J87" s="7" t="s">
        <v>52</v>
      </c>
      <c r="K87" s="7" t="s">
        <v>50</v>
      </c>
      <c r="L87" s="7" t="s">
        <v>50</v>
      </c>
      <c r="M87" s="7" t="s">
        <v>50</v>
      </c>
      <c r="N87" s="7" t="s">
        <v>50</v>
      </c>
      <c r="O87" s="7" t="n">
        <v>243269</v>
      </c>
      <c r="P87" s="7" t="n">
        <v>198781</v>
      </c>
      <c r="Q87" s="8" t="n">
        <f aca="false">(P87/O87)*100</f>
        <v>81.7124253398501</v>
      </c>
      <c r="R87" s="7" t="n">
        <f aca="false">X87-AC87</f>
        <v>17527</v>
      </c>
      <c r="S87" s="8" t="n">
        <f aca="false">(R87/P87)*100</f>
        <v>8.81724108440948</v>
      </c>
      <c r="T87" s="8" t="n">
        <f aca="false">Y87+AD87</f>
        <v>93.260925339947</v>
      </c>
      <c r="U87" s="7" t="s">
        <v>51</v>
      </c>
      <c r="V87" s="7" t="s">
        <v>52</v>
      </c>
      <c r="W87" s="7" t="s">
        <v>561</v>
      </c>
      <c r="X87" s="7" t="n">
        <v>101456</v>
      </c>
      <c r="Y87" s="8" t="n">
        <f aca="false">(X87/P87)*100</f>
        <v>51.0390832121782</v>
      </c>
      <c r="Z87" s="7" t="s">
        <v>54</v>
      </c>
      <c r="AA87" s="7" t="s">
        <v>67</v>
      </c>
      <c r="AB87" s="7" t="s">
        <v>562</v>
      </c>
      <c r="AC87" s="7" t="n">
        <v>83929</v>
      </c>
      <c r="AD87" s="8" t="n">
        <f aca="false">(AC87/P87)*100</f>
        <v>42.2218421277688</v>
      </c>
      <c r="AE87" s="7" t="s">
        <v>57</v>
      </c>
      <c r="AF87" s="7" t="s">
        <v>57</v>
      </c>
      <c r="AG87" s="7" t="s">
        <v>563</v>
      </c>
      <c r="AH87" s="7" t="n">
        <v>8512</v>
      </c>
      <c r="AI87" s="8" t="n">
        <f aca="false">(AH87/P87)*100</f>
        <v>4.28209939581751</v>
      </c>
      <c r="AJ87" s="7" t="s">
        <v>62</v>
      </c>
      <c r="AK87" s="7" t="s">
        <v>62</v>
      </c>
      <c r="AL87" s="7" t="s">
        <v>62</v>
      </c>
      <c r="AM87" s="7" t="n">
        <v>1212</v>
      </c>
      <c r="AN87" s="8" t="n">
        <f aca="false">(AM87/P87)*100</f>
        <v>0.609716220363113</v>
      </c>
      <c r="AO87" s="7" t="s">
        <v>70</v>
      </c>
      <c r="AP87" s="13" t="s">
        <v>564</v>
      </c>
      <c r="AQ87" s="7" t="s">
        <v>565</v>
      </c>
      <c r="AR87" s="7" t="n">
        <v>1189</v>
      </c>
      <c r="AS87" s="8" t="n">
        <f aca="false">(AR87/P87)*100</f>
        <v>0.59814569802949</v>
      </c>
    </row>
    <row r="88" customFormat="false" ht="12.8" hidden="false" customHeight="false" outlineLevel="0" collapsed="false">
      <c r="A88" s="6" t="n">
        <v>157</v>
      </c>
      <c r="B88" s="7" t="s">
        <v>566</v>
      </c>
      <c r="C88" s="7" t="s">
        <v>531</v>
      </c>
      <c r="D88" s="7" t="s">
        <v>47</v>
      </c>
      <c r="E88" s="7" t="s">
        <v>469</v>
      </c>
      <c r="F88" s="7" t="s">
        <v>49</v>
      </c>
      <c r="G88" s="7" t="s">
        <v>50</v>
      </c>
      <c r="H88" s="7" t="s">
        <v>50</v>
      </c>
      <c r="I88" s="7" t="s">
        <v>50</v>
      </c>
      <c r="J88" s="7" t="s">
        <v>50</v>
      </c>
      <c r="K88" s="7" t="s">
        <v>50</v>
      </c>
      <c r="L88" s="7" t="s">
        <v>50</v>
      </c>
      <c r="M88" s="7" t="s">
        <v>50</v>
      </c>
      <c r="N88" s="7" t="s">
        <v>50</v>
      </c>
      <c r="O88" s="7" t="n">
        <v>248629</v>
      </c>
      <c r="P88" s="7" t="n">
        <v>197165</v>
      </c>
      <c r="Q88" s="8" t="n">
        <f aca="false">(P88/O88)*100</f>
        <v>79.3008860591484</v>
      </c>
      <c r="R88" s="7" t="n">
        <f aca="false">X88-AC88</f>
        <v>8259</v>
      </c>
      <c r="S88" s="8" t="n">
        <f aca="false">(R88/P88)*100</f>
        <v>4.18887733624122</v>
      </c>
      <c r="T88" s="8" t="n">
        <f aca="false">Y88+AD88</f>
        <v>93.6510029670581</v>
      </c>
      <c r="U88" s="7" t="s">
        <v>54</v>
      </c>
      <c r="V88" s="7" t="s">
        <v>67</v>
      </c>
      <c r="W88" s="7" t="s">
        <v>567</v>
      </c>
      <c r="X88" s="7" t="n">
        <v>96453</v>
      </c>
      <c r="Y88" s="8" t="n">
        <f aca="false">(X88/P88)*100</f>
        <v>48.9199401516496</v>
      </c>
      <c r="Z88" s="7" t="s">
        <v>51</v>
      </c>
      <c r="AA88" s="7" t="s">
        <v>52</v>
      </c>
      <c r="AB88" s="7" t="s">
        <v>568</v>
      </c>
      <c r="AC88" s="7" t="n">
        <v>88194</v>
      </c>
      <c r="AD88" s="8" t="n">
        <f aca="false">(AC88/P88)*100</f>
        <v>44.7310628154084</v>
      </c>
      <c r="AE88" s="7" t="s">
        <v>57</v>
      </c>
      <c r="AF88" s="7" t="s">
        <v>57</v>
      </c>
      <c r="AG88" s="7" t="s">
        <v>569</v>
      </c>
      <c r="AH88" s="7" t="n">
        <v>6958</v>
      </c>
      <c r="AI88" s="8" t="n">
        <f aca="false">(AH88/P88)*100</f>
        <v>3.52902391398068</v>
      </c>
      <c r="AJ88" s="7" t="s">
        <v>59</v>
      </c>
      <c r="AK88" s="10" t="s">
        <v>73</v>
      </c>
      <c r="AL88" s="7" t="s">
        <v>570</v>
      </c>
      <c r="AM88" s="7" t="n">
        <v>2470</v>
      </c>
      <c r="AN88" s="8" t="n">
        <f aca="false">(AM88/P88)*100</f>
        <v>1.25275784241625</v>
      </c>
      <c r="AO88" s="7" t="s">
        <v>62</v>
      </c>
      <c r="AP88" s="7" t="s">
        <v>62</v>
      </c>
      <c r="AQ88" s="7" t="s">
        <v>62</v>
      </c>
      <c r="AR88" s="7" t="n">
        <v>1058</v>
      </c>
      <c r="AS88" s="8" t="n">
        <f aca="false">(AR88/P88)*100</f>
        <v>0.536606395658459</v>
      </c>
    </row>
    <row r="89" customFormat="false" ht="12.8" hidden="false" customHeight="false" outlineLevel="0" collapsed="false">
      <c r="A89" s="6" t="n">
        <v>158</v>
      </c>
      <c r="B89" s="7" t="s">
        <v>571</v>
      </c>
      <c r="C89" s="7" t="s">
        <v>531</v>
      </c>
      <c r="D89" s="7" t="s">
        <v>47</v>
      </c>
      <c r="E89" s="7" t="s">
        <v>469</v>
      </c>
      <c r="F89" s="7" t="s">
        <v>76</v>
      </c>
      <c r="G89" s="7" t="s">
        <v>50</v>
      </c>
      <c r="H89" s="7" t="s">
        <v>50</v>
      </c>
      <c r="I89" s="7" t="s">
        <v>50</v>
      </c>
      <c r="J89" s="7" t="s">
        <v>50</v>
      </c>
      <c r="K89" s="7" t="s">
        <v>50</v>
      </c>
      <c r="L89" s="7" t="s">
        <v>50</v>
      </c>
      <c r="M89" s="7" t="s">
        <v>50</v>
      </c>
      <c r="N89" s="7" t="s">
        <v>50</v>
      </c>
      <c r="O89" s="7" t="n">
        <v>251100</v>
      </c>
      <c r="P89" s="7" t="n">
        <v>183352</v>
      </c>
      <c r="Q89" s="8" t="n">
        <f aca="false">(P89/O89)*100</f>
        <v>73.0195141377937</v>
      </c>
      <c r="R89" s="7" t="n">
        <f aca="false">X89-AC89</f>
        <v>16937</v>
      </c>
      <c r="S89" s="8" t="n">
        <f aca="false">(R89/P89)*100</f>
        <v>9.23742309873904</v>
      </c>
      <c r="T89" s="8" t="n">
        <f aca="false">Y89+AD89</f>
        <v>91.0734543391946</v>
      </c>
      <c r="U89" s="7" t="s">
        <v>54</v>
      </c>
      <c r="V89" s="7" t="s">
        <v>67</v>
      </c>
      <c r="W89" s="7" t="s">
        <v>572</v>
      </c>
      <c r="X89" s="7" t="n">
        <v>91961</v>
      </c>
      <c r="Y89" s="8" t="n">
        <f aca="false">(X89/P89)*100</f>
        <v>50.1554387189668</v>
      </c>
      <c r="Z89" s="7" t="s">
        <v>51</v>
      </c>
      <c r="AA89" s="17" t="s">
        <v>341</v>
      </c>
      <c r="AB89" s="7" t="s">
        <v>573</v>
      </c>
      <c r="AC89" s="7" t="n">
        <v>75024</v>
      </c>
      <c r="AD89" s="8" t="n">
        <f aca="false">(AC89/P89)*100</f>
        <v>40.9180156202278</v>
      </c>
      <c r="AE89" s="7" t="s">
        <v>57</v>
      </c>
      <c r="AF89" s="7" t="s">
        <v>57</v>
      </c>
      <c r="AG89" s="7" t="s">
        <v>574</v>
      </c>
      <c r="AH89" s="7" t="n">
        <v>9071</v>
      </c>
      <c r="AI89" s="8" t="n">
        <f aca="false">(AH89/P89)*100</f>
        <v>4.94731445525547</v>
      </c>
      <c r="AJ89" s="7" t="s">
        <v>70</v>
      </c>
      <c r="AK89" s="7" t="s">
        <v>71</v>
      </c>
      <c r="AL89" s="7" t="s">
        <v>575</v>
      </c>
      <c r="AM89" s="7" t="n">
        <v>2953</v>
      </c>
      <c r="AN89" s="8" t="n">
        <f aca="false">(AM89/P89)*100</f>
        <v>1.61056328810158</v>
      </c>
      <c r="AO89" s="10" t="s">
        <v>59</v>
      </c>
      <c r="AP89" s="7" t="s">
        <v>73</v>
      </c>
      <c r="AQ89" s="7" t="s">
        <v>576</v>
      </c>
      <c r="AR89" s="7" t="n">
        <v>1388</v>
      </c>
      <c r="AS89" s="8" t="n">
        <f aca="false">(AR89/P89)*100</f>
        <v>0.757013831318993</v>
      </c>
    </row>
    <row r="90" customFormat="false" ht="12.8" hidden="false" customHeight="false" outlineLevel="0" collapsed="false">
      <c r="A90" s="6" t="n">
        <v>159</v>
      </c>
      <c r="B90" s="7" t="s">
        <v>577</v>
      </c>
      <c r="C90" s="7" t="s">
        <v>531</v>
      </c>
      <c r="D90" s="7" t="s">
        <v>47</v>
      </c>
      <c r="E90" s="7" t="s">
        <v>469</v>
      </c>
      <c r="F90" s="7" t="s">
        <v>49</v>
      </c>
      <c r="G90" s="7" t="s">
        <v>64</v>
      </c>
      <c r="H90" s="7" t="s">
        <v>50</v>
      </c>
      <c r="I90" s="7" t="s">
        <v>50</v>
      </c>
      <c r="J90" s="7" t="s">
        <v>50</v>
      </c>
      <c r="K90" s="7" t="s">
        <v>50</v>
      </c>
      <c r="L90" s="7" t="s">
        <v>50</v>
      </c>
      <c r="M90" s="7" t="s">
        <v>50</v>
      </c>
      <c r="N90" s="7" t="s">
        <v>50</v>
      </c>
      <c r="O90" s="7" t="n">
        <v>229154</v>
      </c>
      <c r="P90" s="7" t="n">
        <v>175561</v>
      </c>
      <c r="Q90" s="8" t="n">
        <f aca="false">(P90/O90)*100</f>
        <v>76.6126709549037</v>
      </c>
      <c r="R90" s="7" t="n">
        <f aca="false">X90-AC90</f>
        <v>10565</v>
      </c>
      <c r="S90" s="8" t="n">
        <f aca="false">(R90/P90)*100</f>
        <v>6.01785134511651</v>
      </c>
      <c r="T90" s="8" t="n">
        <f aca="false">Y90+AD90</f>
        <v>92.0175893279259</v>
      </c>
      <c r="U90" s="7" t="s">
        <v>51</v>
      </c>
      <c r="V90" s="7" t="s">
        <v>256</v>
      </c>
      <c r="W90" s="7" t="s">
        <v>578</v>
      </c>
      <c r="X90" s="7" t="n">
        <v>86056</v>
      </c>
      <c r="Y90" s="8" t="n">
        <f aca="false">(X90/P90)*100</f>
        <v>49.0177203365212</v>
      </c>
      <c r="Z90" s="7" t="s">
        <v>54</v>
      </c>
      <c r="AA90" s="7" t="s">
        <v>67</v>
      </c>
      <c r="AB90" s="7" t="s">
        <v>579</v>
      </c>
      <c r="AC90" s="7" t="n">
        <v>75491</v>
      </c>
      <c r="AD90" s="8" t="n">
        <f aca="false">(AC90/P90)*100</f>
        <v>42.9998689914047</v>
      </c>
      <c r="AE90" s="7" t="s">
        <v>57</v>
      </c>
      <c r="AF90" s="7" t="s">
        <v>57</v>
      </c>
      <c r="AG90" s="7" t="s">
        <v>580</v>
      </c>
      <c r="AH90" s="7" t="n">
        <v>6806</v>
      </c>
      <c r="AI90" s="8" t="n">
        <f aca="false">(AH90/P90)*100</f>
        <v>3.87671521579394</v>
      </c>
      <c r="AJ90" s="7" t="s">
        <v>59</v>
      </c>
      <c r="AK90" s="7" t="s">
        <v>73</v>
      </c>
      <c r="AL90" s="7" t="s">
        <v>581</v>
      </c>
      <c r="AM90" s="7" t="n">
        <v>1904</v>
      </c>
      <c r="AN90" s="8" t="n">
        <f aca="false">(AM90/P90)*100</f>
        <v>1.084523328074</v>
      </c>
      <c r="AO90" s="7" t="s">
        <v>70</v>
      </c>
      <c r="AP90" s="7" t="s">
        <v>71</v>
      </c>
      <c r="AQ90" s="7" t="s">
        <v>582</v>
      </c>
      <c r="AR90" s="7" t="n">
        <v>1415</v>
      </c>
      <c r="AS90" s="8" t="n">
        <f aca="false">(AR90/P90)*100</f>
        <v>0.805987662407938</v>
      </c>
    </row>
    <row r="91" customFormat="false" ht="12.8" hidden="false" customHeight="false" outlineLevel="0" collapsed="false">
      <c r="A91" s="6" t="n">
        <v>81</v>
      </c>
      <c r="B91" s="7" t="s">
        <v>583</v>
      </c>
      <c r="C91" s="7" t="s">
        <v>584</v>
      </c>
      <c r="D91" s="7" t="s">
        <v>585</v>
      </c>
      <c r="E91" s="7" t="s">
        <v>364</v>
      </c>
      <c r="F91" s="7" t="s">
        <v>49</v>
      </c>
      <c r="G91" s="7" t="s">
        <v>64</v>
      </c>
      <c r="H91" s="7" t="s">
        <v>50</v>
      </c>
      <c r="I91" s="7" t="s">
        <v>50</v>
      </c>
      <c r="J91" s="7" t="s">
        <v>50</v>
      </c>
      <c r="K91" s="7" t="s">
        <v>50</v>
      </c>
      <c r="L91" s="7" t="s">
        <v>50</v>
      </c>
      <c r="M91" s="7" t="s">
        <v>50</v>
      </c>
      <c r="N91" s="7" t="s">
        <v>50</v>
      </c>
      <c r="O91" s="7" t="n">
        <v>239024</v>
      </c>
      <c r="P91" s="7" t="n">
        <v>186503</v>
      </c>
      <c r="Q91" s="8" t="n">
        <f aca="false">(P91/O91)*100</f>
        <v>78.0268926969677</v>
      </c>
      <c r="R91" s="7" t="n">
        <f aca="false">X91-AC91</f>
        <v>7361</v>
      </c>
      <c r="S91" s="8" t="n">
        <f aca="false">(R91/P91)*100</f>
        <v>3.94685340182195</v>
      </c>
      <c r="T91" s="8" t="n">
        <f aca="false">Y91+AD91</f>
        <v>92.1030760899289</v>
      </c>
      <c r="U91" s="7" t="s">
        <v>54</v>
      </c>
      <c r="V91" s="7" t="s">
        <v>67</v>
      </c>
      <c r="W91" s="7" t="s">
        <v>358</v>
      </c>
      <c r="X91" s="7" t="n">
        <v>89568</v>
      </c>
      <c r="Y91" s="8" t="n">
        <f aca="false">(X91/P91)*100</f>
        <v>48.0249647458754</v>
      </c>
      <c r="Z91" s="7" t="s">
        <v>51</v>
      </c>
      <c r="AA91" s="7" t="s">
        <v>52</v>
      </c>
      <c r="AB91" s="7" t="s">
        <v>586</v>
      </c>
      <c r="AC91" s="7" t="n">
        <v>82207</v>
      </c>
      <c r="AD91" s="8" t="n">
        <f aca="false">(AC91/P91)*100</f>
        <v>44.0781113440535</v>
      </c>
      <c r="AE91" s="7" t="s">
        <v>57</v>
      </c>
      <c r="AF91" s="7" t="s">
        <v>57</v>
      </c>
      <c r="AG91" s="7" t="s">
        <v>587</v>
      </c>
      <c r="AH91" s="7" t="n">
        <v>9323</v>
      </c>
      <c r="AI91" s="8" t="n">
        <f aca="false">(AH91/P91)*100</f>
        <v>4.99884720353024</v>
      </c>
      <c r="AJ91" s="7" t="s">
        <v>59</v>
      </c>
      <c r="AK91" s="7" t="s">
        <v>73</v>
      </c>
      <c r="AL91" s="7" t="s">
        <v>588</v>
      </c>
      <c r="AM91" s="7" t="n">
        <v>1519</v>
      </c>
      <c r="AN91" s="8" t="n">
        <f aca="false">(AM91/P91)*100</f>
        <v>0.814464110496882</v>
      </c>
      <c r="AO91" s="7" t="s">
        <v>62</v>
      </c>
      <c r="AP91" s="7" t="s">
        <v>62</v>
      </c>
      <c r="AQ91" s="7" t="s">
        <v>62</v>
      </c>
      <c r="AR91" s="7" t="n">
        <v>1251</v>
      </c>
      <c r="AS91" s="8" t="n">
        <f aca="false">(AR91/P91)*100</f>
        <v>0.670766690080052</v>
      </c>
    </row>
    <row r="92" customFormat="false" ht="12.8" hidden="false" customHeight="false" outlineLevel="0" collapsed="false">
      <c r="A92" s="6" t="n">
        <v>82</v>
      </c>
      <c r="B92" s="7" t="s">
        <v>589</v>
      </c>
      <c r="C92" s="7" t="s">
        <v>584</v>
      </c>
      <c r="D92" s="7" t="s">
        <v>585</v>
      </c>
      <c r="E92" s="7" t="s">
        <v>364</v>
      </c>
      <c r="F92" s="7" t="s">
        <v>76</v>
      </c>
      <c r="G92" s="7" t="s">
        <v>64</v>
      </c>
      <c r="H92" s="7" t="s">
        <v>50</v>
      </c>
      <c r="I92" s="7" t="s">
        <v>50</v>
      </c>
      <c r="J92" s="7" t="s">
        <v>50</v>
      </c>
      <c r="K92" s="7" t="s">
        <v>65</v>
      </c>
      <c r="L92" s="7" t="s">
        <v>67</v>
      </c>
      <c r="M92" s="7" t="s">
        <v>50</v>
      </c>
      <c r="N92" s="7" t="s">
        <v>50</v>
      </c>
      <c r="O92" s="7" t="n">
        <v>254705</v>
      </c>
      <c r="P92" s="7" t="n">
        <v>199743</v>
      </c>
      <c r="Q92" s="8" t="n">
        <f aca="false">(P92/O92)*100</f>
        <v>78.4213109283289</v>
      </c>
      <c r="R92" s="7" t="n">
        <f aca="false">X92-AC92</f>
        <v>8257</v>
      </c>
      <c r="S92" s="8" t="n">
        <f aca="false">(R92/P92)*100</f>
        <v>4.13381194835363</v>
      </c>
      <c r="T92" s="8" t="n">
        <f aca="false">Y92+AD92</f>
        <v>91.2968164090857</v>
      </c>
      <c r="U92" s="7" t="s">
        <v>54</v>
      </c>
      <c r="V92" s="7" t="s">
        <v>67</v>
      </c>
      <c r="W92" s="7" t="s">
        <v>590</v>
      </c>
      <c r="X92" s="7" t="n">
        <v>95308</v>
      </c>
      <c r="Y92" s="8" t="n">
        <f aca="false">(X92/P92)*100</f>
        <v>47.7153141787197</v>
      </c>
      <c r="Z92" s="7" t="s">
        <v>51</v>
      </c>
      <c r="AA92" s="7" t="s">
        <v>52</v>
      </c>
      <c r="AB92" s="7" t="s">
        <v>591</v>
      </c>
      <c r="AC92" s="7" t="n">
        <v>87051</v>
      </c>
      <c r="AD92" s="8" t="n">
        <f aca="false">(AC92/P92)*100</f>
        <v>43.581502230366</v>
      </c>
      <c r="AE92" s="7" t="s">
        <v>57</v>
      </c>
      <c r="AF92" s="7" t="s">
        <v>57</v>
      </c>
      <c r="AG92" s="7" t="s">
        <v>592</v>
      </c>
      <c r="AH92" s="7" t="n">
        <v>10233</v>
      </c>
      <c r="AI92" s="8" t="n">
        <f aca="false">(AH92/P92)*100</f>
        <v>5.12308316186299</v>
      </c>
      <c r="AJ92" s="7" t="s">
        <v>70</v>
      </c>
      <c r="AK92" s="7" t="s">
        <v>71</v>
      </c>
      <c r="AL92" s="7" t="s">
        <v>149</v>
      </c>
      <c r="AM92" s="7" t="n">
        <v>1959</v>
      </c>
      <c r="AN92" s="8" t="n">
        <f aca="false">(AM92/P92)*100</f>
        <v>0.980760276955888</v>
      </c>
      <c r="AO92" s="7" t="s">
        <v>62</v>
      </c>
      <c r="AP92" s="7" t="s">
        <v>62</v>
      </c>
      <c r="AQ92" s="7" t="s">
        <v>62</v>
      </c>
      <c r="AR92" s="7" t="n">
        <v>1834</v>
      </c>
      <c r="AS92" s="8" t="n">
        <f aca="false">(AR92/P92)*100</f>
        <v>0.918179861121541</v>
      </c>
    </row>
    <row r="93" customFormat="false" ht="12.8" hidden="false" customHeight="false" outlineLevel="0" collapsed="false">
      <c r="A93" s="6" t="n">
        <v>83</v>
      </c>
      <c r="B93" s="7" t="s">
        <v>593</v>
      </c>
      <c r="C93" s="7" t="s">
        <v>584</v>
      </c>
      <c r="D93" s="7" t="s">
        <v>585</v>
      </c>
      <c r="E93" s="7" t="s">
        <v>364</v>
      </c>
      <c r="F93" s="7" t="s">
        <v>49</v>
      </c>
      <c r="G93" s="7" t="s">
        <v>594</v>
      </c>
      <c r="H93" s="7" t="s">
        <v>315</v>
      </c>
      <c r="I93" s="7" t="s">
        <v>50</v>
      </c>
      <c r="J93" s="7" t="s">
        <v>50</v>
      </c>
      <c r="K93" s="7" t="s">
        <v>50</v>
      </c>
      <c r="L93" s="7" t="s">
        <v>67</v>
      </c>
      <c r="M93" s="7" t="s">
        <v>50</v>
      </c>
      <c r="N93" s="7" t="s">
        <v>50</v>
      </c>
      <c r="O93" s="7" t="n">
        <v>284029</v>
      </c>
      <c r="P93" s="7" t="n">
        <v>238924</v>
      </c>
      <c r="Q93" s="8" t="n">
        <f aca="false">(P93/O93)*100</f>
        <v>84.1195793387295</v>
      </c>
      <c r="R93" s="7" t="n">
        <f aca="false">X93-AC93</f>
        <v>25955</v>
      </c>
      <c r="S93" s="8" t="n">
        <f aca="false">(R93/P93)*100</f>
        <v>10.8632870703655</v>
      </c>
      <c r="T93" s="8" t="n">
        <f aca="false">Y93+AD93</f>
        <v>90.8937570105975</v>
      </c>
      <c r="U93" s="7" t="s">
        <v>54</v>
      </c>
      <c r="V93" s="7" t="s">
        <v>67</v>
      </c>
      <c r="W93" s="7" t="s">
        <v>595</v>
      </c>
      <c r="X93" s="7" t="n">
        <v>121561</v>
      </c>
      <c r="Y93" s="8" t="n">
        <f aca="false">(X93/P93)*100</f>
        <v>50.8785220404815</v>
      </c>
      <c r="Z93" s="7" t="s">
        <v>51</v>
      </c>
      <c r="AA93" s="7" t="s">
        <v>52</v>
      </c>
      <c r="AB93" s="7" t="s">
        <v>596</v>
      </c>
      <c r="AC93" s="7" t="n">
        <v>95606</v>
      </c>
      <c r="AD93" s="8" t="n">
        <f aca="false">(AC93/P93)*100</f>
        <v>40.015234970116</v>
      </c>
      <c r="AE93" s="7" t="s">
        <v>57</v>
      </c>
      <c r="AF93" s="7" t="s">
        <v>57</v>
      </c>
      <c r="AG93" s="7" t="s">
        <v>597</v>
      </c>
      <c r="AH93" s="7" t="n">
        <v>13308</v>
      </c>
      <c r="AI93" s="8" t="n">
        <f aca="false">(AH93/P93)*100</f>
        <v>5.56997204131858</v>
      </c>
      <c r="AJ93" s="7" t="s">
        <v>59</v>
      </c>
      <c r="AK93" s="7" t="s">
        <v>60</v>
      </c>
      <c r="AL93" s="7" t="s">
        <v>598</v>
      </c>
      <c r="AM93" s="7" t="n">
        <v>2986</v>
      </c>
      <c r="AN93" s="8" t="n">
        <f aca="false">(AM93/P93)*100</f>
        <v>1.24976980127572</v>
      </c>
      <c r="AO93" s="7" t="s">
        <v>62</v>
      </c>
      <c r="AP93" s="7" t="s">
        <v>62</v>
      </c>
      <c r="AQ93" s="7" t="s">
        <v>62</v>
      </c>
      <c r="AR93" s="7" t="n">
        <v>1979</v>
      </c>
      <c r="AS93" s="8" t="n">
        <f aca="false">(AR93/P93)*100</f>
        <v>0.828296864274832</v>
      </c>
    </row>
    <row r="94" customFormat="false" ht="12.8" hidden="false" customHeight="false" outlineLevel="0" collapsed="false">
      <c r="A94" s="6" t="n">
        <v>84</v>
      </c>
      <c r="B94" s="7" t="s">
        <v>599</v>
      </c>
      <c r="C94" s="7" t="s">
        <v>584</v>
      </c>
      <c r="D94" s="7" t="s">
        <v>585</v>
      </c>
      <c r="E94" s="7" t="s">
        <v>364</v>
      </c>
      <c r="F94" s="7" t="s">
        <v>76</v>
      </c>
      <c r="G94" s="7" t="s">
        <v>50</v>
      </c>
      <c r="H94" s="7" t="s">
        <v>50</v>
      </c>
      <c r="I94" s="7" t="s">
        <v>50</v>
      </c>
      <c r="J94" s="7" t="s">
        <v>50</v>
      </c>
      <c r="K94" s="7" t="s">
        <v>50</v>
      </c>
      <c r="L94" s="7" t="s">
        <v>67</v>
      </c>
      <c r="M94" s="7" t="s">
        <v>50</v>
      </c>
      <c r="N94" s="7" t="s">
        <v>50</v>
      </c>
      <c r="O94" s="7" t="n">
        <v>296192</v>
      </c>
      <c r="P94" s="7" t="n">
        <v>249027</v>
      </c>
      <c r="Q94" s="8" t="n">
        <f aca="false">(P94/O94)*100</f>
        <v>84.0762073249784</v>
      </c>
      <c r="R94" s="7" t="n">
        <f aca="false">X94-AC94</f>
        <v>55294</v>
      </c>
      <c r="S94" s="8" t="n">
        <f aca="false">(R94/P94)*100</f>
        <v>22.2040180382047</v>
      </c>
      <c r="T94" s="8" t="n">
        <f aca="false">Y94+AD94</f>
        <v>92.231766033402</v>
      </c>
      <c r="U94" s="7" t="s">
        <v>54</v>
      </c>
      <c r="V94" s="7" t="s">
        <v>67</v>
      </c>
      <c r="W94" s="7" t="s">
        <v>600</v>
      </c>
      <c r="X94" s="7" t="n">
        <v>142488</v>
      </c>
      <c r="Y94" s="8" t="n">
        <f aca="false">(X94/P94)*100</f>
        <v>57.2178920358033</v>
      </c>
      <c r="Z94" s="7" t="s">
        <v>51</v>
      </c>
      <c r="AA94" s="7" t="s">
        <v>65</v>
      </c>
      <c r="AB94" s="7" t="s">
        <v>601</v>
      </c>
      <c r="AC94" s="7" t="n">
        <v>87194</v>
      </c>
      <c r="AD94" s="8" t="n">
        <f aca="false">(AC94/P94)*100</f>
        <v>35.0138739975987</v>
      </c>
      <c r="AE94" s="7" t="s">
        <v>57</v>
      </c>
      <c r="AF94" s="7" t="s">
        <v>57</v>
      </c>
      <c r="AG94" s="7" t="s">
        <v>602</v>
      </c>
      <c r="AH94" s="7" t="n">
        <v>9416</v>
      </c>
      <c r="AI94" s="8" t="n">
        <f aca="false">(AH94/P94)*100</f>
        <v>3.78111610387629</v>
      </c>
      <c r="AJ94" s="7" t="s">
        <v>70</v>
      </c>
      <c r="AK94" s="7" t="s">
        <v>71</v>
      </c>
      <c r="AL94" s="7" t="s">
        <v>603</v>
      </c>
      <c r="AM94" s="7" t="n">
        <v>2930</v>
      </c>
      <c r="AN94" s="8" t="n">
        <f aca="false">(AM94/P94)*100</f>
        <v>1.17657924642709</v>
      </c>
      <c r="AO94" s="7" t="s">
        <v>62</v>
      </c>
      <c r="AP94" s="7" t="s">
        <v>62</v>
      </c>
      <c r="AQ94" s="7" t="s">
        <v>62</v>
      </c>
      <c r="AR94" s="7" t="n">
        <v>1600</v>
      </c>
      <c r="AS94" s="8" t="n">
        <f aca="false">(AR94/P94)*100</f>
        <v>0.642500612383396</v>
      </c>
    </row>
    <row r="95" customFormat="false" ht="12.8" hidden="false" customHeight="false" outlineLevel="0" collapsed="false">
      <c r="A95" s="6" t="n">
        <v>85</v>
      </c>
      <c r="B95" s="7" t="s">
        <v>604</v>
      </c>
      <c r="C95" s="7" t="s">
        <v>584</v>
      </c>
      <c r="D95" s="7" t="s">
        <v>585</v>
      </c>
      <c r="E95" s="7" t="s">
        <v>364</v>
      </c>
      <c r="F95" s="7" t="s">
        <v>49</v>
      </c>
      <c r="G95" s="7" t="s">
        <v>50</v>
      </c>
      <c r="H95" s="7" t="s">
        <v>50</v>
      </c>
      <c r="I95" s="7" t="s">
        <v>50</v>
      </c>
      <c r="J95" s="7" t="s">
        <v>50</v>
      </c>
      <c r="K95" s="7" t="s">
        <v>67</v>
      </c>
      <c r="L95" s="7" t="s">
        <v>50</v>
      </c>
      <c r="M95" s="7" t="s">
        <v>50</v>
      </c>
      <c r="N95" s="7" t="s">
        <v>50</v>
      </c>
      <c r="O95" s="7" t="n">
        <v>286849</v>
      </c>
      <c r="P95" s="7" t="n">
        <v>218442</v>
      </c>
      <c r="Q95" s="8" t="n">
        <f aca="false">(P95/O95)*100</f>
        <v>76.1522612942698</v>
      </c>
      <c r="R95" s="7" t="n">
        <f aca="false">X95-AC95</f>
        <v>656</v>
      </c>
      <c r="S95" s="8" t="n">
        <f aca="false">(R95/P95)*100</f>
        <v>0.300308548722315</v>
      </c>
      <c r="T95" s="8" t="n">
        <f aca="false">Y95+AD95</f>
        <v>88.5608079032421</v>
      </c>
      <c r="U95" s="7" t="s">
        <v>54</v>
      </c>
      <c r="V95" s="7" t="s">
        <v>55</v>
      </c>
      <c r="W95" s="7" t="s">
        <v>605</v>
      </c>
      <c r="X95" s="7" t="n">
        <v>97055</v>
      </c>
      <c r="Y95" s="8" t="n">
        <f aca="false">(X95/P95)*100</f>
        <v>44.4305582259822</v>
      </c>
      <c r="Z95" s="7" t="s">
        <v>51</v>
      </c>
      <c r="AA95" s="7" t="s">
        <v>52</v>
      </c>
      <c r="AB95" s="7" t="s">
        <v>606</v>
      </c>
      <c r="AC95" s="7" t="n">
        <v>96399</v>
      </c>
      <c r="AD95" s="8" t="n">
        <f aca="false">(AC95/P95)*100</f>
        <v>44.1302496772599</v>
      </c>
      <c r="AE95" s="7" t="s">
        <v>57</v>
      </c>
      <c r="AF95" s="7" t="s">
        <v>57</v>
      </c>
      <c r="AG95" s="7" t="s">
        <v>607</v>
      </c>
      <c r="AH95" s="7" t="n">
        <v>9109</v>
      </c>
      <c r="AI95" s="8" t="n">
        <f aca="false">(AH95/P95)*100</f>
        <v>4.16998562547495</v>
      </c>
      <c r="AJ95" s="7" t="s">
        <v>70</v>
      </c>
      <c r="AK95" s="7" t="s">
        <v>71</v>
      </c>
      <c r="AL95" s="7" t="s">
        <v>608</v>
      </c>
      <c r="AM95" s="7" t="n">
        <v>4605</v>
      </c>
      <c r="AN95" s="8" t="n">
        <f aca="false">(AM95/P95)*100</f>
        <v>2.10811107754003</v>
      </c>
      <c r="AO95" s="7" t="s">
        <v>196</v>
      </c>
      <c r="AP95" s="7" t="s">
        <v>196</v>
      </c>
      <c r="AQ95" s="7" t="s">
        <v>609</v>
      </c>
      <c r="AR95" s="7" t="n">
        <v>2823</v>
      </c>
      <c r="AS95" s="8" t="n">
        <f aca="false">(AR95/P95)*100</f>
        <v>1.29233389183399</v>
      </c>
    </row>
    <row r="96" customFormat="false" ht="12.8" hidden="false" customHeight="false" outlineLevel="0" collapsed="false">
      <c r="A96" s="6" t="n">
        <v>86</v>
      </c>
      <c r="B96" s="7" t="s">
        <v>610</v>
      </c>
      <c r="C96" s="7" t="s">
        <v>584</v>
      </c>
      <c r="D96" s="7" t="s">
        <v>585</v>
      </c>
      <c r="E96" s="7" t="s">
        <v>364</v>
      </c>
      <c r="F96" s="7" t="s">
        <v>76</v>
      </c>
      <c r="G96" s="7" t="s">
        <v>50</v>
      </c>
      <c r="H96" s="7" t="s">
        <v>50</v>
      </c>
      <c r="I96" s="7" t="s">
        <v>67</v>
      </c>
      <c r="J96" s="7" t="s">
        <v>67</v>
      </c>
      <c r="K96" s="7" t="s">
        <v>50</v>
      </c>
      <c r="L96" s="7" t="s">
        <v>67</v>
      </c>
      <c r="M96" s="7" t="s">
        <v>50</v>
      </c>
      <c r="N96" s="7" t="s">
        <v>50</v>
      </c>
      <c r="O96" s="7" t="n">
        <v>285298</v>
      </c>
      <c r="P96" s="7" t="n">
        <v>247301</v>
      </c>
      <c r="Q96" s="8" t="n">
        <f aca="false">(P96/O96)*100</f>
        <v>86.6816451569937</v>
      </c>
      <c r="R96" s="7" t="n">
        <f aca="false">X96-AC96</f>
        <v>93802</v>
      </c>
      <c r="S96" s="8" t="n">
        <f aca="false">(R96/P96)*100</f>
        <v>37.930295469893</v>
      </c>
      <c r="T96" s="8" t="n">
        <f aca="false">Y96+AD96</f>
        <v>94.0174119797332</v>
      </c>
      <c r="U96" s="7" t="s">
        <v>54</v>
      </c>
      <c r="V96" s="7" t="s">
        <v>67</v>
      </c>
      <c r="W96" s="7" t="s">
        <v>611</v>
      </c>
      <c r="X96" s="7" t="n">
        <v>163154</v>
      </c>
      <c r="Y96" s="8" t="n">
        <f aca="false">(X96/P96)*100</f>
        <v>65.9738537248131</v>
      </c>
      <c r="Z96" s="7" t="s">
        <v>51</v>
      </c>
      <c r="AA96" s="7" t="s">
        <v>52</v>
      </c>
      <c r="AB96" s="7" t="s">
        <v>612</v>
      </c>
      <c r="AC96" s="7" t="n">
        <v>69352</v>
      </c>
      <c r="AD96" s="8" t="n">
        <f aca="false">(AC96/P96)*100</f>
        <v>28.0435582549201</v>
      </c>
      <c r="AE96" s="7" t="s">
        <v>57</v>
      </c>
      <c r="AF96" s="7" t="s">
        <v>57</v>
      </c>
      <c r="AG96" s="7" t="s">
        <v>613</v>
      </c>
      <c r="AH96" s="7" t="n">
        <v>6626</v>
      </c>
      <c r="AI96" s="8" t="n">
        <f aca="false">(AH96/P96)*100</f>
        <v>2.67932600353416</v>
      </c>
      <c r="AJ96" s="7" t="s">
        <v>70</v>
      </c>
      <c r="AK96" s="7" t="s">
        <v>71</v>
      </c>
      <c r="AL96" s="7" t="s">
        <v>614</v>
      </c>
      <c r="AM96" s="7" t="n">
        <v>1547</v>
      </c>
      <c r="AN96" s="8" t="n">
        <f aca="false">(AM96/P96)*100</f>
        <v>0.62555347531955</v>
      </c>
      <c r="AO96" s="7" t="s">
        <v>62</v>
      </c>
      <c r="AP96" s="7" t="s">
        <v>62</v>
      </c>
      <c r="AQ96" s="7" t="s">
        <v>62</v>
      </c>
      <c r="AR96" s="7" t="n">
        <v>1091</v>
      </c>
      <c r="AS96" s="8" t="n">
        <f aca="false">(AR96/P96)*100</f>
        <v>0.441162793518829</v>
      </c>
    </row>
    <row r="97" customFormat="false" ht="12.8" hidden="false" customHeight="false" outlineLevel="0" collapsed="false">
      <c r="A97" s="6" t="n">
        <v>87</v>
      </c>
      <c r="B97" s="7" t="s">
        <v>615</v>
      </c>
      <c r="C97" s="7" t="s">
        <v>584</v>
      </c>
      <c r="D97" s="7" t="s">
        <v>585</v>
      </c>
      <c r="E97" s="7" t="s">
        <v>364</v>
      </c>
      <c r="F97" s="7" t="s">
        <v>49</v>
      </c>
      <c r="G97" s="7" t="s">
        <v>50</v>
      </c>
      <c r="H97" s="7" t="s">
        <v>50</v>
      </c>
      <c r="I97" s="7" t="s">
        <v>50</v>
      </c>
      <c r="J97" s="7" t="s">
        <v>50</v>
      </c>
      <c r="K97" s="7" t="s">
        <v>67</v>
      </c>
      <c r="L97" s="7" t="s">
        <v>67</v>
      </c>
      <c r="M97" s="7" t="s">
        <v>50</v>
      </c>
      <c r="N97" s="7" t="s">
        <v>50</v>
      </c>
      <c r="O97" s="7" t="n">
        <v>274307</v>
      </c>
      <c r="P97" s="7" t="n">
        <v>232247</v>
      </c>
      <c r="Q97" s="8" t="n">
        <f aca="false">(P97/O97)*100</f>
        <v>84.6668149190506</v>
      </c>
      <c r="R97" s="7" t="n">
        <f aca="false">X97-AC97</f>
        <v>20045</v>
      </c>
      <c r="S97" s="8" t="n">
        <f aca="false">(R97/P97)*100</f>
        <v>8.63089727746752</v>
      </c>
      <c r="T97" s="8" t="n">
        <f aca="false">Y97+AD97</f>
        <v>90.808062106292</v>
      </c>
      <c r="U97" s="7" t="s">
        <v>54</v>
      </c>
      <c r="V97" s="7" t="s">
        <v>67</v>
      </c>
      <c r="W97" s="7" t="s">
        <v>616</v>
      </c>
      <c r="X97" s="7" t="n">
        <v>115472</v>
      </c>
      <c r="Y97" s="8" t="n">
        <f aca="false">(X97/P97)*100</f>
        <v>49.7194796918798</v>
      </c>
      <c r="Z97" s="7" t="s">
        <v>51</v>
      </c>
      <c r="AA97" s="7" t="s">
        <v>52</v>
      </c>
      <c r="AB97" s="7" t="s">
        <v>617</v>
      </c>
      <c r="AC97" s="7" t="n">
        <v>95427</v>
      </c>
      <c r="AD97" s="8" t="n">
        <f aca="false">(AC97/P97)*100</f>
        <v>41.0885824144122</v>
      </c>
      <c r="AE97" s="7" t="s">
        <v>57</v>
      </c>
      <c r="AF97" s="7" t="s">
        <v>57</v>
      </c>
      <c r="AG97" s="7" t="s">
        <v>618</v>
      </c>
      <c r="AH97" s="7" t="n">
        <v>10862</v>
      </c>
      <c r="AI97" s="8" t="n">
        <f aca="false">(AH97/P97)*100</f>
        <v>4.67691724758555</v>
      </c>
      <c r="AJ97" s="7" t="s">
        <v>70</v>
      </c>
      <c r="AK97" s="7" t="s">
        <v>71</v>
      </c>
      <c r="AL97" s="7" t="s">
        <v>619</v>
      </c>
      <c r="AM97" s="7" t="n">
        <v>3175</v>
      </c>
      <c r="AN97" s="8" t="n">
        <f aca="false">(AM97/P97)*100</f>
        <v>1.36707901501419</v>
      </c>
      <c r="AO97" s="7" t="s">
        <v>59</v>
      </c>
      <c r="AP97" s="7" t="s">
        <v>73</v>
      </c>
      <c r="AQ97" s="7" t="s">
        <v>620</v>
      </c>
      <c r="AR97" s="7" t="n">
        <v>1471</v>
      </c>
      <c r="AS97" s="8" t="n">
        <f aca="false">(AR97/P97)*100</f>
        <v>0.633377395617597</v>
      </c>
    </row>
    <row r="98" customFormat="false" ht="12.8" hidden="false" customHeight="false" outlineLevel="0" collapsed="false">
      <c r="A98" s="6" t="n">
        <v>88</v>
      </c>
      <c r="B98" s="7" t="s">
        <v>621</v>
      </c>
      <c r="C98" s="7" t="s">
        <v>584</v>
      </c>
      <c r="D98" s="7" t="s">
        <v>585</v>
      </c>
      <c r="E98" s="7" t="s">
        <v>364</v>
      </c>
      <c r="F98" s="7" t="s">
        <v>87</v>
      </c>
      <c r="G98" s="7" t="s">
        <v>50</v>
      </c>
      <c r="H98" s="7" t="s">
        <v>50</v>
      </c>
      <c r="I98" s="7" t="s">
        <v>50</v>
      </c>
      <c r="J98" s="7" t="s">
        <v>50</v>
      </c>
      <c r="K98" s="7" t="s">
        <v>50</v>
      </c>
      <c r="L98" s="7" t="s">
        <v>50</v>
      </c>
      <c r="M98" s="7" t="s">
        <v>50</v>
      </c>
      <c r="N98" s="7" t="s">
        <v>50</v>
      </c>
      <c r="O98" s="7" t="n">
        <v>299693</v>
      </c>
      <c r="P98" s="7" t="n">
        <v>216628</v>
      </c>
      <c r="Q98" s="8" t="n">
        <f aca="false">(P98/O98)*100</f>
        <v>72.2833032469894</v>
      </c>
      <c r="R98" s="7" t="n">
        <f aca="false">X98-AC98</f>
        <v>21499</v>
      </c>
      <c r="S98" s="8" t="n">
        <f aca="false">(R98/P98)*100</f>
        <v>9.92438650589951</v>
      </c>
      <c r="T98" s="8" t="n">
        <f aca="false">Y98+AD98</f>
        <v>87.4619162804439</v>
      </c>
      <c r="U98" s="7" t="s">
        <v>54</v>
      </c>
      <c r="V98" s="7" t="s">
        <v>55</v>
      </c>
      <c r="W98" s="7" t="s">
        <v>622</v>
      </c>
      <c r="X98" s="7" t="n">
        <v>105483</v>
      </c>
      <c r="Y98" s="8" t="n">
        <f aca="false">(X98/P98)*100</f>
        <v>48.6931513931717</v>
      </c>
      <c r="Z98" s="7" t="s">
        <v>51</v>
      </c>
      <c r="AA98" s="7" t="s">
        <v>52</v>
      </c>
      <c r="AB98" s="7" t="s">
        <v>623</v>
      </c>
      <c r="AC98" s="7" t="n">
        <v>83984</v>
      </c>
      <c r="AD98" s="8" t="n">
        <f aca="false">(AC98/P98)*100</f>
        <v>38.7687648872722</v>
      </c>
      <c r="AE98" s="7" t="s">
        <v>57</v>
      </c>
      <c r="AF98" s="7" t="s">
        <v>57</v>
      </c>
      <c r="AG98" s="7" t="s">
        <v>624</v>
      </c>
      <c r="AH98" s="7" t="n">
        <v>10668</v>
      </c>
      <c r="AI98" s="8" t="n">
        <f aca="false">(AH98/P98)*100</f>
        <v>4.92457115423676</v>
      </c>
      <c r="AJ98" s="7" t="s">
        <v>70</v>
      </c>
      <c r="AK98" s="7" t="s">
        <v>71</v>
      </c>
      <c r="AL98" s="7" t="s">
        <v>625</v>
      </c>
      <c r="AM98" s="7" t="n">
        <v>7939</v>
      </c>
      <c r="AN98" s="8" t="n">
        <f aca="false">(AM98/P98)*100</f>
        <v>3.6648078734051</v>
      </c>
      <c r="AO98" s="7" t="s">
        <v>59</v>
      </c>
      <c r="AP98" s="7" t="s">
        <v>60</v>
      </c>
      <c r="AQ98" s="7" t="s">
        <v>626</v>
      </c>
      <c r="AR98" s="7" t="n">
        <v>2307</v>
      </c>
      <c r="AS98" s="8" t="n">
        <f aca="false">(AR98/P98)*100</f>
        <v>1.06495928504164</v>
      </c>
    </row>
    <row r="99" customFormat="false" ht="12.8" hidden="false" customHeight="false" outlineLevel="0" collapsed="false">
      <c r="A99" s="6" t="n">
        <v>89</v>
      </c>
      <c r="B99" s="7" t="s">
        <v>627</v>
      </c>
      <c r="C99" s="7" t="s">
        <v>584</v>
      </c>
      <c r="D99" s="7" t="s">
        <v>585</v>
      </c>
      <c r="E99" s="7" t="s">
        <v>364</v>
      </c>
      <c r="F99" s="7" t="s">
        <v>87</v>
      </c>
      <c r="G99" s="7" t="s">
        <v>50</v>
      </c>
      <c r="H99" s="7" t="s">
        <v>50</v>
      </c>
      <c r="I99" s="7" t="s">
        <v>50</v>
      </c>
      <c r="J99" s="7" t="s">
        <v>50</v>
      </c>
      <c r="K99" s="7" t="s">
        <v>50</v>
      </c>
      <c r="L99" s="7" t="s">
        <v>50</v>
      </c>
      <c r="M99" s="7" t="s">
        <v>50</v>
      </c>
      <c r="N99" s="7" t="s">
        <v>50</v>
      </c>
      <c r="O99" s="7" t="n">
        <v>276022</v>
      </c>
      <c r="P99" s="7" t="n">
        <v>202376</v>
      </c>
      <c r="Q99" s="8" t="n">
        <f aca="false">(P99/O99)*100</f>
        <v>73.3187934295092</v>
      </c>
      <c r="R99" s="7" t="n">
        <f aca="false">X99-AC99</f>
        <v>7588</v>
      </c>
      <c r="S99" s="8" t="n">
        <f aca="false">(R99/P99)*100</f>
        <v>3.74945645728743</v>
      </c>
      <c r="T99" s="8" t="n">
        <f aca="false">Y99+AD99</f>
        <v>88.5856030359331</v>
      </c>
      <c r="U99" s="7" t="s">
        <v>51</v>
      </c>
      <c r="V99" s="7" t="s">
        <v>52</v>
      </c>
      <c r="W99" s="7" t="s">
        <v>551</v>
      </c>
      <c r="X99" s="7" t="n">
        <v>93432</v>
      </c>
      <c r="Y99" s="8" t="n">
        <f aca="false">(X99/P99)*100</f>
        <v>46.1675297466103</v>
      </c>
      <c r="Z99" s="7" t="s">
        <v>54</v>
      </c>
      <c r="AA99" s="7" t="s">
        <v>67</v>
      </c>
      <c r="AB99" s="7" t="s">
        <v>628</v>
      </c>
      <c r="AC99" s="7" t="n">
        <v>85844</v>
      </c>
      <c r="AD99" s="8" t="n">
        <f aca="false">(AC99/P99)*100</f>
        <v>42.4180732893228</v>
      </c>
      <c r="AE99" s="7" t="s">
        <v>70</v>
      </c>
      <c r="AF99" s="7" t="s">
        <v>71</v>
      </c>
      <c r="AG99" s="7" t="s">
        <v>629</v>
      </c>
      <c r="AH99" s="7" t="n">
        <v>10718</v>
      </c>
      <c r="AI99" s="8" t="n">
        <f aca="false">(AH99/P99)*100</f>
        <v>5.29608253943155</v>
      </c>
      <c r="AJ99" s="7" t="s">
        <v>57</v>
      </c>
      <c r="AK99" s="7" t="s">
        <v>57</v>
      </c>
      <c r="AL99" s="7" t="s">
        <v>630</v>
      </c>
      <c r="AM99" s="7" t="n">
        <v>8155</v>
      </c>
      <c r="AN99" s="8" t="n">
        <f aca="false">(AM99/P99)*100</f>
        <v>4.0296280191327</v>
      </c>
      <c r="AO99" s="7" t="s">
        <v>62</v>
      </c>
      <c r="AP99" s="7" t="s">
        <v>62</v>
      </c>
      <c r="AQ99" s="7" t="s">
        <v>62</v>
      </c>
      <c r="AR99" s="7" t="n">
        <v>1505</v>
      </c>
      <c r="AS99" s="8" t="n">
        <f aca="false">(AR99/P99)*100</f>
        <v>0.743665256749812</v>
      </c>
    </row>
    <row r="100" customFormat="false" ht="12.8" hidden="false" customHeight="false" outlineLevel="0" collapsed="false">
      <c r="A100" s="6" t="n">
        <v>90</v>
      </c>
      <c r="B100" s="7" t="s">
        <v>631</v>
      </c>
      <c r="C100" s="7" t="s">
        <v>584</v>
      </c>
      <c r="D100" s="7" t="s">
        <v>585</v>
      </c>
      <c r="E100" s="7" t="s">
        <v>364</v>
      </c>
      <c r="F100" s="7" t="s">
        <v>87</v>
      </c>
      <c r="G100" s="7" t="s">
        <v>50</v>
      </c>
      <c r="H100" s="7" t="s">
        <v>50</v>
      </c>
      <c r="I100" s="7" t="s">
        <v>50</v>
      </c>
      <c r="J100" s="7" t="s">
        <v>50</v>
      </c>
      <c r="K100" s="7" t="s">
        <v>50</v>
      </c>
      <c r="L100" s="7" t="s">
        <v>67</v>
      </c>
      <c r="M100" s="7" t="s">
        <v>50</v>
      </c>
      <c r="N100" s="7" t="s">
        <v>50</v>
      </c>
      <c r="O100" s="7" t="n">
        <v>260403</v>
      </c>
      <c r="P100" s="7" t="n">
        <v>199982</v>
      </c>
      <c r="Q100" s="8" t="n">
        <f aca="false">(P100/O100)*100</f>
        <v>76.7971183127691</v>
      </c>
      <c r="R100" s="7" t="n">
        <f aca="false">X100-AC100</f>
        <v>22609</v>
      </c>
      <c r="S100" s="8" t="n">
        <f aca="false">(R100/P100)*100</f>
        <v>11.3055174965747</v>
      </c>
      <c r="T100" s="8" t="n">
        <f aca="false">Y100+AD100</f>
        <v>86.209258833295</v>
      </c>
      <c r="U100" s="7" t="s">
        <v>54</v>
      </c>
      <c r="V100" s="7" t="s">
        <v>67</v>
      </c>
      <c r="W100" s="7" t="s">
        <v>632</v>
      </c>
      <c r="X100" s="7" t="n">
        <v>97506</v>
      </c>
      <c r="Y100" s="8" t="n">
        <f aca="false">(X100/P100)*100</f>
        <v>48.7573881649348</v>
      </c>
      <c r="Z100" s="7" t="s">
        <v>51</v>
      </c>
      <c r="AA100" s="7" t="s">
        <v>52</v>
      </c>
      <c r="AB100" s="7" t="s">
        <v>633</v>
      </c>
      <c r="AC100" s="7" t="n">
        <v>74897</v>
      </c>
      <c r="AD100" s="8" t="n">
        <f aca="false">(AC100/P100)*100</f>
        <v>37.4518706683602</v>
      </c>
      <c r="AE100" s="7" t="s">
        <v>70</v>
      </c>
      <c r="AF100" s="7" t="s">
        <v>71</v>
      </c>
      <c r="AG100" s="7" t="s">
        <v>634</v>
      </c>
      <c r="AH100" s="7" t="n">
        <v>10368</v>
      </c>
      <c r="AI100" s="8" t="n">
        <f aca="false">(AH100/P100)*100</f>
        <v>5.18446660199418</v>
      </c>
      <c r="AJ100" s="7" t="s">
        <v>57</v>
      </c>
      <c r="AK100" s="7" t="s">
        <v>57</v>
      </c>
      <c r="AL100" s="7" t="s">
        <v>635</v>
      </c>
      <c r="AM100" s="7" t="n">
        <v>10176</v>
      </c>
      <c r="AN100" s="8" t="n">
        <f aca="false">(AM100/P100)*100</f>
        <v>5.08845796121651</v>
      </c>
      <c r="AO100" s="7" t="s">
        <v>59</v>
      </c>
      <c r="AP100" s="7" t="s">
        <v>73</v>
      </c>
      <c r="AQ100" s="7" t="s">
        <v>636</v>
      </c>
      <c r="AR100" s="7" t="n">
        <v>2970</v>
      </c>
      <c r="AS100" s="8" t="n">
        <f aca="false">(AR100/P100)*100</f>
        <v>1.48513366202958</v>
      </c>
    </row>
    <row r="101" customFormat="false" ht="12.8" hidden="false" customHeight="false" outlineLevel="0" collapsed="false">
      <c r="A101" s="6" t="n">
        <v>91</v>
      </c>
      <c r="B101" s="7" t="s">
        <v>637</v>
      </c>
      <c r="C101" s="7" t="s">
        <v>584</v>
      </c>
      <c r="D101" s="7" t="s">
        <v>585</v>
      </c>
      <c r="E101" s="7" t="s">
        <v>364</v>
      </c>
      <c r="F101" s="7" t="s">
        <v>49</v>
      </c>
      <c r="G101" s="7" t="s">
        <v>50</v>
      </c>
      <c r="H101" s="7" t="s">
        <v>50</v>
      </c>
      <c r="I101" s="7" t="s">
        <v>50</v>
      </c>
      <c r="J101" s="7" t="s">
        <v>50</v>
      </c>
      <c r="K101" s="7" t="s">
        <v>50</v>
      </c>
      <c r="L101" s="7" t="s">
        <v>67</v>
      </c>
      <c r="M101" s="7" t="s">
        <v>50</v>
      </c>
      <c r="N101" s="7" t="s">
        <v>50</v>
      </c>
      <c r="O101" s="7" t="n">
        <v>260064</v>
      </c>
      <c r="P101" s="7" t="n">
        <v>223702</v>
      </c>
      <c r="Q101" s="8" t="n">
        <f aca="false">(P101/O101)*100</f>
        <v>86.0180570936385</v>
      </c>
      <c r="R101" s="7" t="n">
        <f aca="false">X101-AC101</f>
        <v>19895</v>
      </c>
      <c r="S101" s="8" t="n">
        <f aca="false">(R101/P101)*100</f>
        <v>8.89352799706753</v>
      </c>
      <c r="T101" s="8" t="n">
        <f aca="false">Y101+AD101</f>
        <v>90.9553781369858</v>
      </c>
      <c r="U101" s="7" t="s">
        <v>54</v>
      </c>
      <c r="V101" s="7" t="s">
        <v>67</v>
      </c>
      <c r="W101" s="7" t="s">
        <v>638</v>
      </c>
      <c r="X101" s="7" t="n">
        <v>111682</v>
      </c>
      <c r="Y101" s="8" t="n">
        <f aca="false">(X101/P101)*100</f>
        <v>49.9244530670267</v>
      </c>
      <c r="Z101" s="7" t="s">
        <v>51</v>
      </c>
      <c r="AA101" s="7" t="s">
        <v>52</v>
      </c>
      <c r="AB101" s="7" t="s">
        <v>639</v>
      </c>
      <c r="AC101" s="7" t="n">
        <v>91787</v>
      </c>
      <c r="AD101" s="8" t="n">
        <f aca="false">(AC101/P101)*100</f>
        <v>41.0309250699591</v>
      </c>
      <c r="AE101" s="7" t="s">
        <v>57</v>
      </c>
      <c r="AF101" s="7" t="s">
        <v>57</v>
      </c>
      <c r="AG101" s="7" t="s">
        <v>640</v>
      </c>
      <c r="AH101" s="7" t="n">
        <v>9806</v>
      </c>
      <c r="AI101" s="8" t="n">
        <f aca="false">(AH101/P101)*100</f>
        <v>4.3835102055413</v>
      </c>
      <c r="AJ101" s="7" t="s">
        <v>59</v>
      </c>
      <c r="AK101" s="7" t="s">
        <v>73</v>
      </c>
      <c r="AL101" s="7" t="s">
        <v>641</v>
      </c>
      <c r="AM101" s="7" t="n">
        <v>4986</v>
      </c>
      <c r="AN101" s="8" t="n">
        <f aca="false">(AM101/P101)*100</f>
        <v>2.22885803434927</v>
      </c>
      <c r="AO101" s="7" t="s">
        <v>62</v>
      </c>
      <c r="AP101" s="7" t="s">
        <v>62</v>
      </c>
      <c r="AQ101" s="7" t="s">
        <v>62</v>
      </c>
      <c r="AR101" s="7" t="n">
        <v>1409</v>
      </c>
      <c r="AS101" s="8" t="n">
        <f aca="false">(AR101/P101)*100</f>
        <v>0.629855790292443</v>
      </c>
    </row>
    <row r="102" customFormat="false" ht="12.8" hidden="false" customHeight="false" outlineLevel="0" collapsed="false">
      <c r="A102" s="6" t="n">
        <v>92</v>
      </c>
      <c r="B102" s="7" t="s">
        <v>642</v>
      </c>
      <c r="C102" s="7" t="s">
        <v>643</v>
      </c>
      <c r="D102" s="7" t="s">
        <v>585</v>
      </c>
      <c r="E102" s="7" t="s">
        <v>644</v>
      </c>
      <c r="F102" s="7" t="s">
        <v>76</v>
      </c>
      <c r="G102" s="7" t="s">
        <v>64</v>
      </c>
      <c r="H102" s="7" t="s">
        <v>50</v>
      </c>
      <c r="I102" s="7" t="s">
        <v>50</v>
      </c>
      <c r="J102" s="7" t="s">
        <v>50</v>
      </c>
      <c r="K102" s="7" t="s">
        <v>50</v>
      </c>
      <c r="L102" s="7" t="s">
        <v>50</v>
      </c>
      <c r="M102" s="7" t="s">
        <v>50</v>
      </c>
      <c r="N102" s="7" t="s">
        <v>50</v>
      </c>
      <c r="O102" s="7" t="n">
        <v>236580</v>
      </c>
      <c r="P102" s="7" t="n">
        <v>196904</v>
      </c>
      <c r="Q102" s="8" t="n">
        <f aca="false">(P102/O102)*100</f>
        <v>83.2293515935413</v>
      </c>
      <c r="R102" s="7" t="n">
        <f aca="false">X102-AC102</f>
        <v>1952</v>
      </c>
      <c r="S102" s="8" t="n">
        <f aca="false">(R102/P102)*100</f>
        <v>0.9913460366473</v>
      </c>
      <c r="T102" s="8" t="n">
        <f aca="false">Y102+AD102</f>
        <v>91.1621907122252</v>
      </c>
      <c r="U102" s="7" t="s">
        <v>51</v>
      </c>
      <c r="V102" s="7" t="s">
        <v>52</v>
      </c>
      <c r="W102" s="7" t="s">
        <v>645</v>
      </c>
      <c r="X102" s="7" t="n">
        <v>90727</v>
      </c>
      <c r="Y102" s="8" t="n">
        <f aca="false">(X102/P102)*100</f>
        <v>46.0767683744363</v>
      </c>
      <c r="Z102" s="7" t="s">
        <v>54</v>
      </c>
      <c r="AA102" s="7" t="s">
        <v>67</v>
      </c>
      <c r="AB102" s="7" t="s">
        <v>646</v>
      </c>
      <c r="AC102" s="7" t="n">
        <v>88775</v>
      </c>
      <c r="AD102" s="8" t="n">
        <f aca="false">(AC102/P102)*100</f>
        <v>45.085422337789</v>
      </c>
      <c r="AE102" s="7" t="s">
        <v>57</v>
      </c>
      <c r="AF102" s="7" t="s">
        <v>57</v>
      </c>
      <c r="AG102" s="7" t="s">
        <v>647</v>
      </c>
      <c r="AH102" s="7" t="n">
        <v>11295</v>
      </c>
      <c r="AI102" s="8" t="n">
        <f aca="false">(AH102/P102)*100</f>
        <v>5.73629789135823</v>
      </c>
      <c r="AJ102" s="7" t="s">
        <v>62</v>
      </c>
      <c r="AK102" s="7" t="s">
        <v>62</v>
      </c>
      <c r="AL102" s="7" t="s">
        <v>62</v>
      </c>
      <c r="AM102" s="7" t="n">
        <v>2110</v>
      </c>
      <c r="AN102" s="8" t="n">
        <f aca="false">(AM102/P102)*100</f>
        <v>1.07158818510543</v>
      </c>
      <c r="AO102" s="7" t="s">
        <v>70</v>
      </c>
      <c r="AP102" s="13" t="s">
        <v>178</v>
      </c>
      <c r="AQ102" s="7" t="s">
        <v>648</v>
      </c>
      <c r="AR102" s="7" t="n">
        <v>1133</v>
      </c>
      <c r="AS102" s="8" t="n">
        <f aca="false">(AR102/P102)*100</f>
        <v>0.57540730508268</v>
      </c>
    </row>
    <row r="103" customFormat="false" ht="12.8" hidden="false" customHeight="false" outlineLevel="0" collapsed="false">
      <c r="A103" s="6" t="n">
        <v>93</v>
      </c>
      <c r="B103" s="7" t="s">
        <v>649</v>
      </c>
      <c r="C103" s="7" t="s">
        <v>643</v>
      </c>
      <c r="D103" s="7" t="s">
        <v>585</v>
      </c>
      <c r="E103" s="7" t="s">
        <v>644</v>
      </c>
      <c r="F103" s="7" t="s">
        <v>49</v>
      </c>
      <c r="G103" s="7" t="s">
        <v>594</v>
      </c>
      <c r="H103" s="7" t="s">
        <v>50</v>
      </c>
      <c r="I103" s="7" t="s">
        <v>50</v>
      </c>
      <c r="J103" s="7" t="s">
        <v>50</v>
      </c>
      <c r="K103" s="7" t="s">
        <v>50</v>
      </c>
      <c r="L103" s="7" t="s">
        <v>50</v>
      </c>
      <c r="M103" s="7" t="s">
        <v>67</v>
      </c>
      <c r="N103" s="7" t="s">
        <v>50</v>
      </c>
      <c r="O103" s="7" t="n">
        <v>243556</v>
      </c>
      <c r="P103" s="7" t="n">
        <v>199235</v>
      </c>
      <c r="Q103" s="8" t="n">
        <f aca="false">(P103/O103)*100</f>
        <v>81.8025423311271</v>
      </c>
      <c r="R103" s="7" t="n">
        <f aca="false">X103-AC103</f>
        <v>10493</v>
      </c>
      <c r="S103" s="8" t="n">
        <f aca="false">(R103/P103)*100</f>
        <v>5.26664491680679</v>
      </c>
      <c r="T103" s="8" t="n">
        <f aca="false">Y103+AD103</f>
        <v>85.762541722087</v>
      </c>
      <c r="U103" s="7" t="s">
        <v>51</v>
      </c>
      <c r="V103" s="7" t="s">
        <v>52</v>
      </c>
      <c r="W103" s="7" t="s">
        <v>650</v>
      </c>
      <c r="X103" s="7" t="n">
        <v>90681</v>
      </c>
      <c r="Y103" s="8" t="n">
        <f aca="false">(X103/P103)*100</f>
        <v>45.5145933194469</v>
      </c>
      <c r="Z103" s="7" t="s">
        <v>54</v>
      </c>
      <c r="AA103" s="7" t="s">
        <v>67</v>
      </c>
      <c r="AB103" s="7" t="s">
        <v>77</v>
      </c>
      <c r="AC103" s="7" t="n">
        <v>80188</v>
      </c>
      <c r="AD103" s="8" t="n">
        <f aca="false">(AC103/P103)*100</f>
        <v>40.2479484026401</v>
      </c>
      <c r="AE103" s="7" t="s">
        <v>57</v>
      </c>
      <c r="AF103" s="7" t="s">
        <v>57</v>
      </c>
      <c r="AG103" s="7" t="s">
        <v>651</v>
      </c>
      <c r="AH103" s="7" t="n">
        <v>11654</v>
      </c>
      <c r="AI103" s="8" t="n">
        <f aca="false">(AH103/P103)*100</f>
        <v>5.84937385499536</v>
      </c>
      <c r="AJ103" s="7" t="s">
        <v>196</v>
      </c>
      <c r="AK103" s="7" t="s">
        <v>196</v>
      </c>
      <c r="AL103" s="7" t="s">
        <v>652</v>
      </c>
      <c r="AM103" s="7" t="n">
        <v>11371</v>
      </c>
      <c r="AN103" s="8" t="n">
        <f aca="false">(AM103/P103)*100</f>
        <v>5.70733053931287</v>
      </c>
      <c r="AO103" s="7" t="s">
        <v>62</v>
      </c>
      <c r="AP103" s="7" t="s">
        <v>62</v>
      </c>
      <c r="AQ103" s="7" t="s">
        <v>62</v>
      </c>
      <c r="AR103" s="7" t="n">
        <v>2058</v>
      </c>
      <c r="AS103" s="8" t="n">
        <f aca="false">(AR103/P103)*100</f>
        <v>1.03295103771928</v>
      </c>
    </row>
    <row r="104" customFormat="false" ht="12.8" hidden="false" customHeight="false" outlineLevel="0" collapsed="false">
      <c r="A104" s="6" t="n">
        <v>94</v>
      </c>
      <c r="B104" s="7" t="s">
        <v>643</v>
      </c>
      <c r="C104" s="7" t="s">
        <v>643</v>
      </c>
      <c r="D104" s="7" t="s">
        <v>585</v>
      </c>
      <c r="E104" s="7" t="s">
        <v>644</v>
      </c>
      <c r="F104" s="7" t="s">
        <v>76</v>
      </c>
      <c r="G104" s="7" t="s">
        <v>50</v>
      </c>
      <c r="H104" s="7" t="s">
        <v>50</v>
      </c>
      <c r="I104" s="7" t="s">
        <v>50</v>
      </c>
      <c r="J104" s="7" t="s">
        <v>50</v>
      </c>
      <c r="K104" s="7" t="s">
        <v>67</v>
      </c>
      <c r="L104" s="7" t="s">
        <v>50</v>
      </c>
      <c r="M104" s="7" t="s">
        <v>50</v>
      </c>
      <c r="N104" s="7" t="s">
        <v>50</v>
      </c>
      <c r="O104" s="7" t="n">
        <v>257854</v>
      </c>
      <c r="P104" s="7" t="n">
        <v>206759</v>
      </c>
      <c r="Q104" s="8" t="n">
        <f aca="false">(P104/O104)*100</f>
        <v>80.1845230246574</v>
      </c>
      <c r="R104" s="7" t="n">
        <f aca="false">X104-AC104</f>
        <v>27861</v>
      </c>
      <c r="S104" s="8" t="n">
        <f aca="false">(R104/P104)*100</f>
        <v>13.475108701435</v>
      </c>
      <c r="T104" s="8" t="n">
        <f aca="false">Y104+AD104</f>
        <v>89.5375775661519</v>
      </c>
      <c r="U104" s="7" t="s">
        <v>51</v>
      </c>
      <c r="V104" s="7" t="s">
        <v>52</v>
      </c>
      <c r="W104" s="7" t="s">
        <v>653</v>
      </c>
      <c r="X104" s="7" t="n">
        <v>106494</v>
      </c>
      <c r="Y104" s="8" t="n">
        <f aca="false">(X104/P104)*100</f>
        <v>51.5063431337935</v>
      </c>
      <c r="Z104" s="7" t="s">
        <v>54</v>
      </c>
      <c r="AA104" s="7" t="s">
        <v>67</v>
      </c>
      <c r="AB104" s="7" t="s">
        <v>654</v>
      </c>
      <c r="AC104" s="7" t="n">
        <v>78633</v>
      </c>
      <c r="AD104" s="8" t="n">
        <f aca="false">(AC104/P104)*100</f>
        <v>38.0312344323584</v>
      </c>
      <c r="AE104" s="7" t="s">
        <v>57</v>
      </c>
      <c r="AF104" s="7" t="s">
        <v>57</v>
      </c>
      <c r="AG104" s="7" t="s">
        <v>655</v>
      </c>
      <c r="AH104" s="7" t="n">
        <v>10122</v>
      </c>
      <c r="AI104" s="8" t="n">
        <f aca="false">(AH104/P104)*100</f>
        <v>4.89555472796831</v>
      </c>
      <c r="AJ104" s="7" t="s">
        <v>70</v>
      </c>
      <c r="AK104" s="7" t="s">
        <v>71</v>
      </c>
      <c r="AL104" s="7" t="s">
        <v>656</v>
      </c>
      <c r="AM104" s="7" t="n">
        <v>5589</v>
      </c>
      <c r="AN104" s="8" t="n">
        <f aca="false">(AM104/P104)*100</f>
        <v>2.70314714232512</v>
      </c>
      <c r="AO104" s="7" t="s">
        <v>62</v>
      </c>
      <c r="AP104" s="7" t="s">
        <v>62</v>
      </c>
      <c r="AQ104" s="7" t="s">
        <v>62</v>
      </c>
      <c r="AR104" s="7" t="n">
        <v>1285</v>
      </c>
      <c r="AS104" s="8" t="n">
        <f aca="false">(AR104/P104)*100</f>
        <v>0.621496524939664</v>
      </c>
    </row>
    <row r="105" customFormat="false" ht="12.8" hidden="false" customHeight="false" outlineLevel="0" collapsed="false">
      <c r="A105" s="6" t="n">
        <v>95</v>
      </c>
      <c r="B105" s="7" t="s">
        <v>657</v>
      </c>
      <c r="C105" s="7" t="s">
        <v>643</v>
      </c>
      <c r="D105" s="7" t="s">
        <v>585</v>
      </c>
      <c r="E105" s="7" t="s">
        <v>644</v>
      </c>
      <c r="F105" s="7" t="s">
        <v>49</v>
      </c>
      <c r="G105" s="7" t="s">
        <v>50</v>
      </c>
      <c r="H105" s="7" t="s">
        <v>50</v>
      </c>
      <c r="I105" s="7" t="s">
        <v>50</v>
      </c>
      <c r="J105" s="7" t="s">
        <v>50</v>
      </c>
      <c r="K105" s="7" t="s">
        <v>50</v>
      </c>
      <c r="L105" s="7" t="s">
        <v>50</v>
      </c>
      <c r="M105" s="7" t="s">
        <v>50</v>
      </c>
      <c r="N105" s="7" t="s">
        <v>50</v>
      </c>
      <c r="O105" s="7" t="n">
        <v>221664</v>
      </c>
      <c r="P105" s="7" t="n">
        <v>183697</v>
      </c>
      <c r="Q105" s="8" t="n">
        <f aca="false">(P105/O105)*100</f>
        <v>82.8718240219431</v>
      </c>
      <c r="R105" s="7" t="n">
        <f aca="false">X105-AC105</f>
        <v>7662</v>
      </c>
      <c r="S105" s="8" t="n">
        <f aca="false">(R105/P105)*100</f>
        <v>4.1709989820193</v>
      </c>
      <c r="T105" s="8" t="n">
        <f aca="false">Y105+AD105</f>
        <v>89.4984675852083</v>
      </c>
      <c r="U105" s="7" t="s">
        <v>54</v>
      </c>
      <c r="V105" s="7" t="s">
        <v>67</v>
      </c>
      <c r="W105" s="7" t="s">
        <v>658</v>
      </c>
      <c r="X105" s="7" t="n">
        <v>86034</v>
      </c>
      <c r="Y105" s="8" t="n">
        <f aca="false">(X105/P105)*100</f>
        <v>46.8347332836138</v>
      </c>
      <c r="Z105" s="7" t="s">
        <v>51</v>
      </c>
      <c r="AA105" s="7" t="s">
        <v>52</v>
      </c>
      <c r="AB105" s="7" t="s">
        <v>659</v>
      </c>
      <c r="AC105" s="7" t="n">
        <v>78372</v>
      </c>
      <c r="AD105" s="8" t="n">
        <f aca="false">(AC105/P105)*100</f>
        <v>42.6637343015945</v>
      </c>
      <c r="AE105" s="7" t="s">
        <v>57</v>
      </c>
      <c r="AF105" s="7" t="s">
        <v>57</v>
      </c>
      <c r="AG105" s="7" t="s">
        <v>660</v>
      </c>
      <c r="AH105" s="7" t="n">
        <v>11684</v>
      </c>
      <c r="AI105" s="8" t="n">
        <f aca="false">(AH105/P105)*100</f>
        <v>6.36047404149224</v>
      </c>
      <c r="AJ105" s="7" t="s">
        <v>70</v>
      </c>
      <c r="AK105" s="7" t="s">
        <v>71</v>
      </c>
      <c r="AL105" s="7" t="s">
        <v>661</v>
      </c>
      <c r="AM105" s="7" t="n">
        <v>1882</v>
      </c>
      <c r="AN105" s="8" t="n">
        <f aca="false">(AM105/P105)*100</f>
        <v>1.02451319292095</v>
      </c>
      <c r="AO105" s="7" t="s">
        <v>62</v>
      </c>
      <c r="AP105" s="7" t="s">
        <v>62</v>
      </c>
      <c r="AQ105" s="7" t="s">
        <v>62</v>
      </c>
      <c r="AR105" s="7" t="n">
        <v>964</v>
      </c>
      <c r="AS105" s="8" t="n">
        <f aca="false">(AR105/P105)*100</f>
        <v>0.52477721465239</v>
      </c>
    </row>
    <row r="106" customFormat="false" ht="12.8" hidden="false" customHeight="false" outlineLevel="0" collapsed="false">
      <c r="A106" s="6" t="n">
        <v>96</v>
      </c>
      <c r="B106" s="7" t="s">
        <v>662</v>
      </c>
      <c r="C106" s="7" t="s">
        <v>643</v>
      </c>
      <c r="D106" s="7" t="s">
        <v>585</v>
      </c>
      <c r="E106" s="7" t="s">
        <v>644</v>
      </c>
      <c r="F106" s="7" t="s">
        <v>76</v>
      </c>
      <c r="G106" s="7" t="s">
        <v>50</v>
      </c>
      <c r="H106" s="7" t="s">
        <v>315</v>
      </c>
      <c r="I106" s="7" t="s">
        <v>50</v>
      </c>
      <c r="J106" s="7" t="s">
        <v>50</v>
      </c>
      <c r="K106" s="7" t="s">
        <v>67</v>
      </c>
      <c r="L106" s="7" t="s">
        <v>50</v>
      </c>
      <c r="M106" s="7" t="s">
        <v>50</v>
      </c>
      <c r="N106" s="7" t="s">
        <v>50</v>
      </c>
      <c r="O106" s="7" t="n">
        <v>231133</v>
      </c>
      <c r="P106" s="7" t="n">
        <v>184669</v>
      </c>
      <c r="Q106" s="8" t="n">
        <f aca="false">(P106/O106)*100</f>
        <v>79.897288574111</v>
      </c>
      <c r="R106" s="7" t="n">
        <f aca="false">X106-AC106</f>
        <v>2862</v>
      </c>
      <c r="S106" s="8" t="n">
        <f aca="false">(R106/P106)*100</f>
        <v>1.54979991227548</v>
      </c>
      <c r="T106" s="8" t="n">
        <f aca="false">Y106+AD106</f>
        <v>86.9198403630279</v>
      </c>
      <c r="U106" s="7" t="s">
        <v>51</v>
      </c>
      <c r="V106" s="17" t="s">
        <v>663</v>
      </c>
      <c r="W106" s="7" t="s">
        <v>664</v>
      </c>
      <c r="X106" s="7" t="n">
        <v>81688</v>
      </c>
      <c r="Y106" s="8" t="n">
        <f aca="false">(X106/P106)*100</f>
        <v>44.2348201376517</v>
      </c>
      <c r="Z106" s="7" t="s">
        <v>54</v>
      </c>
      <c r="AA106" s="7" t="s">
        <v>67</v>
      </c>
      <c r="AB106" s="7" t="s">
        <v>665</v>
      </c>
      <c r="AC106" s="7" t="n">
        <v>78826</v>
      </c>
      <c r="AD106" s="8" t="n">
        <f aca="false">(AC106/P106)*100</f>
        <v>42.6850202253762</v>
      </c>
      <c r="AE106" s="7" t="s">
        <v>57</v>
      </c>
      <c r="AF106" s="7" t="s">
        <v>57</v>
      </c>
      <c r="AG106" s="7" t="s">
        <v>666</v>
      </c>
      <c r="AH106" s="7" t="n">
        <v>13967</v>
      </c>
      <c r="AI106" s="8" t="n">
        <f aca="false">(AH106/P106)*100</f>
        <v>7.56326183604178</v>
      </c>
      <c r="AJ106" s="7" t="s">
        <v>70</v>
      </c>
      <c r="AK106" s="7" t="s">
        <v>71</v>
      </c>
      <c r="AL106" s="7" t="s">
        <v>667</v>
      </c>
      <c r="AM106" s="7" t="n">
        <v>3724</v>
      </c>
      <c r="AN106" s="8" t="n">
        <f aca="false">(AM106/P106)*100</f>
        <v>2.01658101792938</v>
      </c>
      <c r="AO106" s="7" t="s">
        <v>62</v>
      </c>
      <c r="AP106" s="7" t="s">
        <v>62</v>
      </c>
      <c r="AQ106" s="7" t="s">
        <v>62</v>
      </c>
      <c r="AR106" s="7" t="n">
        <v>1518</v>
      </c>
      <c r="AS106" s="8" t="n">
        <f aca="false">(AR106/P106)*100</f>
        <v>0.822011274225777</v>
      </c>
    </row>
    <row r="107" customFormat="false" ht="12.8" hidden="false" customHeight="false" outlineLevel="0" collapsed="false">
      <c r="A107" s="6" t="n">
        <v>97</v>
      </c>
      <c r="B107" s="7" t="s">
        <v>668</v>
      </c>
      <c r="C107" s="7" t="s">
        <v>643</v>
      </c>
      <c r="D107" s="7" t="s">
        <v>585</v>
      </c>
      <c r="E107" s="7" t="s">
        <v>644</v>
      </c>
      <c r="F107" s="7" t="s">
        <v>76</v>
      </c>
      <c r="G107" s="7" t="s">
        <v>50</v>
      </c>
      <c r="H107" s="7" t="s">
        <v>50</v>
      </c>
      <c r="I107" s="7" t="s">
        <v>50</v>
      </c>
      <c r="J107" s="7" t="s">
        <v>67</v>
      </c>
      <c r="K107" s="7" t="s">
        <v>50</v>
      </c>
      <c r="L107" s="7" t="s">
        <v>67</v>
      </c>
      <c r="M107" s="7" t="s">
        <v>50</v>
      </c>
      <c r="N107" s="7" t="s">
        <v>50</v>
      </c>
      <c r="O107" s="7" t="n">
        <v>254468</v>
      </c>
      <c r="P107" s="7" t="n">
        <v>201925</v>
      </c>
      <c r="Q107" s="8" t="n">
        <f aca="false">(P107/O107)*100</f>
        <v>79.3518241979345</v>
      </c>
      <c r="R107" s="7" t="n">
        <f aca="false">X107-AC107</f>
        <v>31646</v>
      </c>
      <c r="S107" s="8" t="n">
        <f aca="false">(R107/P107)*100</f>
        <v>15.6721555032809</v>
      </c>
      <c r="T107" s="8" t="n">
        <f aca="false">Y107+AD107</f>
        <v>84.1668936486319</v>
      </c>
      <c r="U107" s="7" t="s">
        <v>54</v>
      </c>
      <c r="V107" s="7" t="s">
        <v>67</v>
      </c>
      <c r="W107" s="7" t="s">
        <v>669</v>
      </c>
      <c r="X107" s="7" t="n">
        <v>100800</v>
      </c>
      <c r="Y107" s="8" t="n">
        <f aca="false">(X107/P107)*100</f>
        <v>49.9195245759564</v>
      </c>
      <c r="Z107" s="7" t="s">
        <v>51</v>
      </c>
      <c r="AA107" s="7" t="s">
        <v>52</v>
      </c>
      <c r="AB107" s="7" t="s">
        <v>670</v>
      </c>
      <c r="AC107" s="7" t="n">
        <v>69154</v>
      </c>
      <c r="AD107" s="8" t="n">
        <f aca="false">(AC107/P107)*100</f>
        <v>34.2473690726755</v>
      </c>
      <c r="AE107" s="7" t="s">
        <v>57</v>
      </c>
      <c r="AF107" s="7" t="s">
        <v>57</v>
      </c>
      <c r="AG107" s="7" t="s">
        <v>671</v>
      </c>
      <c r="AH107" s="7" t="n">
        <v>13240</v>
      </c>
      <c r="AI107" s="8" t="n">
        <f aca="false">(AH107/P107)*100</f>
        <v>6.55688993438158</v>
      </c>
      <c r="AJ107" s="7" t="s">
        <v>196</v>
      </c>
      <c r="AK107" s="7" t="s">
        <v>196</v>
      </c>
      <c r="AL107" s="7" t="s">
        <v>672</v>
      </c>
      <c r="AM107" s="7" t="n">
        <v>7342</v>
      </c>
      <c r="AN107" s="8" t="n">
        <f aca="false">(AM107/P107)*100</f>
        <v>3.63600346663365</v>
      </c>
      <c r="AO107" s="7" t="s">
        <v>70</v>
      </c>
      <c r="AP107" s="7" t="s">
        <v>71</v>
      </c>
      <c r="AQ107" s="7" t="s">
        <v>673</v>
      </c>
      <c r="AR107" s="7" t="n">
        <v>6125</v>
      </c>
      <c r="AS107" s="8" t="n">
        <f aca="false">(AR107/P107)*100</f>
        <v>3.03330444471957</v>
      </c>
    </row>
    <row r="108" customFormat="false" ht="12.8" hidden="false" customHeight="false" outlineLevel="0" collapsed="false">
      <c r="A108" s="6" t="n">
        <v>98</v>
      </c>
      <c r="B108" s="7" t="s">
        <v>674</v>
      </c>
      <c r="C108" s="7" t="s">
        <v>675</v>
      </c>
      <c r="D108" s="7" t="s">
        <v>585</v>
      </c>
      <c r="E108" s="7" t="s">
        <v>644</v>
      </c>
      <c r="F108" s="7" t="s">
        <v>87</v>
      </c>
      <c r="G108" s="7" t="s">
        <v>50</v>
      </c>
      <c r="H108" s="7" t="s">
        <v>315</v>
      </c>
      <c r="I108" s="7" t="s">
        <v>50</v>
      </c>
      <c r="J108" s="7" t="s">
        <v>50</v>
      </c>
      <c r="K108" s="7" t="s">
        <v>50</v>
      </c>
      <c r="L108" s="7" t="s">
        <v>50</v>
      </c>
      <c r="M108" s="7" t="s">
        <v>50</v>
      </c>
      <c r="N108" s="7" t="s">
        <v>50</v>
      </c>
      <c r="O108" s="7" t="n">
        <v>228425</v>
      </c>
      <c r="P108" s="7" t="n">
        <v>152037</v>
      </c>
      <c r="Q108" s="8" t="n">
        <f aca="false">(P108/O108)*100</f>
        <v>66.5588267483857</v>
      </c>
      <c r="R108" s="7" t="n">
        <f aca="false">X108-AC108</f>
        <v>8904</v>
      </c>
      <c r="S108" s="8" t="n">
        <f aca="false">(R108/P108)*100</f>
        <v>5.85646914895716</v>
      </c>
      <c r="T108" s="8" t="n">
        <f aca="false">Y108+AD108</f>
        <v>82.6746121010017</v>
      </c>
      <c r="U108" s="7" t="s">
        <v>51</v>
      </c>
      <c r="V108" s="7" t="s">
        <v>65</v>
      </c>
      <c r="W108" s="7" t="s">
        <v>676</v>
      </c>
      <c r="X108" s="7" t="n">
        <v>67300</v>
      </c>
      <c r="Y108" s="8" t="n">
        <f aca="false">(X108/P108)*100</f>
        <v>44.2655406249794</v>
      </c>
      <c r="Z108" s="7" t="s">
        <v>54</v>
      </c>
      <c r="AA108" s="7" t="s">
        <v>67</v>
      </c>
      <c r="AB108" s="7" t="s">
        <v>677</v>
      </c>
      <c r="AC108" s="7" t="n">
        <v>58396</v>
      </c>
      <c r="AD108" s="8" t="n">
        <f aca="false">(AC108/P108)*100</f>
        <v>38.4090714760223</v>
      </c>
      <c r="AE108" s="7" t="s">
        <v>57</v>
      </c>
      <c r="AF108" s="7" t="s">
        <v>57</v>
      </c>
      <c r="AG108" s="7" t="s">
        <v>678</v>
      </c>
      <c r="AH108" s="7" t="n">
        <v>11629</v>
      </c>
      <c r="AI108" s="8" t="n">
        <f aca="false">(AH108/P108)*100</f>
        <v>7.64879601675908</v>
      </c>
      <c r="AJ108" s="7" t="s">
        <v>70</v>
      </c>
      <c r="AK108" s="7" t="s">
        <v>71</v>
      </c>
      <c r="AL108" s="7" t="s">
        <v>679</v>
      </c>
      <c r="AM108" s="7" t="n">
        <v>10005</v>
      </c>
      <c r="AN108" s="8" t="n">
        <f aca="false">(AM108/P108)*100</f>
        <v>6.58063497701217</v>
      </c>
      <c r="AO108" s="7" t="s">
        <v>59</v>
      </c>
      <c r="AP108" s="7" t="s">
        <v>73</v>
      </c>
      <c r="AQ108" s="7" t="s">
        <v>680</v>
      </c>
      <c r="AR108" s="7" t="n">
        <v>1204</v>
      </c>
      <c r="AS108" s="8" t="n">
        <f aca="false">(AR108/P108)*100</f>
        <v>0.791912494984774</v>
      </c>
    </row>
    <row r="109" customFormat="false" ht="12.8" hidden="false" customHeight="false" outlineLevel="0" collapsed="false">
      <c r="A109" s="6" t="n">
        <v>99</v>
      </c>
      <c r="B109" s="7" t="s">
        <v>681</v>
      </c>
      <c r="C109" s="7" t="s">
        <v>675</v>
      </c>
      <c r="D109" s="7" t="s">
        <v>585</v>
      </c>
      <c r="E109" s="7" t="s">
        <v>644</v>
      </c>
      <c r="F109" s="7" t="s">
        <v>87</v>
      </c>
      <c r="G109" s="7" t="s">
        <v>50</v>
      </c>
      <c r="H109" s="7" t="s">
        <v>50</v>
      </c>
      <c r="I109" s="7" t="s">
        <v>50</v>
      </c>
      <c r="J109" s="7" t="s">
        <v>50</v>
      </c>
      <c r="K109" s="7" t="s">
        <v>50</v>
      </c>
      <c r="L109" s="7" t="s">
        <v>50</v>
      </c>
      <c r="M109" s="7" t="s">
        <v>50</v>
      </c>
      <c r="N109" s="7" t="s">
        <v>50</v>
      </c>
      <c r="O109" s="7" t="n">
        <v>293099</v>
      </c>
      <c r="P109" s="7" t="n">
        <v>205579</v>
      </c>
      <c r="Q109" s="8" t="n">
        <f aca="false">(P109/O109)*100</f>
        <v>70.1397821213993</v>
      </c>
      <c r="R109" s="7" t="n">
        <f aca="false">X109-AC109</f>
        <v>22089</v>
      </c>
      <c r="S109" s="8" t="n">
        <f aca="false">(R109/P109)*100</f>
        <v>10.7447745149067</v>
      </c>
      <c r="T109" s="8" t="n">
        <f aca="false">Y109+AD109</f>
        <v>87.2778834414021</v>
      </c>
      <c r="U109" s="7" t="s">
        <v>51</v>
      </c>
      <c r="V109" s="7" t="s">
        <v>52</v>
      </c>
      <c r="W109" s="7" t="s">
        <v>682</v>
      </c>
      <c r="X109" s="7" t="n">
        <v>100757</v>
      </c>
      <c r="Y109" s="8" t="n">
        <f aca="false">(X109/P109)*100</f>
        <v>49.0113289781544</v>
      </c>
      <c r="Z109" s="7" t="s">
        <v>54</v>
      </c>
      <c r="AA109" s="7" t="s">
        <v>67</v>
      </c>
      <c r="AB109" s="7" t="s">
        <v>683</v>
      </c>
      <c r="AC109" s="7" t="n">
        <v>78668</v>
      </c>
      <c r="AD109" s="8" t="n">
        <f aca="false">(AC109/P109)*100</f>
        <v>38.2665544632477</v>
      </c>
      <c r="AE109" s="7" t="s">
        <v>57</v>
      </c>
      <c r="AF109" s="7" t="s">
        <v>57</v>
      </c>
      <c r="AG109" s="7" t="s">
        <v>684</v>
      </c>
      <c r="AH109" s="7" t="n">
        <v>13353</v>
      </c>
      <c r="AI109" s="8" t="n">
        <f aca="false">(AH109/P109)*100</f>
        <v>6.495313237247</v>
      </c>
      <c r="AJ109" s="7" t="s">
        <v>70</v>
      </c>
      <c r="AK109" s="7" t="s">
        <v>71</v>
      </c>
      <c r="AL109" s="7" t="s">
        <v>685</v>
      </c>
      <c r="AM109" s="7" t="n">
        <v>8107</v>
      </c>
      <c r="AN109" s="8" t="n">
        <f aca="false">(AM109/P109)*100</f>
        <v>3.94349617422013</v>
      </c>
      <c r="AO109" s="7" t="s">
        <v>62</v>
      </c>
      <c r="AP109" s="7" t="s">
        <v>62</v>
      </c>
      <c r="AQ109" s="7" t="s">
        <v>62</v>
      </c>
      <c r="AR109" s="7" t="n">
        <v>1968</v>
      </c>
      <c r="AS109" s="8" t="n">
        <f aca="false">(AR109/P109)*100</f>
        <v>0.957296221890368</v>
      </c>
    </row>
    <row r="110" customFormat="false" ht="12.8" hidden="false" customHeight="false" outlineLevel="0" collapsed="false">
      <c r="A110" s="6" t="n">
        <v>100</v>
      </c>
      <c r="B110" s="7" t="s">
        <v>686</v>
      </c>
      <c r="C110" s="7" t="s">
        <v>675</v>
      </c>
      <c r="D110" s="7" t="s">
        <v>585</v>
      </c>
      <c r="E110" s="7" t="s">
        <v>644</v>
      </c>
      <c r="F110" s="7" t="s">
        <v>49</v>
      </c>
      <c r="G110" s="7" t="s">
        <v>50</v>
      </c>
      <c r="H110" s="7" t="s">
        <v>525</v>
      </c>
      <c r="I110" s="7" t="s">
        <v>50</v>
      </c>
      <c r="J110" s="7" t="s">
        <v>50</v>
      </c>
      <c r="K110" s="7" t="s">
        <v>50</v>
      </c>
      <c r="L110" s="7" t="s">
        <v>50</v>
      </c>
      <c r="M110" s="7" t="s">
        <v>50</v>
      </c>
      <c r="N110" s="7" t="s">
        <v>50</v>
      </c>
      <c r="O110" s="7" t="n">
        <v>238932</v>
      </c>
      <c r="P110" s="7" t="n">
        <v>181857</v>
      </c>
      <c r="Q110" s="8" t="n">
        <f aca="false">(P110/O110)*100</f>
        <v>76.1124504042991</v>
      </c>
      <c r="R110" s="7" t="n">
        <f aca="false">X110-AC110</f>
        <v>281</v>
      </c>
      <c r="S110" s="8" t="n">
        <f aca="false">(R110/P110)*100</f>
        <v>0.154517010618233</v>
      </c>
      <c r="T110" s="8" t="n">
        <f aca="false">Y110+AD110</f>
        <v>85.7646392495202</v>
      </c>
      <c r="U110" s="7" t="s">
        <v>54</v>
      </c>
      <c r="V110" s="7" t="s">
        <v>170</v>
      </c>
      <c r="W110" s="7" t="s">
        <v>687</v>
      </c>
      <c r="X110" s="7" t="n">
        <v>78125</v>
      </c>
      <c r="Y110" s="8" t="n">
        <f aca="false">(X110/P110)*100</f>
        <v>42.9595781300692</v>
      </c>
      <c r="Z110" s="7" t="s">
        <v>51</v>
      </c>
      <c r="AA110" s="7" t="s">
        <v>52</v>
      </c>
      <c r="AB110" s="7" t="s">
        <v>688</v>
      </c>
      <c r="AC110" s="7" t="n">
        <v>77844</v>
      </c>
      <c r="AD110" s="8" t="n">
        <f aca="false">(AC110/P110)*100</f>
        <v>42.805061119451</v>
      </c>
      <c r="AE110" s="7" t="s">
        <v>57</v>
      </c>
      <c r="AF110" s="7" t="s">
        <v>57</v>
      </c>
      <c r="AG110" s="7" t="s">
        <v>689</v>
      </c>
      <c r="AH110" s="7" t="n">
        <v>12944</v>
      </c>
      <c r="AI110" s="8" t="n">
        <f aca="false">(AH110/P110)*100</f>
        <v>7.11768037523989</v>
      </c>
      <c r="AJ110" s="7" t="s">
        <v>70</v>
      </c>
      <c r="AK110" s="7" t="s">
        <v>71</v>
      </c>
      <c r="AL110" s="7" t="s">
        <v>690</v>
      </c>
      <c r="AM110" s="7" t="n">
        <v>4574</v>
      </c>
      <c r="AN110" s="8" t="n">
        <f aca="false">(AM110/P110)*100</f>
        <v>2.51516301269679</v>
      </c>
      <c r="AO110" s="7" t="s">
        <v>62</v>
      </c>
      <c r="AP110" s="7" t="s">
        <v>62</v>
      </c>
      <c r="AQ110" s="7" t="s">
        <v>62</v>
      </c>
      <c r="AR110" s="7" t="n">
        <v>2342</v>
      </c>
      <c r="AS110" s="8" t="n">
        <f aca="false">(AR110/P110)*100</f>
        <v>1.28782504935196</v>
      </c>
    </row>
    <row r="111" customFormat="false" ht="12.8" hidden="false" customHeight="false" outlineLevel="0" collapsed="false">
      <c r="A111" s="6" t="n">
        <v>101</v>
      </c>
      <c r="B111" s="7" t="s">
        <v>691</v>
      </c>
      <c r="C111" s="7" t="s">
        <v>692</v>
      </c>
      <c r="D111" s="7" t="s">
        <v>585</v>
      </c>
      <c r="E111" s="7" t="s">
        <v>693</v>
      </c>
      <c r="F111" s="7" t="s">
        <v>76</v>
      </c>
      <c r="G111" s="7" t="s">
        <v>64</v>
      </c>
      <c r="H111" s="7" t="s">
        <v>50</v>
      </c>
      <c r="I111" s="7" t="s">
        <v>50</v>
      </c>
      <c r="J111" s="7" t="s">
        <v>50</v>
      </c>
      <c r="K111" s="7" t="s">
        <v>50</v>
      </c>
      <c r="L111" s="7" t="s">
        <v>50</v>
      </c>
      <c r="M111" s="7" t="s">
        <v>50</v>
      </c>
      <c r="N111" s="7" t="s">
        <v>50</v>
      </c>
      <c r="O111" s="7" t="n">
        <v>258581</v>
      </c>
      <c r="P111" s="7" t="n">
        <v>193991</v>
      </c>
      <c r="Q111" s="8" t="n">
        <f aca="false">(P111/O111)*100</f>
        <v>75.0213666123961</v>
      </c>
      <c r="R111" s="7" t="n">
        <f aca="false">X111-AC111</f>
        <v>1393</v>
      </c>
      <c r="S111" s="8" t="n">
        <f aca="false">(R111/P111)*100</f>
        <v>0.718074549850251</v>
      </c>
      <c r="T111" s="8" t="n">
        <f aca="false">Y111+AD111</f>
        <v>92.0553015346073</v>
      </c>
      <c r="U111" s="7" t="s">
        <v>51</v>
      </c>
      <c r="V111" s="7" t="s">
        <v>52</v>
      </c>
      <c r="W111" s="7" t="s">
        <v>694</v>
      </c>
      <c r="X111" s="7" t="n">
        <v>89986</v>
      </c>
      <c r="Y111" s="8" t="n">
        <f aca="false">(X111/P111)*100</f>
        <v>46.3866880422288</v>
      </c>
      <c r="Z111" s="7" t="s">
        <v>54</v>
      </c>
      <c r="AA111" s="7" t="s">
        <v>170</v>
      </c>
      <c r="AB111" s="7" t="s">
        <v>695</v>
      </c>
      <c r="AC111" s="7" t="n">
        <v>88593</v>
      </c>
      <c r="AD111" s="8" t="n">
        <f aca="false">(AC111/P111)*100</f>
        <v>45.6686134923785</v>
      </c>
      <c r="AE111" s="7" t="s">
        <v>57</v>
      </c>
      <c r="AF111" s="7" t="s">
        <v>57</v>
      </c>
      <c r="AG111" s="7" t="s">
        <v>696</v>
      </c>
      <c r="AH111" s="7" t="n">
        <v>6753</v>
      </c>
      <c r="AI111" s="8" t="n">
        <f aca="false">(AH111/P111)*100</f>
        <v>3.48108932888639</v>
      </c>
      <c r="AJ111" s="7" t="s">
        <v>70</v>
      </c>
      <c r="AK111" s="7" t="s">
        <v>71</v>
      </c>
      <c r="AL111" s="7" t="s">
        <v>697</v>
      </c>
      <c r="AM111" s="7" t="n">
        <v>2130</v>
      </c>
      <c r="AN111" s="8" t="n">
        <f aca="false">(AM111/P111)*100</f>
        <v>1.09798908196772</v>
      </c>
      <c r="AO111" s="7" t="s">
        <v>62</v>
      </c>
      <c r="AP111" s="7" t="s">
        <v>62</v>
      </c>
      <c r="AQ111" s="7" t="s">
        <v>62</v>
      </c>
      <c r="AR111" s="7" t="n">
        <v>1903</v>
      </c>
      <c r="AS111" s="8" t="n">
        <f aca="false">(AR111/P111)*100</f>
        <v>0.980973344124212</v>
      </c>
    </row>
    <row r="112" customFormat="false" ht="12.8" hidden="false" customHeight="false" outlineLevel="0" collapsed="false">
      <c r="A112" s="6" t="n">
        <v>102</v>
      </c>
      <c r="B112" s="7" t="s">
        <v>698</v>
      </c>
      <c r="C112" s="7" t="s">
        <v>692</v>
      </c>
      <c r="D112" s="7" t="s">
        <v>585</v>
      </c>
      <c r="E112" s="7" t="s">
        <v>693</v>
      </c>
      <c r="F112" s="7" t="s">
        <v>76</v>
      </c>
      <c r="G112" s="7" t="s">
        <v>50</v>
      </c>
      <c r="H112" s="7" t="s">
        <v>50</v>
      </c>
      <c r="I112" s="7" t="s">
        <v>50</v>
      </c>
      <c r="J112" s="7" t="s">
        <v>50</v>
      </c>
      <c r="K112" s="7" t="s">
        <v>50</v>
      </c>
      <c r="L112" s="7" t="s">
        <v>50</v>
      </c>
      <c r="M112" s="7" t="s">
        <v>67</v>
      </c>
      <c r="N112" s="7" t="s">
        <v>125</v>
      </c>
      <c r="O112" s="7" t="n">
        <v>257190</v>
      </c>
      <c r="P112" s="7" t="n">
        <v>199818</v>
      </c>
      <c r="Q112" s="8" t="n">
        <f aca="false">(P112/O112)*100</f>
        <v>77.6927563280065</v>
      </c>
      <c r="R112" s="7" t="n">
        <f aca="false">X112-AC112</f>
        <v>7331</v>
      </c>
      <c r="S112" s="8" t="n">
        <f aca="false">(R112/P112)*100</f>
        <v>3.66883864316528</v>
      </c>
      <c r="T112" s="8" t="n">
        <f aca="false">Y112+AD112</f>
        <v>90.6139587024192</v>
      </c>
      <c r="U112" s="7" t="s">
        <v>51</v>
      </c>
      <c r="V112" s="7" t="s">
        <v>52</v>
      </c>
      <c r="W112" s="7" t="s">
        <v>699</v>
      </c>
      <c r="X112" s="7" t="n">
        <v>94197</v>
      </c>
      <c r="Y112" s="8" t="n">
        <f aca="false">(X112/P112)*100</f>
        <v>47.1413986727922</v>
      </c>
      <c r="Z112" s="7" t="s">
        <v>54</v>
      </c>
      <c r="AA112" s="7" t="s">
        <v>67</v>
      </c>
      <c r="AB112" s="7" t="s">
        <v>700</v>
      </c>
      <c r="AC112" s="7" t="n">
        <v>86866</v>
      </c>
      <c r="AD112" s="8" t="n">
        <f aca="false">(AC112/P112)*100</f>
        <v>43.472560029627</v>
      </c>
      <c r="AE112" s="7" t="s">
        <v>57</v>
      </c>
      <c r="AF112" s="7" t="s">
        <v>57</v>
      </c>
      <c r="AG112" s="7" t="s">
        <v>701</v>
      </c>
      <c r="AH112" s="7" t="n">
        <v>11307</v>
      </c>
      <c r="AI112" s="8" t="n">
        <f aca="false">(AH112/P112)*100</f>
        <v>5.65864937092754</v>
      </c>
      <c r="AJ112" s="7" t="s">
        <v>196</v>
      </c>
      <c r="AK112" s="7" t="s">
        <v>196</v>
      </c>
      <c r="AL112" s="7" t="s">
        <v>702</v>
      </c>
      <c r="AM112" s="7" t="n">
        <v>2327</v>
      </c>
      <c r="AN112" s="8" t="n">
        <f aca="false">(AM112/P112)*100</f>
        <v>1.16455974937193</v>
      </c>
      <c r="AO112" s="7" t="s">
        <v>62</v>
      </c>
      <c r="AP112" s="7" t="s">
        <v>62</v>
      </c>
      <c r="AQ112" s="7" t="s">
        <v>62</v>
      </c>
      <c r="AR112" s="7" t="n">
        <v>1027</v>
      </c>
      <c r="AS112" s="8" t="n">
        <f aca="false">(AR112/P112)*100</f>
        <v>0.513967710616661</v>
      </c>
    </row>
    <row r="113" customFormat="false" ht="12.8" hidden="false" customHeight="false" outlineLevel="0" collapsed="false">
      <c r="A113" s="6" t="n">
        <v>103</v>
      </c>
      <c r="B113" s="7" t="s">
        <v>703</v>
      </c>
      <c r="C113" s="7" t="s">
        <v>675</v>
      </c>
      <c r="D113" s="7" t="s">
        <v>585</v>
      </c>
      <c r="E113" s="7" t="s">
        <v>644</v>
      </c>
      <c r="F113" s="7" t="s">
        <v>49</v>
      </c>
      <c r="G113" s="7" t="s">
        <v>50</v>
      </c>
      <c r="H113" s="7" t="s">
        <v>525</v>
      </c>
      <c r="I113" s="7" t="s">
        <v>50</v>
      </c>
      <c r="J113" s="7" t="s">
        <v>50</v>
      </c>
      <c r="K113" s="7" t="s">
        <v>50</v>
      </c>
      <c r="L113" s="7" t="s">
        <v>67</v>
      </c>
      <c r="M113" s="7" t="s">
        <v>67</v>
      </c>
      <c r="N113" s="7" t="s">
        <v>50</v>
      </c>
      <c r="O113" s="7" t="n">
        <v>227887</v>
      </c>
      <c r="P113" s="7" t="n">
        <v>189843</v>
      </c>
      <c r="Q113" s="8" t="n">
        <f aca="false">(P113/O113)*100</f>
        <v>83.3057611886593</v>
      </c>
      <c r="R113" s="7" t="n">
        <f aca="false">X113-AC113</f>
        <v>14507</v>
      </c>
      <c r="S113" s="8" t="n">
        <f aca="false">(R113/P113)*100</f>
        <v>7.64157751405108</v>
      </c>
      <c r="T113" s="8" t="n">
        <f aca="false">Y113+AD113</f>
        <v>82.0377891204838</v>
      </c>
      <c r="U113" s="7" t="s">
        <v>54</v>
      </c>
      <c r="V113" s="7" t="s">
        <v>67</v>
      </c>
      <c r="W113" s="7" t="s">
        <v>704</v>
      </c>
      <c r="X113" s="7" t="n">
        <v>85125</v>
      </c>
      <c r="Y113" s="8" t="n">
        <f aca="false">(X113/P113)*100</f>
        <v>44.8396833172674</v>
      </c>
      <c r="Z113" s="7" t="s">
        <v>51</v>
      </c>
      <c r="AA113" s="17" t="s">
        <v>663</v>
      </c>
      <c r="AB113" s="7" t="s">
        <v>705</v>
      </c>
      <c r="AC113" s="7" t="n">
        <v>70618</v>
      </c>
      <c r="AD113" s="8" t="n">
        <f aca="false">(AC113/P113)*100</f>
        <v>37.1981058032163</v>
      </c>
      <c r="AE113" s="7" t="s">
        <v>57</v>
      </c>
      <c r="AF113" s="7" t="s">
        <v>57</v>
      </c>
      <c r="AG113" s="7" t="s">
        <v>706</v>
      </c>
      <c r="AH113" s="7" t="n">
        <v>10294</v>
      </c>
      <c r="AI113" s="8" t="n">
        <f aca="false">(AH113/P113)*100</f>
        <v>5.42237533119472</v>
      </c>
      <c r="AJ113" s="7" t="s">
        <v>196</v>
      </c>
      <c r="AK113" s="7" t="s">
        <v>196</v>
      </c>
      <c r="AL113" s="7" t="s">
        <v>707</v>
      </c>
      <c r="AM113" s="7" t="n">
        <v>9895</v>
      </c>
      <c r="AN113" s="8" t="n">
        <f aca="false">(AM113/P113)*100</f>
        <v>5.21220166137282</v>
      </c>
      <c r="AO113" s="7" t="s">
        <v>70</v>
      </c>
      <c r="AP113" s="7" t="s">
        <v>71</v>
      </c>
      <c r="AQ113" s="7" t="s">
        <v>708</v>
      </c>
      <c r="AR113" s="7" t="n">
        <v>3533</v>
      </c>
      <c r="AS113" s="8" t="n">
        <f aca="false">(AR113/P113)*100</f>
        <v>1.86101146737041</v>
      </c>
    </row>
    <row r="114" customFormat="false" ht="12.8" hidden="false" customHeight="false" outlineLevel="0" collapsed="false">
      <c r="A114" s="6" t="n">
        <v>104</v>
      </c>
      <c r="B114" s="7" t="s">
        <v>709</v>
      </c>
      <c r="C114" s="7" t="s">
        <v>675</v>
      </c>
      <c r="D114" s="7" t="s">
        <v>585</v>
      </c>
      <c r="E114" s="7" t="s">
        <v>644</v>
      </c>
      <c r="F114" s="7" t="s">
        <v>76</v>
      </c>
      <c r="G114" s="7" t="s">
        <v>50</v>
      </c>
      <c r="H114" s="7" t="s">
        <v>50</v>
      </c>
      <c r="I114" s="7" t="s">
        <v>50</v>
      </c>
      <c r="J114" s="7" t="s">
        <v>67</v>
      </c>
      <c r="K114" s="7" t="s">
        <v>50</v>
      </c>
      <c r="L114" s="7" t="s">
        <v>67</v>
      </c>
      <c r="M114" s="7" t="s">
        <v>50</v>
      </c>
      <c r="N114" s="7" t="s">
        <v>50</v>
      </c>
      <c r="O114" s="7" t="n">
        <v>238721</v>
      </c>
      <c r="P114" s="7" t="n">
        <v>201385</v>
      </c>
      <c r="Q114" s="8" t="n">
        <f aca="false">(P114/O114)*100</f>
        <v>84.3599850871938</v>
      </c>
      <c r="R114" s="7" t="n">
        <f aca="false">X114-AC114</f>
        <v>22523</v>
      </c>
      <c r="S114" s="8" t="n">
        <f aca="false">(R114/P114)*100</f>
        <v>11.1840504506294</v>
      </c>
      <c r="T114" s="8" t="n">
        <f aca="false">Y114+AD114</f>
        <v>89.0369193336147</v>
      </c>
      <c r="U114" s="7" t="s">
        <v>54</v>
      </c>
      <c r="V114" s="7" t="s">
        <v>67</v>
      </c>
      <c r="W114" s="7" t="s">
        <v>710</v>
      </c>
      <c r="X114" s="7" t="n">
        <v>100915</v>
      </c>
      <c r="Y114" s="8" t="n">
        <f aca="false">(X114/P114)*100</f>
        <v>50.1104848921221</v>
      </c>
      <c r="Z114" s="7" t="s">
        <v>51</v>
      </c>
      <c r="AA114" s="7" t="s">
        <v>52</v>
      </c>
      <c r="AB114" s="7" t="s">
        <v>711</v>
      </c>
      <c r="AC114" s="7" t="n">
        <v>78392</v>
      </c>
      <c r="AD114" s="8" t="n">
        <f aca="false">(AC114/P114)*100</f>
        <v>38.9264344414927</v>
      </c>
      <c r="AE114" s="7" t="s">
        <v>57</v>
      </c>
      <c r="AF114" s="7" t="s">
        <v>57</v>
      </c>
      <c r="AG114" s="7" t="s">
        <v>712</v>
      </c>
      <c r="AH114" s="7" t="n">
        <v>10471</v>
      </c>
      <c r="AI114" s="8" t="n">
        <f aca="false">(AH114/P114)*100</f>
        <v>5.19949350746083</v>
      </c>
      <c r="AJ114" s="7" t="s">
        <v>70</v>
      </c>
      <c r="AK114" s="7" t="s">
        <v>71</v>
      </c>
      <c r="AL114" s="7" t="s">
        <v>713</v>
      </c>
      <c r="AM114" s="7" t="n">
        <v>4221</v>
      </c>
      <c r="AN114" s="8" t="n">
        <f aca="false">(AM114/P114)*100</f>
        <v>2.09598530178514</v>
      </c>
      <c r="AO114" s="7" t="s">
        <v>62</v>
      </c>
      <c r="AP114" s="7" t="s">
        <v>62</v>
      </c>
      <c r="AQ114" s="7" t="s">
        <v>62</v>
      </c>
      <c r="AR114" s="7" t="n">
        <v>2079</v>
      </c>
      <c r="AS114" s="8" t="n">
        <f aca="false">(AR114/P114)*100</f>
        <v>1.03235096953596</v>
      </c>
    </row>
    <row r="115" customFormat="false" ht="12.8" hidden="false" customHeight="false" outlineLevel="0" collapsed="false">
      <c r="A115" s="6" t="n">
        <v>105</v>
      </c>
      <c r="B115" s="7" t="s">
        <v>714</v>
      </c>
      <c r="C115" s="7" t="s">
        <v>675</v>
      </c>
      <c r="D115" s="7" t="s">
        <v>585</v>
      </c>
      <c r="E115" s="7" t="s">
        <v>644</v>
      </c>
      <c r="F115" s="7" t="s">
        <v>49</v>
      </c>
      <c r="G115" s="7" t="s">
        <v>50</v>
      </c>
      <c r="H115" s="7" t="s">
        <v>50</v>
      </c>
      <c r="I115" s="7" t="s">
        <v>50</v>
      </c>
      <c r="J115" s="7" t="s">
        <v>50</v>
      </c>
      <c r="K115" s="7" t="s">
        <v>50</v>
      </c>
      <c r="L115" s="7" t="s">
        <v>50</v>
      </c>
      <c r="M115" s="7" t="s">
        <v>67</v>
      </c>
      <c r="N115" s="7" t="s">
        <v>50</v>
      </c>
      <c r="O115" s="7" t="n">
        <v>219615</v>
      </c>
      <c r="P115" s="7" t="n">
        <v>176385</v>
      </c>
      <c r="Q115" s="8" t="n">
        <f aca="false">(P115/O115)*100</f>
        <v>80.3155522163787</v>
      </c>
      <c r="R115" s="7" t="n">
        <f aca="false">X115-AC115</f>
        <v>1275</v>
      </c>
      <c r="S115" s="8" t="n">
        <f aca="false">(R115/P115)*100</f>
        <v>0.722850582532528</v>
      </c>
      <c r="T115" s="8" t="n">
        <f aca="false">Y115+AD115</f>
        <v>88.96278028177</v>
      </c>
      <c r="U115" s="7" t="s">
        <v>51</v>
      </c>
      <c r="V115" s="7" t="s">
        <v>52</v>
      </c>
      <c r="W115" s="7" t="s">
        <v>715</v>
      </c>
      <c r="X115" s="7" t="n">
        <v>79096</v>
      </c>
      <c r="Y115" s="8" t="n">
        <f aca="false">(X115/P115)*100</f>
        <v>44.8428154321513</v>
      </c>
      <c r="Z115" s="7" t="s">
        <v>54</v>
      </c>
      <c r="AA115" s="7" t="s">
        <v>67</v>
      </c>
      <c r="AB115" s="7" t="s">
        <v>716</v>
      </c>
      <c r="AC115" s="7" t="n">
        <v>77821</v>
      </c>
      <c r="AD115" s="8" t="n">
        <f aca="false">(AC115/P115)*100</f>
        <v>44.1199648496187</v>
      </c>
      <c r="AE115" s="7" t="s">
        <v>57</v>
      </c>
      <c r="AF115" s="7" t="s">
        <v>57</v>
      </c>
      <c r="AG115" s="7" t="s">
        <v>717</v>
      </c>
      <c r="AH115" s="7" t="n">
        <v>8230</v>
      </c>
      <c r="AI115" s="8" t="n">
        <f aca="false">(AH115/P115)*100</f>
        <v>4.6659296425433</v>
      </c>
      <c r="AJ115" s="7" t="s">
        <v>70</v>
      </c>
      <c r="AK115" s="7" t="s">
        <v>71</v>
      </c>
      <c r="AL115" s="7" t="s">
        <v>718</v>
      </c>
      <c r="AM115" s="7" t="n">
        <v>2474</v>
      </c>
      <c r="AN115" s="8" t="n">
        <f aca="false">(AM115/P115)*100</f>
        <v>1.40261360092978</v>
      </c>
      <c r="AO115" s="7" t="s">
        <v>719</v>
      </c>
      <c r="AP115" s="7" t="s">
        <v>719</v>
      </c>
      <c r="AQ115" s="7" t="s">
        <v>720</v>
      </c>
      <c r="AR115" s="7" t="n">
        <v>2045</v>
      </c>
      <c r="AS115" s="8" t="n">
        <f aca="false">(AR115/P115)*100</f>
        <v>1.15939564021884</v>
      </c>
    </row>
    <row r="116" customFormat="false" ht="12.8" hidden="false" customHeight="false" outlineLevel="0" collapsed="false">
      <c r="A116" s="6" t="n">
        <v>106</v>
      </c>
      <c r="B116" s="7" t="s">
        <v>721</v>
      </c>
      <c r="C116" s="7" t="s">
        <v>675</v>
      </c>
      <c r="D116" s="7" t="s">
        <v>585</v>
      </c>
      <c r="E116" s="7" t="s">
        <v>644</v>
      </c>
      <c r="F116" s="7" t="s">
        <v>76</v>
      </c>
      <c r="G116" s="7" t="s">
        <v>50</v>
      </c>
      <c r="H116" s="7" t="s">
        <v>50</v>
      </c>
      <c r="I116" s="7" t="s">
        <v>50</v>
      </c>
      <c r="J116" s="7" t="s">
        <v>67</v>
      </c>
      <c r="K116" s="7" t="s">
        <v>50</v>
      </c>
      <c r="L116" s="7" t="s">
        <v>67</v>
      </c>
      <c r="M116" s="7" t="s">
        <v>67</v>
      </c>
      <c r="N116" s="7" t="s">
        <v>50</v>
      </c>
      <c r="O116" s="7" t="n">
        <v>256363</v>
      </c>
      <c r="P116" s="7" t="n">
        <v>214281</v>
      </c>
      <c r="Q116" s="8" t="n">
        <f aca="false">(P116/O116)*100</f>
        <v>83.5849947145259</v>
      </c>
      <c r="R116" s="7" t="n">
        <f aca="false">X116-AC116</f>
        <v>28563</v>
      </c>
      <c r="S116" s="8" t="n">
        <f aca="false">(R116/P116)*100</f>
        <v>13.3296932532516</v>
      </c>
      <c r="T116" s="8" t="n">
        <f aca="false">Y116+AD116</f>
        <v>88.0400035467447</v>
      </c>
      <c r="U116" s="7" t="s">
        <v>54</v>
      </c>
      <c r="V116" s="7" t="s">
        <v>67</v>
      </c>
      <c r="W116" s="7" t="s">
        <v>722</v>
      </c>
      <c r="X116" s="7" t="n">
        <v>108608</v>
      </c>
      <c r="Y116" s="8" t="n">
        <f aca="false">(X116/P116)*100</f>
        <v>50.6848483999981</v>
      </c>
      <c r="Z116" s="7" t="s">
        <v>51</v>
      </c>
      <c r="AA116" s="7" t="s">
        <v>52</v>
      </c>
      <c r="AB116" s="7" t="s">
        <v>723</v>
      </c>
      <c r="AC116" s="7" t="n">
        <v>80045</v>
      </c>
      <c r="AD116" s="8" t="n">
        <f aca="false">(AC116/P116)*100</f>
        <v>37.3551551467466</v>
      </c>
      <c r="AE116" s="7" t="s">
        <v>57</v>
      </c>
      <c r="AF116" s="7" t="s">
        <v>57</v>
      </c>
      <c r="AG116" s="7" t="s">
        <v>724</v>
      </c>
      <c r="AH116" s="7" t="n">
        <v>11709</v>
      </c>
      <c r="AI116" s="8" t="n">
        <f aca="false">(AH116/P116)*100</f>
        <v>5.46432021504473</v>
      </c>
      <c r="AJ116" s="7" t="s">
        <v>70</v>
      </c>
      <c r="AK116" s="7" t="s">
        <v>71</v>
      </c>
      <c r="AL116" s="7" t="s">
        <v>725</v>
      </c>
      <c r="AM116" s="7" t="n">
        <v>4291</v>
      </c>
      <c r="AN116" s="8" t="n">
        <f aca="false">(AM116/P116)*100</f>
        <v>2.00251072190255</v>
      </c>
      <c r="AO116" s="7" t="s">
        <v>59</v>
      </c>
      <c r="AP116" s="7" t="s">
        <v>73</v>
      </c>
      <c r="AQ116" s="7" t="s">
        <v>726</v>
      </c>
      <c r="AR116" s="7" t="n">
        <v>2682</v>
      </c>
      <c r="AS116" s="8" t="n">
        <f aca="false">(AR116/P116)*100</f>
        <v>1.25162753580579</v>
      </c>
    </row>
    <row r="117" customFormat="false" ht="12.8" hidden="false" customHeight="false" outlineLevel="0" collapsed="false">
      <c r="A117" s="6" t="n">
        <v>107</v>
      </c>
      <c r="B117" s="7" t="s">
        <v>727</v>
      </c>
      <c r="C117" s="7" t="s">
        <v>675</v>
      </c>
      <c r="D117" s="7" t="s">
        <v>585</v>
      </c>
      <c r="E117" s="7" t="s">
        <v>644</v>
      </c>
      <c r="F117" s="7" t="s">
        <v>49</v>
      </c>
      <c r="G117" s="7" t="s">
        <v>64</v>
      </c>
      <c r="H117" s="7" t="s">
        <v>50</v>
      </c>
      <c r="I117" s="7" t="s">
        <v>50</v>
      </c>
      <c r="J117" s="7" t="s">
        <v>50</v>
      </c>
      <c r="K117" s="7" t="s">
        <v>67</v>
      </c>
      <c r="L117" s="7" t="s">
        <v>50</v>
      </c>
      <c r="M117" s="7" t="s">
        <v>67</v>
      </c>
      <c r="N117" s="7" t="s">
        <v>50</v>
      </c>
      <c r="O117" s="7" t="n">
        <v>260249</v>
      </c>
      <c r="P117" s="7" t="n">
        <v>200567</v>
      </c>
      <c r="Q117" s="8" t="n">
        <f aca="false">(P117/O117)*100</f>
        <v>77.0673470407187</v>
      </c>
      <c r="R117" s="7" t="n">
        <f aca="false">X117-AC117</f>
        <v>16008</v>
      </c>
      <c r="S117" s="8" t="n">
        <f aca="false">(R117/P117)*100</f>
        <v>7.98137280808907</v>
      </c>
      <c r="T117" s="8" t="n">
        <f aca="false">Y117+AD117</f>
        <v>90.9192439434204</v>
      </c>
      <c r="U117" s="7" t="s">
        <v>54</v>
      </c>
      <c r="V117" s="7" t="s">
        <v>67</v>
      </c>
      <c r="W117" s="7" t="s">
        <v>728</v>
      </c>
      <c r="X117" s="7" t="n">
        <v>99181</v>
      </c>
      <c r="Y117" s="8" t="n">
        <f aca="false">(X117/P117)*100</f>
        <v>49.4503083757547</v>
      </c>
      <c r="Z117" s="7" t="s">
        <v>51</v>
      </c>
      <c r="AA117" s="7" t="s">
        <v>421</v>
      </c>
      <c r="AB117" s="7" t="s">
        <v>729</v>
      </c>
      <c r="AC117" s="7" t="n">
        <v>83173</v>
      </c>
      <c r="AD117" s="8" t="n">
        <f aca="false">(AC117/P117)*100</f>
        <v>41.4689355676657</v>
      </c>
      <c r="AE117" s="7" t="s">
        <v>57</v>
      </c>
      <c r="AF117" s="7" t="s">
        <v>57</v>
      </c>
      <c r="AG117" s="7" t="s">
        <v>730</v>
      </c>
      <c r="AH117" s="7" t="n">
        <v>8517</v>
      </c>
      <c r="AI117" s="8" t="n">
        <f aca="false">(AH117/P117)*100</f>
        <v>4.24646128226478</v>
      </c>
      <c r="AJ117" s="7" t="s">
        <v>70</v>
      </c>
      <c r="AK117" s="7" t="s">
        <v>71</v>
      </c>
      <c r="AL117" s="7" t="s">
        <v>731</v>
      </c>
      <c r="AM117" s="7" t="n">
        <v>4297</v>
      </c>
      <c r="AN117" s="8" t="n">
        <f aca="false">(AM117/P117)*100</f>
        <v>2.14242622166159</v>
      </c>
      <c r="AO117" s="7" t="s">
        <v>59</v>
      </c>
      <c r="AP117" s="7" t="s">
        <v>60</v>
      </c>
      <c r="AQ117" s="7" t="s">
        <v>732</v>
      </c>
      <c r="AR117" s="7" t="n">
        <v>2197</v>
      </c>
      <c r="AS117" s="8" t="n">
        <f aca="false">(AR117/P117)*100</f>
        <v>1.09539455643251</v>
      </c>
    </row>
    <row r="118" customFormat="false" ht="12.8" hidden="false" customHeight="false" outlineLevel="0" collapsed="false">
      <c r="A118" s="6" t="n">
        <v>108</v>
      </c>
      <c r="B118" s="7" t="s">
        <v>733</v>
      </c>
      <c r="C118" s="7" t="s">
        <v>734</v>
      </c>
      <c r="D118" s="7" t="s">
        <v>585</v>
      </c>
      <c r="E118" s="7" t="s">
        <v>735</v>
      </c>
      <c r="F118" s="7" t="s">
        <v>76</v>
      </c>
      <c r="G118" s="7" t="s">
        <v>50</v>
      </c>
      <c r="H118" s="7" t="s">
        <v>315</v>
      </c>
      <c r="I118" s="7" t="s">
        <v>50</v>
      </c>
      <c r="J118" s="7" t="s">
        <v>50</v>
      </c>
      <c r="K118" s="7" t="s">
        <v>50</v>
      </c>
      <c r="L118" s="7" t="s">
        <v>50</v>
      </c>
      <c r="M118" s="7" t="s">
        <v>65</v>
      </c>
      <c r="N118" s="7" t="s">
        <v>50</v>
      </c>
      <c r="O118" s="7" t="n">
        <v>206039</v>
      </c>
      <c r="P118" s="7" t="n">
        <v>141102</v>
      </c>
      <c r="Q118" s="8" t="n">
        <f aca="false">(P118/O118)*100</f>
        <v>68.4831512480647</v>
      </c>
      <c r="R118" s="7" t="n">
        <f aca="false">X118-AC118</f>
        <v>5348</v>
      </c>
      <c r="S118" s="8" t="n">
        <f aca="false">(R118/P118)*100</f>
        <v>3.79016597922071</v>
      </c>
      <c r="T118" s="8" t="n">
        <f aca="false">Y118+AD118</f>
        <v>89.0929965556831</v>
      </c>
      <c r="U118" s="7" t="s">
        <v>51</v>
      </c>
      <c r="V118" s="7" t="s">
        <v>65</v>
      </c>
      <c r="W118" s="7" t="s">
        <v>736</v>
      </c>
      <c r="X118" s="7" t="n">
        <v>65530</v>
      </c>
      <c r="Y118" s="8" t="n">
        <f aca="false">(X118/P118)*100</f>
        <v>46.4415812674519</v>
      </c>
      <c r="Z118" s="7" t="s">
        <v>54</v>
      </c>
      <c r="AA118" s="7" t="s">
        <v>170</v>
      </c>
      <c r="AB118" s="7" t="s">
        <v>737</v>
      </c>
      <c r="AC118" s="7" t="n">
        <v>60182</v>
      </c>
      <c r="AD118" s="8" t="n">
        <f aca="false">(AC118/P118)*100</f>
        <v>42.6514152882312</v>
      </c>
      <c r="AE118" s="7" t="s">
        <v>57</v>
      </c>
      <c r="AF118" s="7" t="s">
        <v>57</v>
      </c>
      <c r="AG118" s="7" t="s">
        <v>738</v>
      </c>
      <c r="AH118" s="7" t="n">
        <v>6381</v>
      </c>
      <c r="AI118" s="8" t="n">
        <f aca="false">(AH118/P118)*100</f>
        <v>4.52226049240975</v>
      </c>
      <c r="AJ118" s="7" t="s">
        <v>70</v>
      </c>
      <c r="AK118" s="7" t="s">
        <v>71</v>
      </c>
      <c r="AL118" s="7" t="s">
        <v>739</v>
      </c>
      <c r="AM118" s="7" t="n">
        <v>4935</v>
      </c>
      <c r="AN118" s="8" t="n">
        <f aca="false">(AM118/P118)*100</f>
        <v>3.49746991538036</v>
      </c>
      <c r="AO118" s="7" t="s">
        <v>62</v>
      </c>
      <c r="AP118" s="7" t="s">
        <v>62</v>
      </c>
      <c r="AQ118" s="7" t="s">
        <v>62</v>
      </c>
      <c r="AR118" s="7" t="n">
        <v>1376</v>
      </c>
      <c r="AS118" s="8" t="n">
        <f aca="false">(AR118/P118)*100</f>
        <v>0.975181074683562</v>
      </c>
    </row>
    <row r="119" customFormat="false" ht="12.8" hidden="false" customHeight="false" outlineLevel="0" collapsed="false">
      <c r="A119" s="6" t="n">
        <v>109</v>
      </c>
      <c r="B119" s="7" t="s">
        <v>740</v>
      </c>
      <c r="C119" s="7" t="s">
        <v>734</v>
      </c>
      <c r="D119" s="7" t="s">
        <v>585</v>
      </c>
      <c r="E119" s="7" t="s">
        <v>735</v>
      </c>
      <c r="F119" s="7" t="s">
        <v>76</v>
      </c>
      <c r="G119" s="7" t="s">
        <v>64</v>
      </c>
      <c r="H119" s="7" t="s">
        <v>315</v>
      </c>
      <c r="I119" s="7" t="s">
        <v>50</v>
      </c>
      <c r="J119" s="7" t="s">
        <v>50</v>
      </c>
      <c r="K119" s="7" t="s">
        <v>50</v>
      </c>
      <c r="L119" s="7" t="s">
        <v>50</v>
      </c>
      <c r="M119" s="7" t="s">
        <v>50</v>
      </c>
      <c r="N119" s="7" t="s">
        <v>50</v>
      </c>
      <c r="O119" s="7" t="n">
        <v>189221</v>
      </c>
      <c r="P119" s="7" t="n">
        <v>138257</v>
      </c>
      <c r="Q119" s="8" t="n">
        <f aca="false">(P119/O119)*100</f>
        <v>73.0664144043209</v>
      </c>
      <c r="R119" s="7" t="n">
        <f aca="false">X119-AC119</f>
        <v>1945</v>
      </c>
      <c r="S119" s="8" t="n">
        <f aca="false">(R119/P119)*100</f>
        <v>1.40680037900432</v>
      </c>
      <c r="T119" s="8" t="n">
        <f aca="false">Y119+AD119</f>
        <v>91.8919114402887</v>
      </c>
      <c r="U119" s="7" t="s">
        <v>54</v>
      </c>
      <c r="V119" s="7" t="s">
        <v>67</v>
      </c>
      <c r="W119" s="7" t="s">
        <v>741</v>
      </c>
      <c r="X119" s="7" t="n">
        <v>64496</v>
      </c>
      <c r="Y119" s="8" t="n">
        <f aca="false">(X119/P119)*100</f>
        <v>46.6493559096465</v>
      </c>
      <c r="Z119" s="7" t="s">
        <v>51</v>
      </c>
      <c r="AA119" s="7" t="s">
        <v>52</v>
      </c>
      <c r="AB119" s="7" t="s">
        <v>742</v>
      </c>
      <c r="AC119" s="7" t="n">
        <v>62551</v>
      </c>
      <c r="AD119" s="8" t="n">
        <f aca="false">(AC119/P119)*100</f>
        <v>45.2425555306422</v>
      </c>
      <c r="AE119" s="7" t="s">
        <v>57</v>
      </c>
      <c r="AF119" s="7" t="s">
        <v>57</v>
      </c>
      <c r="AG119" s="7" t="s">
        <v>743</v>
      </c>
      <c r="AH119" s="7" t="n">
        <v>7317</v>
      </c>
      <c r="AI119" s="8" t="n">
        <f aca="false">(AH119/P119)*100</f>
        <v>5.29231792965275</v>
      </c>
      <c r="AJ119" s="7" t="s">
        <v>59</v>
      </c>
      <c r="AK119" s="7" t="s">
        <v>60</v>
      </c>
      <c r="AL119" s="7" t="s">
        <v>744</v>
      </c>
      <c r="AM119" s="7" t="n">
        <v>1173</v>
      </c>
      <c r="AN119" s="8" t="n">
        <f aca="false">(AM119/P119)*100</f>
        <v>0.848419971502347</v>
      </c>
      <c r="AO119" s="7" t="s">
        <v>62</v>
      </c>
      <c r="AP119" s="7" t="s">
        <v>62</v>
      </c>
      <c r="AQ119" s="7" t="s">
        <v>62</v>
      </c>
      <c r="AR119" s="7" t="n">
        <v>1017</v>
      </c>
      <c r="AS119" s="8" t="n">
        <f aca="false">(AR119/P119)*100</f>
        <v>0.735586624908685</v>
      </c>
    </row>
    <row r="120" customFormat="false" ht="12.8" hidden="false" customHeight="false" outlineLevel="0" collapsed="false">
      <c r="A120" s="6" t="n">
        <v>110</v>
      </c>
      <c r="B120" s="7" t="s">
        <v>745</v>
      </c>
      <c r="C120" s="7" t="s">
        <v>734</v>
      </c>
      <c r="D120" s="7" t="s">
        <v>585</v>
      </c>
      <c r="E120" s="7" t="s">
        <v>735</v>
      </c>
      <c r="F120" s="7" t="s">
        <v>76</v>
      </c>
      <c r="G120" s="7" t="s">
        <v>50</v>
      </c>
      <c r="H120" s="7" t="s">
        <v>50</v>
      </c>
      <c r="I120" s="7" t="s">
        <v>50</v>
      </c>
      <c r="J120" s="7" t="s">
        <v>50</v>
      </c>
      <c r="K120" s="7" t="s">
        <v>50</v>
      </c>
      <c r="L120" s="7" t="s">
        <v>50</v>
      </c>
      <c r="M120" s="7" t="s">
        <v>52</v>
      </c>
      <c r="N120" s="7" t="s">
        <v>50</v>
      </c>
      <c r="O120" s="7" t="n">
        <v>192118</v>
      </c>
      <c r="P120" s="7" t="n">
        <v>135908</v>
      </c>
      <c r="Q120" s="8" t="n">
        <f aca="false">(P120/O120)*100</f>
        <v>70.7419398494675</v>
      </c>
      <c r="R120" s="7" t="n">
        <f aca="false">X120-AC120</f>
        <v>4105</v>
      </c>
      <c r="S120" s="8" t="n">
        <f aca="false">(R120/P120)*100</f>
        <v>3.02042558201136</v>
      </c>
      <c r="T120" s="8" t="n">
        <f aca="false">Y120+AD120</f>
        <v>87.9528798893369</v>
      </c>
      <c r="U120" s="7" t="s">
        <v>51</v>
      </c>
      <c r="V120" s="7" t="s">
        <v>52</v>
      </c>
      <c r="W120" s="7" t="s">
        <v>746</v>
      </c>
      <c r="X120" s="7" t="n">
        <v>61820</v>
      </c>
      <c r="Y120" s="8" t="n">
        <f aca="false">(X120/P120)*100</f>
        <v>45.4866527356741</v>
      </c>
      <c r="Z120" s="7" t="s">
        <v>54</v>
      </c>
      <c r="AA120" s="7" t="s">
        <v>67</v>
      </c>
      <c r="AB120" s="7" t="s">
        <v>747</v>
      </c>
      <c r="AC120" s="7" t="n">
        <v>57715</v>
      </c>
      <c r="AD120" s="8" t="n">
        <f aca="false">(AC120/P120)*100</f>
        <v>42.4662271536628</v>
      </c>
      <c r="AE120" s="7" t="s">
        <v>57</v>
      </c>
      <c r="AF120" s="7" t="s">
        <v>57</v>
      </c>
      <c r="AG120" s="7" t="s">
        <v>748</v>
      </c>
      <c r="AH120" s="7" t="n">
        <v>7252</v>
      </c>
      <c r="AI120" s="8" t="n">
        <f aca="false">(AH120/P120)*100</f>
        <v>5.3359625629102</v>
      </c>
      <c r="AJ120" s="7" t="s">
        <v>70</v>
      </c>
      <c r="AK120" s="7" t="s">
        <v>71</v>
      </c>
      <c r="AL120" s="7" t="s">
        <v>749</v>
      </c>
      <c r="AM120" s="7" t="n">
        <v>3621</v>
      </c>
      <c r="AN120" s="8" t="n">
        <f aca="false">(AM120/P120)*100</f>
        <v>2.66430232215911</v>
      </c>
      <c r="AO120" s="7" t="s">
        <v>59</v>
      </c>
      <c r="AP120" s="7" t="s">
        <v>73</v>
      </c>
      <c r="AQ120" s="7" t="s">
        <v>750</v>
      </c>
      <c r="AR120" s="7" t="n">
        <v>2527</v>
      </c>
      <c r="AS120" s="8" t="n">
        <f aca="false">(AR120/P120)*100</f>
        <v>1.85934602819554</v>
      </c>
    </row>
    <row r="121" customFormat="false" ht="12.8" hidden="false" customHeight="false" outlineLevel="0" collapsed="false">
      <c r="A121" s="6" t="n">
        <v>111</v>
      </c>
      <c r="B121" s="7" t="s">
        <v>751</v>
      </c>
      <c r="C121" s="7" t="s">
        <v>752</v>
      </c>
      <c r="D121" s="7" t="s">
        <v>585</v>
      </c>
      <c r="E121" s="7" t="s">
        <v>753</v>
      </c>
      <c r="F121" s="7" t="s">
        <v>76</v>
      </c>
      <c r="G121" s="7" t="s">
        <v>50</v>
      </c>
      <c r="H121" s="7" t="s">
        <v>50</v>
      </c>
      <c r="I121" s="7" t="s">
        <v>50</v>
      </c>
      <c r="J121" s="7" t="s">
        <v>50</v>
      </c>
      <c r="K121" s="7" t="s">
        <v>67</v>
      </c>
      <c r="L121" s="7" t="s">
        <v>67</v>
      </c>
      <c r="M121" s="7" t="s">
        <v>50</v>
      </c>
      <c r="N121" s="7" t="s">
        <v>50</v>
      </c>
      <c r="O121" s="7" t="n">
        <v>296937</v>
      </c>
      <c r="P121" s="7" t="n">
        <v>225083</v>
      </c>
      <c r="Q121" s="8" t="n">
        <f aca="false">(P121/O121)*100</f>
        <v>75.8016010130095</v>
      </c>
      <c r="R121" s="7" t="n">
        <f aca="false">X121-AC121</f>
        <v>2456</v>
      </c>
      <c r="S121" s="8" t="n">
        <f aca="false">(R121/P121)*100</f>
        <v>1.09115304132253</v>
      </c>
      <c r="T121" s="8" t="n">
        <f aca="false">Y121+AD121</f>
        <v>92.413020974485</v>
      </c>
      <c r="U121" s="7" t="s">
        <v>54</v>
      </c>
      <c r="V121" s="7" t="s">
        <v>67</v>
      </c>
      <c r="W121" s="7" t="s">
        <v>754</v>
      </c>
      <c r="X121" s="7" t="n">
        <v>105231</v>
      </c>
      <c r="Y121" s="8" t="n">
        <f aca="false">(X121/P121)*100</f>
        <v>46.7520870079038</v>
      </c>
      <c r="Z121" s="7" t="s">
        <v>51</v>
      </c>
      <c r="AA121" s="7" t="s">
        <v>52</v>
      </c>
      <c r="AB121" s="7" t="s">
        <v>755</v>
      </c>
      <c r="AC121" s="7" t="n">
        <v>102775</v>
      </c>
      <c r="AD121" s="8" t="n">
        <f aca="false">(AC121/P121)*100</f>
        <v>45.6609339665812</v>
      </c>
      <c r="AE121" s="7" t="s">
        <v>57</v>
      </c>
      <c r="AF121" s="7" t="s">
        <v>57</v>
      </c>
      <c r="AG121" s="7" t="s">
        <v>756</v>
      </c>
      <c r="AH121" s="7" t="n">
        <v>10954</v>
      </c>
      <c r="AI121" s="8" t="n">
        <f aca="false">(AH121/P121)*100</f>
        <v>4.86664919163153</v>
      </c>
      <c r="AJ121" s="7" t="s">
        <v>62</v>
      </c>
      <c r="AK121" s="7" t="s">
        <v>62</v>
      </c>
      <c r="AL121" s="7" t="s">
        <v>62</v>
      </c>
      <c r="AM121" s="7" t="n">
        <v>2733</v>
      </c>
      <c r="AN121" s="8" t="n">
        <f aca="false">(AM121/P121)*100</f>
        <v>1.21421875485932</v>
      </c>
      <c r="AO121" s="7" t="s">
        <v>59</v>
      </c>
      <c r="AP121" s="7" t="s">
        <v>73</v>
      </c>
      <c r="AQ121" s="7" t="s">
        <v>757</v>
      </c>
      <c r="AR121" s="7" t="n">
        <v>1864</v>
      </c>
      <c r="AS121" s="8" t="n">
        <f aca="false">(AR121/P121)*100</f>
        <v>0.828138953186158</v>
      </c>
    </row>
    <row r="122" customFormat="false" ht="12.8" hidden="false" customHeight="false" outlineLevel="0" collapsed="false">
      <c r="A122" s="6" t="n">
        <v>112</v>
      </c>
      <c r="B122" s="7" t="s">
        <v>758</v>
      </c>
      <c r="C122" s="7" t="s">
        <v>692</v>
      </c>
      <c r="D122" s="7" t="s">
        <v>585</v>
      </c>
      <c r="E122" s="7" t="s">
        <v>693</v>
      </c>
      <c r="F122" s="7" t="s">
        <v>76</v>
      </c>
      <c r="G122" s="7" t="s">
        <v>64</v>
      </c>
      <c r="H122" s="7" t="s">
        <v>50</v>
      </c>
      <c r="I122" s="7" t="s">
        <v>50</v>
      </c>
      <c r="J122" s="7" t="s">
        <v>50</v>
      </c>
      <c r="K122" s="7" t="s">
        <v>50</v>
      </c>
      <c r="L122" s="7" t="s">
        <v>67</v>
      </c>
      <c r="M122" s="7" t="s">
        <v>50</v>
      </c>
      <c r="N122" s="7" t="s">
        <v>50</v>
      </c>
      <c r="O122" s="7" t="n">
        <v>280560</v>
      </c>
      <c r="P122" s="7" t="n">
        <v>212627</v>
      </c>
      <c r="Q122" s="8" t="n">
        <f aca="false">(P122/O122)*100</f>
        <v>75.7866410037069</v>
      </c>
      <c r="R122" s="7" t="n">
        <f aca="false">X122-AC122</f>
        <v>50902</v>
      </c>
      <c r="S122" s="8" t="n">
        <f aca="false">(R122/P122)*100</f>
        <v>23.939574936391</v>
      </c>
      <c r="T122" s="8" t="n">
        <f aca="false">Y122+AD122</f>
        <v>86.3794344086123</v>
      </c>
      <c r="U122" s="7" t="s">
        <v>54</v>
      </c>
      <c r="V122" s="7" t="s">
        <v>67</v>
      </c>
      <c r="W122" s="7" t="s">
        <v>759</v>
      </c>
      <c r="X122" s="7" t="n">
        <v>117284</v>
      </c>
      <c r="Y122" s="8" t="n">
        <f aca="false">(X122/P122)*100</f>
        <v>55.1595046725016</v>
      </c>
      <c r="Z122" s="7" t="s">
        <v>51</v>
      </c>
      <c r="AA122" s="7" t="s">
        <v>52</v>
      </c>
      <c r="AB122" s="7" t="s">
        <v>760</v>
      </c>
      <c r="AC122" s="7" t="n">
        <v>66382</v>
      </c>
      <c r="AD122" s="8" t="n">
        <f aca="false">(AC122/P122)*100</f>
        <v>31.2199297361107</v>
      </c>
      <c r="AE122" s="7" t="s">
        <v>57</v>
      </c>
      <c r="AF122" s="7" t="s">
        <v>57</v>
      </c>
      <c r="AG122" s="7" t="s">
        <v>761</v>
      </c>
      <c r="AH122" s="7" t="n">
        <v>13256</v>
      </c>
      <c r="AI122" s="8" t="n">
        <f aca="false">(AH122/P122)*100</f>
        <v>6.234391681207</v>
      </c>
      <c r="AJ122" s="7" t="s">
        <v>70</v>
      </c>
      <c r="AK122" s="7" t="s">
        <v>71</v>
      </c>
      <c r="AL122" s="7" t="s">
        <v>762</v>
      </c>
      <c r="AM122" s="7" t="n">
        <v>8379</v>
      </c>
      <c r="AN122" s="8" t="n">
        <f aca="false">(AM122/P122)*100</f>
        <v>3.94070367356921</v>
      </c>
      <c r="AO122" s="7" t="s">
        <v>59</v>
      </c>
      <c r="AP122" s="7" t="s">
        <v>60</v>
      </c>
      <c r="AQ122" s="7" t="s">
        <v>763</v>
      </c>
      <c r="AR122" s="7" t="n">
        <v>2577</v>
      </c>
      <c r="AS122" s="8" t="n">
        <f aca="false">(AR122/P122)*100</f>
        <v>1.21198154514714</v>
      </c>
    </row>
    <row r="123" customFormat="false" ht="12.8" hidden="false" customHeight="false" outlineLevel="0" collapsed="false">
      <c r="A123" s="6" t="n">
        <v>113</v>
      </c>
      <c r="B123" s="7" t="s">
        <v>764</v>
      </c>
      <c r="C123" s="7" t="s">
        <v>692</v>
      </c>
      <c r="D123" s="7" t="s">
        <v>585</v>
      </c>
      <c r="E123" s="7" t="s">
        <v>693</v>
      </c>
      <c r="F123" s="7" t="s">
        <v>87</v>
      </c>
      <c r="G123" s="7" t="s">
        <v>50</v>
      </c>
      <c r="H123" s="7" t="s">
        <v>50</v>
      </c>
      <c r="I123" s="7" t="s">
        <v>50</v>
      </c>
      <c r="J123" s="7" t="s">
        <v>50</v>
      </c>
      <c r="K123" s="7" t="s">
        <v>50</v>
      </c>
      <c r="L123" s="7" t="s">
        <v>67</v>
      </c>
      <c r="M123" s="7" t="s">
        <v>50</v>
      </c>
      <c r="N123" s="7" t="s">
        <v>50</v>
      </c>
      <c r="O123" s="7" t="n">
        <v>379139</v>
      </c>
      <c r="P123" s="7" t="n">
        <v>238092</v>
      </c>
      <c r="Q123" s="8" t="n">
        <f aca="false">(P123/O123)*100</f>
        <v>62.798076694827</v>
      </c>
      <c r="R123" s="7" t="n">
        <f aca="false">X123-AC123</f>
        <v>40102</v>
      </c>
      <c r="S123" s="8" t="n">
        <f aca="false">(R123/P123)*100</f>
        <v>16.8430690657393</v>
      </c>
      <c r="T123" s="8" t="n">
        <f aca="false">Y123+AD123</f>
        <v>78.400786250693</v>
      </c>
      <c r="U123" s="7" t="s">
        <v>54</v>
      </c>
      <c r="V123" s="7" t="s">
        <v>67</v>
      </c>
      <c r="W123" s="7" t="s">
        <v>765</v>
      </c>
      <c r="X123" s="7" t="n">
        <v>113384</v>
      </c>
      <c r="Y123" s="8" t="n">
        <f aca="false">(X123/P123)*100</f>
        <v>47.6219276582162</v>
      </c>
      <c r="Z123" s="7" t="s">
        <v>51</v>
      </c>
      <c r="AA123" s="7" t="s">
        <v>766</v>
      </c>
      <c r="AB123" s="7" t="s">
        <v>767</v>
      </c>
      <c r="AC123" s="7" t="n">
        <v>73282</v>
      </c>
      <c r="AD123" s="8" t="n">
        <f aca="false">(AC123/P123)*100</f>
        <v>30.7788585924769</v>
      </c>
      <c r="AE123" s="7" t="s">
        <v>57</v>
      </c>
      <c r="AF123" s="7" t="s">
        <v>57</v>
      </c>
      <c r="AG123" s="7" t="s">
        <v>768</v>
      </c>
      <c r="AH123" s="7" t="n">
        <v>23110</v>
      </c>
      <c r="AI123" s="8" t="n">
        <f aca="false">(AH123/P123)*100</f>
        <v>9.70633200611528</v>
      </c>
      <c r="AJ123" s="7" t="s">
        <v>70</v>
      </c>
      <c r="AK123" s="7" t="s">
        <v>71</v>
      </c>
      <c r="AL123" s="7" t="s">
        <v>769</v>
      </c>
      <c r="AM123" s="7" t="n">
        <v>19602</v>
      </c>
      <c r="AN123" s="8" t="n">
        <f aca="false">(AM123/P123)*100</f>
        <v>8.23295196814677</v>
      </c>
      <c r="AO123" s="7" t="s">
        <v>59</v>
      </c>
      <c r="AP123" s="7" t="s">
        <v>60</v>
      </c>
      <c r="AQ123" s="7" t="s">
        <v>770</v>
      </c>
      <c r="AR123" s="7" t="n">
        <v>3427</v>
      </c>
      <c r="AS123" s="8" t="n">
        <f aca="false">(AR123/P123)*100</f>
        <v>1.43935957529022</v>
      </c>
    </row>
    <row r="124" customFormat="false" ht="12.8" hidden="false" customHeight="false" outlineLevel="0" collapsed="false">
      <c r="A124" s="6" t="n">
        <v>114</v>
      </c>
      <c r="B124" s="7" t="s">
        <v>771</v>
      </c>
      <c r="C124" s="7" t="s">
        <v>692</v>
      </c>
      <c r="D124" s="7" t="s">
        <v>585</v>
      </c>
      <c r="E124" s="7" t="s">
        <v>693</v>
      </c>
      <c r="F124" s="7" t="s">
        <v>87</v>
      </c>
      <c r="G124" s="7" t="s">
        <v>50</v>
      </c>
      <c r="H124" s="7" t="s">
        <v>50</v>
      </c>
      <c r="I124" s="7" t="s">
        <v>50</v>
      </c>
      <c r="J124" s="7" t="s">
        <v>50</v>
      </c>
      <c r="K124" s="7" t="s">
        <v>50</v>
      </c>
      <c r="L124" s="7" t="s">
        <v>50</v>
      </c>
      <c r="M124" s="7" t="s">
        <v>50</v>
      </c>
      <c r="N124" s="7" t="s">
        <v>50</v>
      </c>
      <c r="O124" s="7" t="n">
        <v>276483</v>
      </c>
      <c r="P124" s="7" t="n">
        <v>174412</v>
      </c>
      <c r="Q124" s="8" t="n">
        <f aca="false">(P124/O124)*100</f>
        <v>63.0823594940738</v>
      </c>
      <c r="R124" s="7" t="n">
        <f aca="false">X124-AC124</f>
        <v>4709</v>
      </c>
      <c r="S124" s="8" t="n">
        <f aca="false">(R124/P124)*100</f>
        <v>2.6999289039745</v>
      </c>
      <c r="T124" s="8" t="n">
        <f aca="false">Y124+AD124</f>
        <v>83.9168176501617</v>
      </c>
      <c r="U124" s="7" t="s">
        <v>51</v>
      </c>
      <c r="V124" s="7" t="s">
        <v>52</v>
      </c>
      <c r="W124" s="7" t="s">
        <v>772</v>
      </c>
      <c r="X124" s="7" t="n">
        <v>75535</v>
      </c>
      <c r="Y124" s="8" t="n">
        <f aca="false">(X124/P124)*100</f>
        <v>43.3083732770681</v>
      </c>
      <c r="Z124" s="7" t="s">
        <v>54</v>
      </c>
      <c r="AA124" s="7" t="s">
        <v>67</v>
      </c>
      <c r="AB124" s="7" t="s">
        <v>164</v>
      </c>
      <c r="AC124" s="7" t="n">
        <v>70826</v>
      </c>
      <c r="AD124" s="8" t="n">
        <f aca="false">(AC124/P124)*100</f>
        <v>40.6084443730936</v>
      </c>
      <c r="AE124" s="7" t="s">
        <v>57</v>
      </c>
      <c r="AF124" s="7" t="s">
        <v>57</v>
      </c>
      <c r="AG124" s="7" t="s">
        <v>773</v>
      </c>
      <c r="AH124" s="7" t="n">
        <v>12898</v>
      </c>
      <c r="AI124" s="8" t="n">
        <f aca="false">(AH124/P124)*100</f>
        <v>7.39513336238332</v>
      </c>
      <c r="AJ124" s="7" t="s">
        <v>70</v>
      </c>
      <c r="AK124" s="7" t="s">
        <v>71</v>
      </c>
      <c r="AL124" s="7" t="s">
        <v>774</v>
      </c>
      <c r="AM124" s="7" t="n">
        <v>9934</v>
      </c>
      <c r="AN124" s="8" t="n">
        <f aca="false">(AM124/P124)*100</f>
        <v>5.69570901084788</v>
      </c>
      <c r="AO124" s="7" t="s">
        <v>59</v>
      </c>
      <c r="AP124" s="7" t="s">
        <v>73</v>
      </c>
      <c r="AQ124" s="7" t="s">
        <v>775</v>
      </c>
      <c r="AR124" s="7" t="n">
        <v>1757</v>
      </c>
      <c r="AS124" s="8" t="n">
        <f aca="false">(AR124/P124)*100</f>
        <v>1.00738481297158</v>
      </c>
    </row>
    <row r="125" customFormat="false" ht="12.8" hidden="false" customHeight="false" outlineLevel="0" collapsed="false">
      <c r="A125" s="6" t="n">
        <v>115</v>
      </c>
      <c r="B125" s="7" t="s">
        <v>776</v>
      </c>
      <c r="C125" s="7" t="s">
        <v>692</v>
      </c>
      <c r="D125" s="7" t="s">
        <v>585</v>
      </c>
      <c r="E125" s="7" t="s">
        <v>693</v>
      </c>
      <c r="F125" s="7" t="s">
        <v>76</v>
      </c>
      <c r="G125" s="7" t="s">
        <v>50</v>
      </c>
      <c r="H125" s="7" t="s">
        <v>50</v>
      </c>
      <c r="I125" s="7" t="s">
        <v>50</v>
      </c>
      <c r="J125" s="7" t="s">
        <v>50</v>
      </c>
      <c r="K125" s="7" t="s">
        <v>50</v>
      </c>
      <c r="L125" s="7" t="s">
        <v>67</v>
      </c>
      <c r="M125" s="7" t="s">
        <v>50</v>
      </c>
      <c r="N125" s="7" t="s">
        <v>50</v>
      </c>
      <c r="O125" s="7" t="n">
        <v>389786</v>
      </c>
      <c r="P125" s="7" t="n">
        <v>261511</v>
      </c>
      <c r="Q125" s="8" t="n">
        <f aca="false">(P125/O125)*100</f>
        <v>67.0909165542118</v>
      </c>
      <c r="R125" s="7" t="n">
        <f aca="false">X125-AC125</f>
        <v>32691</v>
      </c>
      <c r="S125" s="8" t="n">
        <f aca="false">(R125/P125)*100</f>
        <v>12.5008125853215</v>
      </c>
      <c r="T125" s="8" t="n">
        <f aca="false">Y125+AD125</f>
        <v>84.5528486373422</v>
      </c>
      <c r="U125" s="7" t="s">
        <v>54</v>
      </c>
      <c r="V125" s="7" t="s">
        <v>67</v>
      </c>
      <c r="W125" s="7" t="s">
        <v>777</v>
      </c>
      <c r="X125" s="7" t="n">
        <v>126903</v>
      </c>
      <c r="Y125" s="8" t="n">
        <f aca="false">(X125/P125)*100</f>
        <v>48.5268306113318</v>
      </c>
      <c r="Z125" s="7" t="s">
        <v>51</v>
      </c>
      <c r="AA125" s="7" t="s">
        <v>270</v>
      </c>
      <c r="AB125" s="7" t="s">
        <v>778</v>
      </c>
      <c r="AC125" s="7" t="n">
        <v>94212</v>
      </c>
      <c r="AD125" s="8" t="n">
        <f aca="false">(AC125/P125)*100</f>
        <v>36.0260180260104</v>
      </c>
      <c r="AE125" s="7" t="s">
        <v>57</v>
      </c>
      <c r="AF125" s="7" t="s">
        <v>57</v>
      </c>
      <c r="AG125" s="7" t="s">
        <v>779</v>
      </c>
      <c r="AH125" s="7" t="n">
        <v>20524</v>
      </c>
      <c r="AI125" s="8" t="n">
        <f aca="false">(AH125/P125)*100</f>
        <v>7.84823582946798</v>
      </c>
      <c r="AJ125" s="7" t="s">
        <v>70</v>
      </c>
      <c r="AK125" s="7" t="s">
        <v>71</v>
      </c>
      <c r="AL125" s="7" t="s">
        <v>780</v>
      </c>
      <c r="AM125" s="7" t="n">
        <v>10227</v>
      </c>
      <c r="AN125" s="8" t="n">
        <f aca="false">(AM125/P125)*100</f>
        <v>3.9107341564982</v>
      </c>
      <c r="AO125" s="7" t="s">
        <v>59</v>
      </c>
      <c r="AP125" s="7" t="s">
        <v>73</v>
      </c>
      <c r="AQ125" s="7" t="s">
        <v>781</v>
      </c>
      <c r="AR125" s="7" t="n">
        <v>2618</v>
      </c>
      <c r="AS125" s="8" t="n">
        <f aca="false">(AR125/P125)*100</f>
        <v>1.00110511603718</v>
      </c>
    </row>
    <row r="126" customFormat="false" ht="12.8" hidden="false" customHeight="false" outlineLevel="0" collapsed="false">
      <c r="A126" s="6" t="n">
        <v>116</v>
      </c>
      <c r="B126" s="7" t="s">
        <v>782</v>
      </c>
      <c r="C126" s="7" t="s">
        <v>752</v>
      </c>
      <c r="D126" s="7" t="s">
        <v>585</v>
      </c>
      <c r="E126" s="7" t="s">
        <v>753</v>
      </c>
      <c r="F126" s="7" t="s">
        <v>76</v>
      </c>
      <c r="G126" s="7" t="s">
        <v>50</v>
      </c>
      <c r="H126" s="7" t="s">
        <v>50</v>
      </c>
      <c r="I126" s="7" t="s">
        <v>50</v>
      </c>
      <c r="J126" s="7" t="s">
        <v>50</v>
      </c>
      <c r="K126" s="7" t="s">
        <v>50</v>
      </c>
      <c r="L126" s="7" t="s">
        <v>50</v>
      </c>
      <c r="M126" s="7" t="s">
        <v>50</v>
      </c>
      <c r="N126" s="7" t="s">
        <v>50</v>
      </c>
      <c r="O126" s="7" t="n">
        <v>317223</v>
      </c>
      <c r="P126" s="7" t="n">
        <v>241653</v>
      </c>
      <c r="Q126" s="8" t="n">
        <f aca="false">(P126/O126)*100</f>
        <v>76.1776415959751</v>
      </c>
      <c r="R126" s="7" t="n">
        <f aca="false">X126-AC126</f>
        <v>31932</v>
      </c>
      <c r="S126" s="8" t="n">
        <f aca="false">(R126/P126)*100</f>
        <v>13.2139886531514</v>
      </c>
      <c r="T126" s="8" t="n">
        <f aca="false">Y126+AD126</f>
        <v>85.2478553959603</v>
      </c>
      <c r="U126" s="7" t="s">
        <v>54</v>
      </c>
      <c r="V126" s="7" t="s">
        <v>67</v>
      </c>
      <c r="W126" s="7" t="s">
        <v>783</v>
      </c>
      <c r="X126" s="7" t="n">
        <v>118968</v>
      </c>
      <c r="Y126" s="8" t="n">
        <f aca="false">(X126/P126)*100</f>
        <v>49.2309220245559</v>
      </c>
      <c r="Z126" s="7" t="s">
        <v>51</v>
      </c>
      <c r="AA126" s="17" t="s">
        <v>663</v>
      </c>
      <c r="AB126" s="7" t="s">
        <v>784</v>
      </c>
      <c r="AC126" s="7" t="n">
        <v>87036</v>
      </c>
      <c r="AD126" s="8" t="n">
        <f aca="false">(AC126/P126)*100</f>
        <v>36.0169333714045</v>
      </c>
      <c r="AE126" s="7" t="s">
        <v>57</v>
      </c>
      <c r="AF126" s="7" t="s">
        <v>57</v>
      </c>
      <c r="AG126" s="7" t="s">
        <v>785</v>
      </c>
      <c r="AH126" s="7" t="n">
        <v>14426</v>
      </c>
      <c r="AI126" s="8" t="n">
        <f aca="false">(AH126/P126)*100</f>
        <v>5.9697169081286</v>
      </c>
      <c r="AJ126" s="7" t="s">
        <v>70</v>
      </c>
      <c r="AK126" s="7" t="s">
        <v>71</v>
      </c>
      <c r="AL126" s="7" t="s">
        <v>786</v>
      </c>
      <c r="AM126" s="7" t="n">
        <v>12658</v>
      </c>
      <c r="AN126" s="8" t="n">
        <f aca="false">(AM126/P126)*100</f>
        <v>5.23808932643087</v>
      </c>
      <c r="AO126" s="7" t="s">
        <v>59</v>
      </c>
      <c r="AP126" s="7" t="s">
        <v>73</v>
      </c>
      <c r="AQ126" s="7" t="s">
        <v>787</v>
      </c>
      <c r="AR126" s="7" t="n">
        <v>4111</v>
      </c>
      <c r="AS126" s="8" t="n">
        <f aca="false">(AR126/P126)*100</f>
        <v>1.7011996540494</v>
      </c>
    </row>
    <row r="127" customFormat="false" ht="12.8" hidden="false" customHeight="false" outlineLevel="0" collapsed="false">
      <c r="A127" s="6" t="n">
        <v>117</v>
      </c>
      <c r="B127" s="7" t="s">
        <v>788</v>
      </c>
      <c r="C127" s="7" t="s">
        <v>752</v>
      </c>
      <c r="D127" s="7" t="s">
        <v>585</v>
      </c>
      <c r="E127" s="7" t="s">
        <v>753</v>
      </c>
      <c r="F127" s="7" t="s">
        <v>87</v>
      </c>
      <c r="G127" s="7" t="s">
        <v>50</v>
      </c>
      <c r="H127" s="7" t="s">
        <v>50</v>
      </c>
      <c r="I127" s="7" t="s">
        <v>50</v>
      </c>
      <c r="J127" s="7" t="s">
        <v>50</v>
      </c>
      <c r="K127" s="7" t="s">
        <v>50</v>
      </c>
      <c r="L127" s="7" t="s">
        <v>67</v>
      </c>
      <c r="M127" s="7" t="s">
        <v>50</v>
      </c>
      <c r="N127" s="7" t="s">
        <v>50</v>
      </c>
      <c r="O127" s="7" t="n">
        <v>465345</v>
      </c>
      <c r="P127" s="7" t="n">
        <v>309918</v>
      </c>
      <c r="Q127" s="8" t="n">
        <f aca="false">(P127/O127)*100</f>
        <v>66.5996196370435</v>
      </c>
      <c r="R127" s="7" t="n">
        <f aca="false">X127-AC127</f>
        <v>9776</v>
      </c>
      <c r="S127" s="8" t="n">
        <f aca="false">(R127/P127)*100</f>
        <v>3.15438277221717</v>
      </c>
      <c r="T127" s="8" t="n">
        <f aca="false">Y127+AD127</f>
        <v>84.3971631205674</v>
      </c>
      <c r="U127" s="7" t="s">
        <v>54</v>
      </c>
      <c r="V127" s="7" t="s">
        <v>67</v>
      </c>
      <c r="W127" s="7" t="s">
        <v>789</v>
      </c>
      <c r="X127" s="7" t="n">
        <v>135669</v>
      </c>
      <c r="Y127" s="8" t="n">
        <f aca="false">(X127/P127)*100</f>
        <v>43.7757729463923</v>
      </c>
      <c r="Z127" s="7" t="s">
        <v>51</v>
      </c>
      <c r="AA127" s="7" t="s">
        <v>52</v>
      </c>
      <c r="AB127" s="7" t="s">
        <v>790</v>
      </c>
      <c r="AC127" s="7" t="n">
        <v>125893</v>
      </c>
      <c r="AD127" s="8" t="n">
        <f aca="false">(AC127/P127)*100</f>
        <v>40.6213901741751</v>
      </c>
      <c r="AE127" s="7" t="s">
        <v>70</v>
      </c>
      <c r="AF127" s="7" t="s">
        <v>71</v>
      </c>
      <c r="AG127" s="7" t="s">
        <v>791</v>
      </c>
      <c r="AH127" s="7" t="n">
        <v>23527</v>
      </c>
      <c r="AI127" s="8" t="n">
        <f aca="false">(AH127/P127)*100</f>
        <v>7.59136287663188</v>
      </c>
      <c r="AJ127" s="7" t="s">
        <v>57</v>
      </c>
      <c r="AK127" s="7" t="s">
        <v>57</v>
      </c>
      <c r="AL127" s="7" t="s">
        <v>792</v>
      </c>
      <c r="AM127" s="7" t="n">
        <v>17897</v>
      </c>
      <c r="AN127" s="8" t="n">
        <f aca="false">(AM127/P127)*100</f>
        <v>5.77475332184642</v>
      </c>
      <c r="AO127" s="7" t="s">
        <v>62</v>
      </c>
      <c r="AP127" s="7" t="s">
        <v>62</v>
      </c>
      <c r="AQ127" s="7" t="s">
        <v>62</v>
      </c>
      <c r="AR127" s="7" t="n">
        <v>2892</v>
      </c>
      <c r="AS127" s="8" t="n">
        <f aca="false">(AR127/P127)*100</f>
        <v>0.933150059047877</v>
      </c>
    </row>
    <row r="128" customFormat="false" ht="12.8" hidden="false" customHeight="false" outlineLevel="0" collapsed="false">
      <c r="A128" s="6" t="n">
        <v>118</v>
      </c>
      <c r="B128" s="7" t="s">
        <v>793</v>
      </c>
      <c r="C128" s="7" t="s">
        <v>752</v>
      </c>
      <c r="D128" s="7" t="s">
        <v>585</v>
      </c>
      <c r="E128" s="7" t="s">
        <v>753</v>
      </c>
      <c r="F128" s="7" t="s">
        <v>87</v>
      </c>
      <c r="G128" s="7" t="s">
        <v>50</v>
      </c>
      <c r="H128" s="7" t="s">
        <v>50</v>
      </c>
      <c r="I128" s="7" t="s">
        <v>50</v>
      </c>
      <c r="J128" s="7" t="s">
        <v>50</v>
      </c>
      <c r="K128" s="7" t="s">
        <v>50</v>
      </c>
      <c r="L128" s="7" t="s">
        <v>67</v>
      </c>
      <c r="M128" s="7" t="s">
        <v>50</v>
      </c>
      <c r="N128" s="7" t="s">
        <v>50</v>
      </c>
      <c r="O128" s="7" t="n">
        <v>338712</v>
      </c>
      <c r="P128" s="7" t="n">
        <v>202799</v>
      </c>
      <c r="Q128" s="8" t="n">
        <f aca="false">(P128/O128)*100</f>
        <v>59.8735799144996</v>
      </c>
      <c r="R128" s="7" t="n">
        <f aca="false">X128-AC128</f>
        <v>4001</v>
      </c>
      <c r="S128" s="8" t="n">
        <f aca="false">(R128/P128)*100</f>
        <v>1.97288941266969</v>
      </c>
      <c r="T128" s="8" t="n">
        <f aca="false">Y128+AD128</f>
        <v>78.3568952509628</v>
      </c>
      <c r="U128" s="7" t="s">
        <v>54</v>
      </c>
      <c r="V128" s="7" t="s">
        <v>67</v>
      </c>
      <c r="W128" s="7" t="s">
        <v>794</v>
      </c>
      <c r="X128" s="7" t="n">
        <v>81454</v>
      </c>
      <c r="Y128" s="8" t="n">
        <f aca="false">(X128/P128)*100</f>
        <v>40.1648923318162</v>
      </c>
      <c r="Z128" s="7" t="s">
        <v>51</v>
      </c>
      <c r="AA128" s="7" t="s">
        <v>52</v>
      </c>
      <c r="AB128" s="7" t="s">
        <v>795</v>
      </c>
      <c r="AC128" s="7" t="n">
        <v>77453</v>
      </c>
      <c r="AD128" s="8" t="n">
        <f aca="false">(AC128/P128)*100</f>
        <v>38.1920029191465</v>
      </c>
      <c r="AE128" s="7" t="s">
        <v>70</v>
      </c>
      <c r="AF128" s="7" t="s">
        <v>71</v>
      </c>
      <c r="AG128" s="7" t="s">
        <v>796</v>
      </c>
      <c r="AH128" s="7" t="n">
        <v>26503</v>
      </c>
      <c r="AI128" s="8" t="n">
        <f aca="false">(AH128/P128)*100</f>
        <v>13.0686048747775</v>
      </c>
      <c r="AJ128" s="7" t="s">
        <v>57</v>
      </c>
      <c r="AK128" s="7" t="s">
        <v>57</v>
      </c>
      <c r="AL128" s="7" t="s">
        <v>797</v>
      </c>
      <c r="AM128" s="7" t="n">
        <v>11433</v>
      </c>
      <c r="AN128" s="8" t="n">
        <f aca="false">(AM128/P128)*100</f>
        <v>5.6376017633223</v>
      </c>
      <c r="AO128" s="7" t="s">
        <v>62</v>
      </c>
      <c r="AP128" s="7" t="s">
        <v>62</v>
      </c>
      <c r="AQ128" s="7" t="s">
        <v>62</v>
      </c>
      <c r="AR128" s="7" t="n">
        <v>1701</v>
      </c>
      <c r="AS128" s="8" t="n">
        <f aca="false">(AR128/P128)*100</f>
        <v>0.838761532354696</v>
      </c>
    </row>
    <row r="129" customFormat="false" ht="12.8" hidden="false" customHeight="false" outlineLevel="0" collapsed="false">
      <c r="A129" s="6" t="n">
        <v>119</v>
      </c>
      <c r="B129" s="7" t="s">
        <v>798</v>
      </c>
      <c r="C129" s="7" t="s">
        <v>752</v>
      </c>
      <c r="D129" s="7" t="s">
        <v>585</v>
      </c>
      <c r="E129" s="7" t="s">
        <v>753</v>
      </c>
      <c r="F129" s="7" t="s">
        <v>76</v>
      </c>
      <c r="G129" s="7" t="s">
        <v>50</v>
      </c>
      <c r="H129" s="7" t="s">
        <v>50</v>
      </c>
      <c r="I129" s="7" t="s">
        <v>50</v>
      </c>
      <c r="J129" s="7" t="s">
        <v>67</v>
      </c>
      <c r="K129" s="7" t="s">
        <v>50</v>
      </c>
      <c r="L129" s="7" t="s">
        <v>67</v>
      </c>
      <c r="M129" s="7" t="s">
        <v>50</v>
      </c>
      <c r="N129" s="7" t="s">
        <v>50</v>
      </c>
      <c r="O129" s="7" t="n">
        <v>326828</v>
      </c>
      <c r="P129" s="7" t="n">
        <v>230531</v>
      </c>
      <c r="Q129" s="8" t="n">
        <f aca="false">(P129/O129)*100</f>
        <v>70.5358781989303</v>
      </c>
      <c r="R129" s="7" t="n">
        <f aca="false">X129-AC129</f>
        <v>41630</v>
      </c>
      <c r="S129" s="8" t="n">
        <f aca="false">(R129/P129)*100</f>
        <v>18.0583088608473</v>
      </c>
      <c r="T129" s="8" t="n">
        <f aca="false">Y129+AD129</f>
        <v>89.7146153879522</v>
      </c>
      <c r="U129" s="7" t="s">
        <v>54</v>
      </c>
      <c r="V129" s="7" t="s">
        <v>67</v>
      </c>
      <c r="W129" s="7" t="s">
        <v>799</v>
      </c>
      <c r="X129" s="7" t="n">
        <v>124225</v>
      </c>
      <c r="Y129" s="8" t="n">
        <f aca="false">(X129/P129)*100</f>
        <v>53.8864621243998</v>
      </c>
      <c r="Z129" s="7" t="s">
        <v>51</v>
      </c>
      <c r="AA129" s="7" t="s">
        <v>52</v>
      </c>
      <c r="AB129" s="7" t="s">
        <v>800</v>
      </c>
      <c r="AC129" s="7" t="n">
        <v>82595</v>
      </c>
      <c r="AD129" s="8" t="n">
        <f aca="false">(AC129/P129)*100</f>
        <v>35.8281532635524</v>
      </c>
      <c r="AE129" s="7" t="s">
        <v>70</v>
      </c>
      <c r="AF129" s="7" t="s">
        <v>71</v>
      </c>
      <c r="AG129" s="7" t="s">
        <v>801</v>
      </c>
      <c r="AH129" s="7" t="n">
        <v>11606</v>
      </c>
      <c r="AI129" s="8" t="n">
        <f aca="false">(AH129/P129)*100</f>
        <v>5.03446391157805</v>
      </c>
      <c r="AJ129" s="7" t="s">
        <v>57</v>
      </c>
      <c r="AK129" s="7" t="s">
        <v>57</v>
      </c>
      <c r="AL129" s="7" t="s">
        <v>802</v>
      </c>
      <c r="AM129" s="7" t="n">
        <v>8042</v>
      </c>
      <c r="AN129" s="8" t="n">
        <f aca="false">(AM129/P129)*100</f>
        <v>3.48846792839141</v>
      </c>
      <c r="AO129" s="7" t="s">
        <v>62</v>
      </c>
      <c r="AP129" s="7" t="s">
        <v>62</v>
      </c>
      <c r="AQ129" s="7" t="s">
        <v>62</v>
      </c>
      <c r="AR129" s="7" t="n">
        <v>1635</v>
      </c>
      <c r="AS129" s="8" t="n">
        <f aca="false">(AR129/P129)*100</f>
        <v>0.709232164003973</v>
      </c>
    </row>
    <row r="130" customFormat="false" ht="12.8" hidden="false" customHeight="false" outlineLevel="0" collapsed="false">
      <c r="A130" s="6" t="n">
        <v>120</v>
      </c>
      <c r="B130" s="7" t="s">
        <v>803</v>
      </c>
      <c r="C130" s="7" t="s">
        <v>752</v>
      </c>
      <c r="D130" s="7" t="s">
        <v>585</v>
      </c>
      <c r="E130" s="7" t="s">
        <v>753</v>
      </c>
      <c r="F130" s="7" t="s">
        <v>87</v>
      </c>
      <c r="G130" s="7" t="s">
        <v>50</v>
      </c>
      <c r="H130" s="7" t="s">
        <v>50</v>
      </c>
      <c r="I130" s="7" t="s">
        <v>71</v>
      </c>
      <c r="J130" s="7" t="s">
        <v>50</v>
      </c>
      <c r="K130" s="7" t="s">
        <v>50</v>
      </c>
      <c r="L130" s="7" t="s">
        <v>50</v>
      </c>
      <c r="M130" s="7" t="s">
        <v>50</v>
      </c>
      <c r="N130" s="7" t="s">
        <v>50</v>
      </c>
      <c r="O130" s="7" t="n">
        <v>252790</v>
      </c>
      <c r="P130" s="7" t="n">
        <v>154765</v>
      </c>
      <c r="Q130" s="8" t="n">
        <f aca="false">(P130/O130)*100</f>
        <v>61.2227540646386</v>
      </c>
      <c r="R130" s="7" t="n">
        <f aca="false">X130-AC130</f>
        <v>1728</v>
      </c>
      <c r="S130" s="8" t="n">
        <f aca="false">(R130/P130)*100</f>
        <v>1.11653151552354</v>
      </c>
      <c r="T130" s="8" t="n">
        <f aca="false">Y130+AI130</f>
        <v>61.7659031434756</v>
      </c>
      <c r="U130" s="7" t="s">
        <v>54</v>
      </c>
      <c r="V130" s="7" t="s">
        <v>170</v>
      </c>
      <c r="W130" s="7" t="s">
        <v>804</v>
      </c>
      <c r="X130" s="7" t="n">
        <v>53209</v>
      </c>
      <c r="Y130" s="8" t="n">
        <f aca="false">(X130/P130)*100</f>
        <v>34.3805123897522</v>
      </c>
      <c r="Z130" s="7" t="s">
        <v>70</v>
      </c>
      <c r="AA130" s="22" t="s">
        <v>71</v>
      </c>
      <c r="AB130" s="7" t="s">
        <v>805</v>
      </c>
      <c r="AC130" s="7" t="n">
        <v>51481</v>
      </c>
      <c r="AD130" s="8" t="n">
        <f aca="false">(AC130/P130)*100</f>
        <v>33.2639808742287</v>
      </c>
      <c r="AE130" s="7" t="s">
        <v>51</v>
      </c>
      <c r="AF130" s="7" t="s">
        <v>65</v>
      </c>
      <c r="AG130" s="7" t="s">
        <v>806</v>
      </c>
      <c r="AH130" s="7" t="n">
        <v>42383</v>
      </c>
      <c r="AI130" s="8" t="n">
        <f aca="false">(AH130/P130)*100</f>
        <v>27.3853907537234</v>
      </c>
      <c r="AJ130" s="7" t="s">
        <v>57</v>
      </c>
      <c r="AK130" s="7" t="s">
        <v>57</v>
      </c>
      <c r="AL130" s="7" t="s">
        <v>807</v>
      </c>
      <c r="AM130" s="7" t="n">
        <v>4300</v>
      </c>
      <c r="AN130" s="8" t="n">
        <f aca="false">(AM130/P130)*100</f>
        <v>2.77840597034213</v>
      </c>
      <c r="AO130" s="7" t="s">
        <v>62</v>
      </c>
      <c r="AP130" s="7" t="s">
        <v>62</v>
      </c>
      <c r="AQ130" s="7" t="s">
        <v>62</v>
      </c>
      <c r="AR130" s="7" t="n">
        <v>901</v>
      </c>
      <c r="AS130" s="8" t="n">
        <f aca="false">(AR130/P130)*100</f>
        <v>0.582172971925177</v>
      </c>
    </row>
    <row r="131" customFormat="false" ht="12.8" hidden="false" customHeight="false" outlineLevel="0" collapsed="false">
      <c r="A131" s="6" t="n">
        <v>121</v>
      </c>
      <c r="B131" s="7" t="s">
        <v>808</v>
      </c>
      <c r="C131" s="7" t="s">
        <v>752</v>
      </c>
      <c r="D131" s="7" t="s">
        <v>585</v>
      </c>
      <c r="E131" s="7" t="s">
        <v>753</v>
      </c>
      <c r="F131" s="7" t="s">
        <v>87</v>
      </c>
      <c r="G131" s="7" t="s">
        <v>50</v>
      </c>
      <c r="H131" s="7" t="s">
        <v>50</v>
      </c>
      <c r="I131" s="7" t="s">
        <v>50</v>
      </c>
      <c r="J131" s="7" t="s">
        <v>50</v>
      </c>
      <c r="K131" s="7" t="s">
        <v>50</v>
      </c>
      <c r="L131" s="7" t="s">
        <v>50</v>
      </c>
      <c r="M131" s="7" t="s">
        <v>50</v>
      </c>
      <c r="N131" s="7" t="s">
        <v>50</v>
      </c>
      <c r="O131" s="7" t="n">
        <v>325289</v>
      </c>
      <c r="P131" s="7" t="n">
        <v>202021</v>
      </c>
      <c r="Q131" s="8" t="n">
        <f aca="false">(P131/O131)*100</f>
        <v>62.1050819425188</v>
      </c>
      <c r="R131" s="7" t="n">
        <f aca="false">X131-AC131</f>
        <v>10854</v>
      </c>
      <c r="S131" s="8" t="n">
        <f aca="false">(R131/P131)*100</f>
        <v>5.37270877780033</v>
      </c>
      <c r="T131" s="8" t="n">
        <f aca="false">Y131+AD131</f>
        <v>75.0585335187926</v>
      </c>
      <c r="U131" s="7" t="s">
        <v>54</v>
      </c>
      <c r="V131" s="7" t="s">
        <v>67</v>
      </c>
      <c r="W131" s="7" t="s">
        <v>809</v>
      </c>
      <c r="X131" s="7" t="n">
        <v>81244</v>
      </c>
      <c r="Y131" s="8" t="n">
        <f aca="false">(X131/P131)*100</f>
        <v>40.2156211482965</v>
      </c>
      <c r="Z131" s="7" t="s">
        <v>51</v>
      </c>
      <c r="AA131" s="7" t="s">
        <v>52</v>
      </c>
      <c r="AB131" s="7" t="s">
        <v>810</v>
      </c>
      <c r="AC131" s="7" t="n">
        <v>70390</v>
      </c>
      <c r="AD131" s="8" t="n">
        <f aca="false">(AC131/P131)*100</f>
        <v>34.8429123704961</v>
      </c>
      <c r="AE131" s="7" t="s">
        <v>70</v>
      </c>
      <c r="AF131" s="7" t="s">
        <v>71</v>
      </c>
      <c r="AG131" s="7" t="s">
        <v>811</v>
      </c>
      <c r="AH131" s="7" t="n">
        <v>36855</v>
      </c>
      <c r="AI131" s="8" t="n">
        <f aca="false">(AH131/P131)*100</f>
        <v>18.2431529395459</v>
      </c>
      <c r="AJ131" s="7" t="s">
        <v>57</v>
      </c>
      <c r="AK131" s="7" t="s">
        <v>57</v>
      </c>
      <c r="AL131" s="7" t="s">
        <v>812</v>
      </c>
      <c r="AM131" s="7" t="n">
        <v>8366</v>
      </c>
      <c r="AN131" s="8" t="n">
        <f aca="false">(AM131/P131)*100</f>
        <v>4.14115364244311</v>
      </c>
      <c r="AO131" s="7" t="s">
        <v>62</v>
      </c>
      <c r="AP131" s="7" t="s">
        <v>62</v>
      </c>
      <c r="AQ131" s="7" t="s">
        <v>62</v>
      </c>
      <c r="AR131" s="7" t="n">
        <v>1432</v>
      </c>
      <c r="AS131" s="8" t="n">
        <f aca="false">(AR131/P131)*100</f>
        <v>0.70883720009306</v>
      </c>
    </row>
    <row r="132" customFormat="false" ht="12.8" hidden="false" customHeight="false" outlineLevel="0" collapsed="false">
      <c r="A132" s="6" t="n">
        <v>122</v>
      </c>
      <c r="B132" s="7" t="s">
        <v>813</v>
      </c>
      <c r="C132" s="7" t="s">
        <v>752</v>
      </c>
      <c r="D132" s="7" t="s">
        <v>585</v>
      </c>
      <c r="E132" s="7" t="s">
        <v>753</v>
      </c>
      <c r="F132" s="7" t="s">
        <v>49</v>
      </c>
      <c r="G132" s="7" t="s">
        <v>50</v>
      </c>
      <c r="H132" s="7" t="s">
        <v>50</v>
      </c>
      <c r="I132" s="7" t="s">
        <v>50</v>
      </c>
      <c r="J132" s="7" t="s">
        <v>67</v>
      </c>
      <c r="K132" s="23" t="s">
        <v>814</v>
      </c>
      <c r="L132" s="7" t="s">
        <v>67</v>
      </c>
      <c r="M132" s="7" t="s">
        <v>50</v>
      </c>
      <c r="N132" s="7" t="s">
        <v>50</v>
      </c>
      <c r="O132" s="7" t="n">
        <v>326920</v>
      </c>
      <c r="P132" s="7" t="n">
        <v>232435</v>
      </c>
      <c r="Q132" s="8" t="n">
        <f aca="false">(P132/O132)*100</f>
        <v>71.0984338676129</v>
      </c>
      <c r="R132" s="7" t="n">
        <f aca="false">X132-AC132</f>
        <v>1095</v>
      </c>
      <c r="S132" s="8" t="n">
        <f aca="false">(R132/P132)*100</f>
        <v>0.47109944715727</v>
      </c>
      <c r="T132" s="8" t="n">
        <f aca="false">Y132+AD132</f>
        <v>86.8969819519436</v>
      </c>
      <c r="U132" s="7" t="s">
        <v>54</v>
      </c>
      <c r="V132" s="7" t="s">
        <v>67</v>
      </c>
      <c r="W132" s="7" t="s">
        <v>815</v>
      </c>
      <c r="X132" s="7" t="n">
        <v>101537</v>
      </c>
      <c r="Y132" s="8" t="n">
        <f aca="false">(X132/P132)*100</f>
        <v>43.6840406995504</v>
      </c>
      <c r="Z132" s="7" t="s">
        <v>51</v>
      </c>
      <c r="AA132" s="7" t="s">
        <v>52</v>
      </c>
      <c r="AB132" s="7" t="s">
        <v>816</v>
      </c>
      <c r="AC132" s="7" t="n">
        <v>100442</v>
      </c>
      <c r="AD132" s="8" t="n">
        <f aca="false">(AC132/P132)*100</f>
        <v>43.2129412523931</v>
      </c>
      <c r="AE132" s="7" t="s">
        <v>70</v>
      </c>
      <c r="AF132" s="7" t="s">
        <v>71</v>
      </c>
      <c r="AG132" s="7" t="s">
        <v>266</v>
      </c>
      <c r="AH132" s="7" t="n">
        <v>13939</v>
      </c>
      <c r="AI132" s="8" t="n">
        <f aca="false">(AH132/P132)*100</f>
        <v>5.99694538258008</v>
      </c>
      <c r="AJ132" s="7" t="s">
        <v>57</v>
      </c>
      <c r="AK132" s="7" t="s">
        <v>57</v>
      </c>
      <c r="AL132" s="7" t="s">
        <v>817</v>
      </c>
      <c r="AM132" s="7" t="n">
        <v>11280</v>
      </c>
      <c r="AN132" s="8" t="n">
        <f aca="false">(AM132/P132)*100</f>
        <v>4.85296964742831</v>
      </c>
      <c r="AO132" s="7" t="s">
        <v>62</v>
      </c>
      <c r="AP132" s="7" t="s">
        <v>62</v>
      </c>
      <c r="AQ132" s="7" t="s">
        <v>62</v>
      </c>
      <c r="AR132" s="7" t="n">
        <v>2280</v>
      </c>
      <c r="AS132" s="8" t="n">
        <f aca="false">(AR132/P132)*100</f>
        <v>0.980919396820617</v>
      </c>
    </row>
    <row r="133" customFormat="false" ht="12.8" hidden="false" customHeight="false" outlineLevel="0" collapsed="false">
      <c r="A133" s="6" t="n">
        <v>123</v>
      </c>
      <c r="B133" s="7" t="s">
        <v>818</v>
      </c>
      <c r="C133" s="7" t="s">
        <v>752</v>
      </c>
      <c r="D133" s="7" t="s">
        <v>585</v>
      </c>
      <c r="E133" s="7" t="s">
        <v>753</v>
      </c>
      <c r="F133" s="7" t="s">
        <v>76</v>
      </c>
      <c r="G133" s="7" t="s">
        <v>50</v>
      </c>
      <c r="H133" s="7" t="s">
        <v>50</v>
      </c>
      <c r="I133" s="7" t="s">
        <v>50</v>
      </c>
      <c r="J133" s="7" t="s">
        <v>67</v>
      </c>
      <c r="K133" s="7" t="s">
        <v>50</v>
      </c>
      <c r="L133" s="7" t="s">
        <v>67</v>
      </c>
      <c r="M133" s="7" t="s">
        <v>67</v>
      </c>
      <c r="N133" s="7" t="s">
        <v>50</v>
      </c>
      <c r="O133" s="7" t="n">
        <v>227093</v>
      </c>
      <c r="P133" s="7" t="n">
        <v>177308</v>
      </c>
      <c r="Q133" s="8" t="n">
        <f aca="false">(P133/O133)*100</f>
        <v>78.0772634999758</v>
      </c>
      <c r="R133" s="7" t="n">
        <f aca="false">X133-AC133</f>
        <v>1725</v>
      </c>
      <c r="S133" s="8" t="n">
        <f aca="false">(R133/P133)*100</f>
        <v>0.972883344237147</v>
      </c>
      <c r="T133" s="8" t="n">
        <f aca="false">Y133+AD133</f>
        <v>89.9051368240576</v>
      </c>
      <c r="U133" s="7" t="s">
        <v>54</v>
      </c>
      <c r="V133" s="7" t="s">
        <v>67</v>
      </c>
      <c r="W133" s="7" t="s">
        <v>819</v>
      </c>
      <c r="X133" s="7" t="n">
        <v>80567</v>
      </c>
      <c r="Y133" s="8" t="n">
        <f aca="false">(X133/P133)*100</f>
        <v>45.4390100841474</v>
      </c>
      <c r="Z133" s="7" t="s">
        <v>51</v>
      </c>
      <c r="AA133" s="7" t="s">
        <v>52</v>
      </c>
      <c r="AB133" s="7" t="s">
        <v>820</v>
      </c>
      <c r="AC133" s="7" t="n">
        <v>78842</v>
      </c>
      <c r="AD133" s="8" t="n">
        <f aca="false">(AC133/P133)*100</f>
        <v>44.4661267399102</v>
      </c>
      <c r="AE133" s="7" t="s">
        <v>70</v>
      </c>
      <c r="AF133" s="7" t="s">
        <v>71</v>
      </c>
      <c r="AG133" s="7" t="s">
        <v>821</v>
      </c>
      <c r="AH133" s="7" t="n">
        <v>7589</v>
      </c>
      <c r="AI133" s="8" t="n">
        <f aca="false">(AH133/P133)*100</f>
        <v>4.28012272429896</v>
      </c>
      <c r="AJ133" s="7" t="s">
        <v>57</v>
      </c>
      <c r="AK133" s="7" t="s">
        <v>57</v>
      </c>
      <c r="AL133" s="7" t="s">
        <v>822</v>
      </c>
      <c r="AM133" s="7" t="n">
        <v>6402</v>
      </c>
      <c r="AN133" s="8" t="n">
        <f aca="false">(AM133/P133)*100</f>
        <v>3.61066618539491</v>
      </c>
      <c r="AO133" s="7" t="s">
        <v>62</v>
      </c>
      <c r="AP133" s="7" t="s">
        <v>62</v>
      </c>
      <c r="AQ133" s="7" t="s">
        <v>62</v>
      </c>
      <c r="AR133" s="7" t="n">
        <v>1546</v>
      </c>
      <c r="AS133" s="8" t="n">
        <f aca="false">(AR133/P133)*100</f>
        <v>0.871929072574278</v>
      </c>
    </row>
    <row r="134" customFormat="false" ht="12.8" hidden="false" customHeight="false" outlineLevel="0" collapsed="false">
      <c r="A134" s="6" t="n">
        <v>124</v>
      </c>
      <c r="B134" s="7" t="s">
        <v>823</v>
      </c>
      <c r="C134" s="7" t="s">
        <v>752</v>
      </c>
      <c r="D134" s="7" t="s">
        <v>585</v>
      </c>
      <c r="E134" s="7" t="s">
        <v>753</v>
      </c>
      <c r="F134" s="7" t="s">
        <v>76</v>
      </c>
      <c r="G134" s="7" t="s">
        <v>64</v>
      </c>
      <c r="H134" s="7" t="s">
        <v>50</v>
      </c>
      <c r="I134" s="7" t="s">
        <v>50</v>
      </c>
      <c r="J134" s="7" t="s">
        <v>50</v>
      </c>
      <c r="K134" s="7" t="s">
        <v>50</v>
      </c>
      <c r="L134" s="7" t="s">
        <v>50</v>
      </c>
      <c r="M134" s="7" t="s">
        <v>50</v>
      </c>
      <c r="N134" s="7" t="s">
        <v>50</v>
      </c>
      <c r="O134" s="7" t="n">
        <v>205530</v>
      </c>
      <c r="P134" s="7" t="n">
        <v>145172</v>
      </c>
      <c r="Q134" s="8" t="n">
        <f aca="false">(P134/O134)*100</f>
        <v>70.6329976159198</v>
      </c>
      <c r="R134" s="7" t="n">
        <f aca="false">X134-AC134</f>
        <v>12223</v>
      </c>
      <c r="S134" s="8" t="n">
        <f aca="false">(R134/P134)*100</f>
        <v>8.41966770451602</v>
      </c>
      <c r="T134" s="8" t="n">
        <f aca="false">Y134+AD134</f>
        <v>90.3211363072769</v>
      </c>
      <c r="U134" s="7" t="s">
        <v>54</v>
      </c>
      <c r="V134" s="7" t="s">
        <v>67</v>
      </c>
      <c r="W134" s="7" t="s">
        <v>824</v>
      </c>
      <c r="X134" s="7" t="n">
        <v>71672</v>
      </c>
      <c r="Y134" s="8" t="n">
        <f aca="false">(X134/P134)*100</f>
        <v>49.3704020058965</v>
      </c>
      <c r="Z134" s="7" t="s">
        <v>51</v>
      </c>
      <c r="AA134" s="7" t="s">
        <v>391</v>
      </c>
      <c r="AB134" s="7" t="s">
        <v>825</v>
      </c>
      <c r="AC134" s="7" t="n">
        <v>59449</v>
      </c>
      <c r="AD134" s="8" t="n">
        <f aca="false">(AC134/P134)*100</f>
        <v>40.9507343013804</v>
      </c>
      <c r="AE134" s="7" t="s">
        <v>57</v>
      </c>
      <c r="AF134" s="7" t="s">
        <v>57</v>
      </c>
      <c r="AG134" s="7" t="s">
        <v>826</v>
      </c>
      <c r="AH134" s="7" t="n">
        <v>7632</v>
      </c>
      <c r="AI134" s="8" t="n">
        <f aca="false">(AH134/P134)*100</f>
        <v>5.25721213457141</v>
      </c>
      <c r="AJ134" s="7" t="s">
        <v>70</v>
      </c>
      <c r="AK134" s="7" t="s">
        <v>71</v>
      </c>
      <c r="AL134" s="7" t="s">
        <v>827</v>
      </c>
      <c r="AM134" s="7" t="n">
        <v>3314</v>
      </c>
      <c r="AN134" s="8" t="n">
        <f aca="false">(AM134/P134)*100</f>
        <v>2.28280935717632</v>
      </c>
      <c r="AO134" s="7" t="s">
        <v>62</v>
      </c>
      <c r="AP134" s="7" t="s">
        <v>62</v>
      </c>
      <c r="AQ134" s="7" t="s">
        <v>62</v>
      </c>
      <c r="AR134" s="7" t="n">
        <v>1415</v>
      </c>
      <c r="AS134" s="8" t="n">
        <f aca="false">(AR134/P134)*100</f>
        <v>0.974705866144987</v>
      </c>
    </row>
    <row r="135" customFormat="false" ht="12.8" hidden="false" customHeight="false" outlineLevel="0" collapsed="false">
      <c r="A135" s="6" t="n">
        <v>125</v>
      </c>
      <c r="B135" s="7" t="s">
        <v>828</v>
      </c>
      <c r="C135" s="7" t="s">
        <v>692</v>
      </c>
      <c r="D135" s="7" t="s">
        <v>585</v>
      </c>
      <c r="E135" s="7" t="s">
        <v>693</v>
      </c>
      <c r="F135" s="7" t="s">
        <v>76</v>
      </c>
      <c r="G135" s="7" t="s">
        <v>50</v>
      </c>
      <c r="H135" s="7" t="s">
        <v>50</v>
      </c>
      <c r="I135" s="7" t="s">
        <v>50</v>
      </c>
      <c r="J135" s="7" t="s">
        <v>50</v>
      </c>
      <c r="K135" s="7" t="s">
        <v>50</v>
      </c>
      <c r="L135" s="7" t="s">
        <v>67</v>
      </c>
      <c r="M135" s="7" t="s">
        <v>50</v>
      </c>
      <c r="N135" s="7" t="s">
        <v>50</v>
      </c>
      <c r="O135" s="7" t="n">
        <v>269760</v>
      </c>
      <c r="P135" s="7" t="n">
        <v>194358</v>
      </c>
      <c r="Q135" s="8" t="n">
        <f aca="false">(P135/O135)*100</f>
        <v>72.048487544484</v>
      </c>
      <c r="R135" s="7" t="n">
        <f aca="false">X135-AC135</f>
        <v>21895</v>
      </c>
      <c r="S135" s="8" t="n">
        <f aca="false">(R135/P135)*100</f>
        <v>11.2652939421068</v>
      </c>
      <c r="T135" s="8" t="n">
        <f aca="false">Y135+AD135</f>
        <v>88.4404037909425</v>
      </c>
      <c r="U135" s="7" t="s">
        <v>54</v>
      </c>
      <c r="V135" s="7" t="s">
        <v>67</v>
      </c>
      <c r="W135" s="7" t="s">
        <v>829</v>
      </c>
      <c r="X135" s="7" t="n">
        <v>96893</v>
      </c>
      <c r="Y135" s="8" t="n">
        <f aca="false">(X135/P135)*100</f>
        <v>49.8528488665247</v>
      </c>
      <c r="Z135" s="7" t="s">
        <v>51</v>
      </c>
      <c r="AA135" s="7" t="s">
        <v>65</v>
      </c>
      <c r="AB135" s="7" t="s">
        <v>830</v>
      </c>
      <c r="AC135" s="7" t="n">
        <v>74998</v>
      </c>
      <c r="AD135" s="8" t="n">
        <f aca="false">(AC135/P135)*100</f>
        <v>38.5875549244178</v>
      </c>
      <c r="AE135" s="7" t="s">
        <v>57</v>
      </c>
      <c r="AF135" s="7" t="s">
        <v>57</v>
      </c>
      <c r="AG135" s="7" t="s">
        <v>831</v>
      </c>
      <c r="AH135" s="7" t="n">
        <v>8592</v>
      </c>
      <c r="AI135" s="8" t="n">
        <f aca="false">(AH135/P135)*100</f>
        <v>4.42070817769271</v>
      </c>
      <c r="AJ135" s="7" t="s">
        <v>70</v>
      </c>
      <c r="AK135" s="7" t="s">
        <v>71</v>
      </c>
      <c r="AL135" s="7" t="s">
        <v>832</v>
      </c>
      <c r="AM135" s="7" t="n">
        <v>8163</v>
      </c>
      <c r="AN135" s="8" t="n">
        <f aca="false">(AM135/P135)*100</f>
        <v>4.1999814774797</v>
      </c>
      <c r="AO135" s="7" t="s">
        <v>62</v>
      </c>
      <c r="AP135" s="7" t="s">
        <v>62</v>
      </c>
      <c r="AQ135" s="7" t="s">
        <v>62</v>
      </c>
      <c r="AR135" s="7" t="n">
        <v>1478</v>
      </c>
      <c r="AS135" s="8" t="n">
        <f aca="false">(AR135/P135)*100</f>
        <v>0.760452361106824</v>
      </c>
    </row>
    <row r="136" customFormat="false" ht="12.8" hidden="false" customHeight="false" outlineLevel="0" collapsed="false">
      <c r="A136" s="6" t="n">
        <v>126</v>
      </c>
      <c r="B136" s="7" t="s">
        <v>833</v>
      </c>
      <c r="C136" s="7" t="s">
        <v>692</v>
      </c>
      <c r="D136" s="7" t="s">
        <v>585</v>
      </c>
      <c r="E136" s="7" t="s">
        <v>693</v>
      </c>
      <c r="F136" s="7" t="s">
        <v>49</v>
      </c>
      <c r="G136" s="7" t="s">
        <v>50</v>
      </c>
      <c r="H136" s="7" t="s">
        <v>50</v>
      </c>
      <c r="I136" s="7" t="s">
        <v>50</v>
      </c>
      <c r="J136" s="7" t="s">
        <v>50</v>
      </c>
      <c r="K136" s="7" t="s">
        <v>50</v>
      </c>
      <c r="L136" s="7" t="s">
        <v>50</v>
      </c>
      <c r="M136" s="7" t="s">
        <v>50</v>
      </c>
      <c r="N136" s="7" t="s">
        <v>50</v>
      </c>
      <c r="O136" s="7" t="n">
        <v>248501</v>
      </c>
      <c r="P136" s="7" t="n">
        <v>181902</v>
      </c>
      <c r="Q136" s="8" t="n">
        <f aca="false">(P136/O136)*100</f>
        <v>73.199705433781</v>
      </c>
      <c r="R136" s="7" t="n">
        <f aca="false">X136-AC136</f>
        <v>6438</v>
      </c>
      <c r="S136" s="8" t="n">
        <f aca="false">(R136/P136)*100</f>
        <v>3.53926839726886</v>
      </c>
      <c r="T136" s="8" t="n">
        <f aca="false">Y136+AD136</f>
        <v>89.1622961814604</v>
      </c>
      <c r="U136" s="7" t="s">
        <v>54</v>
      </c>
      <c r="V136" s="7" t="s">
        <v>67</v>
      </c>
      <c r="W136" s="7" t="s">
        <v>834</v>
      </c>
      <c r="X136" s="7" t="n">
        <v>84313</v>
      </c>
      <c r="Y136" s="8" t="n">
        <f aca="false">(X136/P136)*100</f>
        <v>46.3507822893646</v>
      </c>
      <c r="Z136" s="7" t="s">
        <v>51</v>
      </c>
      <c r="AA136" s="7" t="s">
        <v>52</v>
      </c>
      <c r="AB136" s="7" t="s">
        <v>835</v>
      </c>
      <c r="AC136" s="7" t="n">
        <v>77875</v>
      </c>
      <c r="AD136" s="8" t="n">
        <f aca="false">(AC136/P136)*100</f>
        <v>42.8115138920957</v>
      </c>
      <c r="AE136" s="7" t="s">
        <v>59</v>
      </c>
      <c r="AF136" s="7" t="s">
        <v>73</v>
      </c>
      <c r="AG136" s="7" t="s">
        <v>836</v>
      </c>
      <c r="AH136" s="7" t="n">
        <v>6515</v>
      </c>
      <c r="AI136" s="8" t="n">
        <f aca="false">(AH136/P136)*100</f>
        <v>3.58159888291498</v>
      </c>
      <c r="AJ136" s="7" t="s">
        <v>57</v>
      </c>
      <c r="AK136" s="7" t="s">
        <v>57</v>
      </c>
      <c r="AL136" s="7" t="s">
        <v>837</v>
      </c>
      <c r="AM136" s="7" t="n">
        <v>6245</v>
      </c>
      <c r="AN136" s="8" t="n">
        <f aca="false">(AM136/P136)*100</f>
        <v>3.43316730987015</v>
      </c>
      <c r="AO136" s="7" t="s">
        <v>70</v>
      </c>
      <c r="AP136" s="7" t="s">
        <v>71</v>
      </c>
      <c r="AQ136" s="7" t="s">
        <v>838</v>
      </c>
      <c r="AR136" s="7" t="n">
        <v>2894</v>
      </c>
      <c r="AS136" s="8" t="n">
        <f aca="false">(AR136/P136)*100</f>
        <v>1.59096656441381</v>
      </c>
    </row>
    <row r="137" customFormat="false" ht="12.8" hidden="false" customHeight="false" outlineLevel="0" collapsed="false">
      <c r="A137" s="6" t="n">
        <v>127</v>
      </c>
      <c r="B137" s="7" t="s">
        <v>235</v>
      </c>
      <c r="C137" s="7" t="s">
        <v>839</v>
      </c>
      <c r="D137" s="7" t="s">
        <v>585</v>
      </c>
      <c r="E137" s="7" t="s">
        <v>693</v>
      </c>
      <c r="F137" s="7" t="s">
        <v>76</v>
      </c>
      <c r="G137" s="7" t="s">
        <v>50</v>
      </c>
      <c r="H137" s="7" t="s">
        <v>50</v>
      </c>
      <c r="I137" s="7" t="s">
        <v>50</v>
      </c>
      <c r="J137" s="7" t="s">
        <v>50</v>
      </c>
      <c r="K137" s="7" t="s">
        <v>50</v>
      </c>
      <c r="L137" s="7" t="s">
        <v>50</v>
      </c>
      <c r="M137" s="7" t="s">
        <v>50</v>
      </c>
      <c r="N137" s="7" t="s">
        <v>50</v>
      </c>
      <c r="O137" s="7" t="n">
        <v>277298</v>
      </c>
      <c r="P137" s="7" t="n">
        <v>205384</v>
      </c>
      <c r="Q137" s="8" t="n">
        <f aca="false">(P137/O137)*100</f>
        <v>74.0661670837871</v>
      </c>
      <c r="R137" s="7" t="n">
        <f aca="false">X137-AC137</f>
        <v>30056</v>
      </c>
      <c r="S137" s="8" t="n">
        <f aca="false">(R137/P137)*100</f>
        <v>14.6340513379815</v>
      </c>
      <c r="T137" s="8" t="n">
        <f aca="false">Y137+AD137</f>
        <v>91.0859658006466</v>
      </c>
      <c r="U137" s="7" t="s">
        <v>51</v>
      </c>
      <c r="V137" s="7" t="s">
        <v>52</v>
      </c>
      <c r="W137" s="7" t="s">
        <v>840</v>
      </c>
      <c r="X137" s="7" t="n">
        <v>108566</v>
      </c>
      <c r="Y137" s="8" t="n">
        <f aca="false">(X137/P137)*100</f>
        <v>52.8600085693141</v>
      </c>
      <c r="Z137" s="7" t="s">
        <v>54</v>
      </c>
      <c r="AA137" s="7" t="s">
        <v>67</v>
      </c>
      <c r="AB137" s="7" t="s">
        <v>841</v>
      </c>
      <c r="AC137" s="7" t="n">
        <v>78510</v>
      </c>
      <c r="AD137" s="8" t="n">
        <f aca="false">(AC137/P137)*100</f>
        <v>38.2259572313325</v>
      </c>
      <c r="AE137" s="7" t="s">
        <v>57</v>
      </c>
      <c r="AF137" s="7" t="s">
        <v>57</v>
      </c>
      <c r="AG137" s="7" t="s">
        <v>842</v>
      </c>
      <c r="AH137" s="7" t="n">
        <v>7656</v>
      </c>
      <c r="AI137" s="8" t="n">
        <f aca="false">(AH137/P137)*100</f>
        <v>3.72765161843182</v>
      </c>
      <c r="AJ137" s="7" t="s">
        <v>70</v>
      </c>
      <c r="AK137" s="7" t="s">
        <v>71</v>
      </c>
      <c r="AL137" s="7" t="s">
        <v>843</v>
      </c>
      <c r="AM137" s="7" t="n">
        <v>3732</v>
      </c>
      <c r="AN137" s="8" t="n">
        <f aca="false">(AM137/P137)*100</f>
        <v>1.81708409613212</v>
      </c>
      <c r="AO137" s="7" t="s">
        <v>59</v>
      </c>
      <c r="AP137" s="7" t="s">
        <v>73</v>
      </c>
      <c r="AQ137" s="7" t="s">
        <v>844</v>
      </c>
      <c r="AR137" s="7" t="n">
        <v>2255</v>
      </c>
      <c r="AS137" s="8" t="n">
        <f aca="false">(AR137/P137)*100</f>
        <v>1.09794336462431</v>
      </c>
    </row>
    <row r="138" customFormat="false" ht="12.8" hidden="false" customHeight="false" outlineLevel="0" collapsed="false">
      <c r="A138" s="6" t="n">
        <v>128</v>
      </c>
      <c r="B138" s="7" t="s">
        <v>845</v>
      </c>
      <c r="C138" s="7" t="s">
        <v>839</v>
      </c>
      <c r="D138" s="7" t="s">
        <v>585</v>
      </c>
      <c r="E138" s="7" t="s">
        <v>693</v>
      </c>
      <c r="F138" s="7" t="s">
        <v>76</v>
      </c>
      <c r="G138" s="7" t="s">
        <v>50</v>
      </c>
      <c r="H138" s="7" t="s">
        <v>50</v>
      </c>
      <c r="I138" s="7" t="s">
        <v>50</v>
      </c>
      <c r="J138" s="7" t="s">
        <v>52</v>
      </c>
      <c r="K138" s="7" t="s">
        <v>50</v>
      </c>
      <c r="L138" s="7" t="s">
        <v>52</v>
      </c>
      <c r="M138" s="7" t="s">
        <v>50</v>
      </c>
      <c r="N138" s="7" t="s">
        <v>50</v>
      </c>
      <c r="O138" s="7" t="n">
        <v>241240</v>
      </c>
      <c r="P138" s="7" t="n">
        <v>201756</v>
      </c>
      <c r="Q138" s="8" t="n">
        <f aca="false">(P138/O138)*100</f>
        <v>83.6328967003814</v>
      </c>
      <c r="R138" s="7" t="n">
        <f aca="false">X138-AC138</f>
        <v>28742</v>
      </c>
      <c r="S138" s="8" t="n">
        <f aca="false">(R138/P138)*100</f>
        <v>14.2459208152422</v>
      </c>
      <c r="T138" s="8" t="n">
        <f aca="false">Y138+AD138</f>
        <v>94.7669462122564</v>
      </c>
      <c r="U138" s="7" t="s">
        <v>51</v>
      </c>
      <c r="V138" s="7" t="s">
        <v>52</v>
      </c>
      <c r="W138" s="7" t="s">
        <v>846</v>
      </c>
      <c r="X138" s="7" t="n">
        <v>109970</v>
      </c>
      <c r="Y138" s="8" t="n">
        <f aca="false">(X138/P138)*100</f>
        <v>54.5064335137493</v>
      </c>
      <c r="Z138" s="7" t="s">
        <v>54</v>
      </c>
      <c r="AA138" s="7" t="s">
        <v>67</v>
      </c>
      <c r="AB138" s="7" t="s">
        <v>847</v>
      </c>
      <c r="AC138" s="7" t="n">
        <v>81228</v>
      </c>
      <c r="AD138" s="8" t="n">
        <f aca="false">(AC138/P138)*100</f>
        <v>40.2605126985071</v>
      </c>
      <c r="AE138" s="7" t="s">
        <v>57</v>
      </c>
      <c r="AF138" s="7" t="s">
        <v>57</v>
      </c>
      <c r="AG138" s="7" t="s">
        <v>848</v>
      </c>
      <c r="AH138" s="7" t="n">
        <v>4944</v>
      </c>
      <c r="AI138" s="8" t="n">
        <f aca="false">(AH138/P138)*100</f>
        <v>2.45048474394814</v>
      </c>
      <c r="AJ138" s="7" t="s">
        <v>62</v>
      </c>
      <c r="AK138" s="7" t="s">
        <v>62</v>
      </c>
      <c r="AL138" s="7" t="s">
        <v>62</v>
      </c>
      <c r="AM138" s="7" t="n">
        <v>1457</v>
      </c>
      <c r="AN138" s="8" t="n">
        <f aca="false">(AM138/P138)*100</f>
        <v>0.722159440115783</v>
      </c>
      <c r="AO138" s="7" t="s">
        <v>59</v>
      </c>
      <c r="AP138" s="7" t="s">
        <v>60</v>
      </c>
      <c r="AQ138" s="7" t="s">
        <v>849</v>
      </c>
      <c r="AR138" s="7" t="n">
        <v>1427</v>
      </c>
      <c r="AS138" s="8" t="n">
        <f aca="false">(AR138/P138)*100</f>
        <v>0.707289993853962</v>
      </c>
    </row>
    <row r="139" customFormat="false" ht="12.8" hidden="false" customHeight="false" outlineLevel="0" collapsed="false">
      <c r="A139" s="6" t="n">
        <v>129</v>
      </c>
      <c r="B139" s="7" t="s">
        <v>850</v>
      </c>
      <c r="C139" s="7" t="s">
        <v>839</v>
      </c>
      <c r="D139" s="7" t="s">
        <v>585</v>
      </c>
      <c r="E139" s="7" t="s">
        <v>693</v>
      </c>
      <c r="F139" s="7" t="s">
        <v>49</v>
      </c>
      <c r="G139" s="7" t="s">
        <v>50</v>
      </c>
      <c r="H139" s="7" t="s">
        <v>315</v>
      </c>
      <c r="I139" s="7" t="s">
        <v>50</v>
      </c>
      <c r="J139" s="7" t="s">
        <v>52</v>
      </c>
      <c r="K139" s="7" t="s">
        <v>50</v>
      </c>
      <c r="L139" s="7" t="s">
        <v>52</v>
      </c>
      <c r="M139" s="7" t="s">
        <v>50</v>
      </c>
      <c r="N139" s="7" t="s">
        <v>50</v>
      </c>
      <c r="O139" s="7" t="n">
        <v>291955</v>
      </c>
      <c r="P139" s="7" t="n">
        <v>229940</v>
      </c>
      <c r="Q139" s="8" t="n">
        <f aca="false">(P139/O139)*100</f>
        <v>78.7587128153311</v>
      </c>
      <c r="R139" s="7" t="n">
        <f aca="false">X139-AC139</f>
        <v>135571</v>
      </c>
      <c r="S139" s="8" t="n">
        <f aca="false">(R139/P139)*100</f>
        <v>58.9592937287988</v>
      </c>
      <c r="T139" s="8" t="n">
        <f aca="false">Y139+AD139</f>
        <v>85.2600678437853</v>
      </c>
      <c r="U139" s="7" t="s">
        <v>51</v>
      </c>
      <c r="V139" s="7" t="s">
        <v>52</v>
      </c>
      <c r="W139" s="7" t="s">
        <v>851</v>
      </c>
      <c r="X139" s="7" t="n">
        <v>165809</v>
      </c>
      <c r="Y139" s="8" t="n">
        <f aca="false">(X139/P139)*100</f>
        <v>72.1096807862921</v>
      </c>
      <c r="Z139" s="7" t="s">
        <v>54</v>
      </c>
      <c r="AA139" s="7" t="s">
        <v>55</v>
      </c>
      <c r="AB139" s="7" t="s">
        <v>852</v>
      </c>
      <c r="AC139" s="7" t="n">
        <v>30238</v>
      </c>
      <c r="AD139" s="8" t="n">
        <f aca="false">(AC139/P139)*100</f>
        <v>13.1503870574933</v>
      </c>
      <c r="AE139" s="7" t="s">
        <v>57</v>
      </c>
      <c r="AF139" s="7" t="s">
        <v>57</v>
      </c>
      <c r="AG139" s="7" t="s">
        <v>853</v>
      </c>
      <c r="AH139" s="7" t="n">
        <v>17168</v>
      </c>
      <c r="AI139" s="8" t="n">
        <f aca="false">(AH139/P139)*100</f>
        <v>7.46629555536227</v>
      </c>
      <c r="AJ139" s="7" t="s">
        <v>70</v>
      </c>
      <c r="AK139" s="7" t="s">
        <v>71</v>
      </c>
      <c r="AL139" s="7" t="s">
        <v>854</v>
      </c>
      <c r="AM139" s="7" t="n">
        <v>3241</v>
      </c>
      <c r="AN139" s="8" t="n">
        <f aca="false">(AM139/P139)*100</f>
        <v>1.40949812994694</v>
      </c>
      <c r="AO139" s="7" t="s">
        <v>59</v>
      </c>
      <c r="AP139" s="7" t="s">
        <v>73</v>
      </c>
      <c r="AQ139" s="7" t="s">
        <v>855</v>
      </c>
      <c r="AR139" s="7" t="n">
        <v>3017</v>
      </c>
      <c r="AS139" s="8" t="n">
        <f aca="false">(AR139/P139)*100</f>
        <v>1.3120814125424</v>
      </c>
    </row>
    <row r="140" customFormat="false" ht="12.8" hidden="false" customHeight="false" outlineLevel="0" collapsed="false">
      <c r="A140" s="6" t="n">
        <v>130</v>
      </c>
      <c r="B140" s="7" t="s">
        <v>856</v>
      </c>
      <c r="C140" s="7" t="s">
        <v>839</v>
      </c>
      <c r="D140" s="7" t="s">
        <v>585</v>
      </c>
      <c r="E140" s="7" t="s">
        <v>693</v>
      </c>
      <c r="F140" s="7" t="s">
        <v>49</v>
      </c>
      <c r="G140" s="7" t="s">
        <v>64</v>
      </c>
      <c r="H140" s="7" t="s">
        <v>50</v>
      </c>
      <c r="I140" s="7" t="s">
        <v>50</v>
      </c>
      <c r="J140" s="7" t="s">
        <v>50</v>
      </c>
      <c r="K140" s="7" t="s">
        <v>50</v>
      </c>
      <c r="L140" s="7" t="s">
        <v>50</v>
      </c>
      <c r="M140" s="7" t="s">
        <v>50</v>
      </c>
      <c r="N140" s="7" t="s">
        <v>50</v>
      </c>
      <c r="O140" s="7" t="n">
        <v>244534</v>
      </c>
      <c r="P140" s="7" t="n">
        <v>184805</v>
      </c>
      <c r="Q140" s="8" t="n">
        <f aca="false">(P140/O140)*100</f>
        <v>75.5743577580214</v>
      </c>
      <c r="R140" s="7" t="n">
        <f aca="false">X140-AC140</f>
        <v>27618</v>
      </c>
      <c r="S140" s="8" t="n">
        <f aca="false">(R140/P140)*100</f>
        <v>14.9444008549552</v>
      </c>
      <c r="T140" s="8" t="n">
        <f aca="false">Y140+AD140</f>
        <v>84.036687319066</v>
      </c>
      <c r="U140" s="7" t="s">
        <v>54</v>
      </c>
      <c r="V140" s="7" t="s">
        <v>67</v>
      </c>
      <c r="W140" s="7" t="s">
        <v>857</v>
      </c>
      <c r="X140" s="7" t="n">
        <v>91461</v>
      </c>
      <c r="Y140" s="8" t="n">
        <f aca="false">(X140/P140)*100</f>
        <v>49.4905440870106</v>
      </c>
      <c r="Z140" s="7" t="s">
        <v>51</v>
      </c>
      <c r="AA140" s="7" t="s">
        <v>52</v>
      </c>
      <c r="AB140" s="7" t="s">
        <v>858</v>
      </c>
      <c r="AC140" s="7" t="n">
        <v>63843</v>
      </c>
      <c r="AD140" s="8" t="n">
        <f aca="false">(AC140/P140)*100</f>
        <v>34.5461432320554</v>
      </c>
      <c r="AE140" s="7" t="s">
        <v>57</v>
      </c>
      <c r="AF140" s="7" t="s">
        <v>57</v>
      </c>
      <c r="AG140" s="7" t="s">
        <v>859</v>
      </c>
      <c r="AH140" s="7" t="n">
        <v>17509</v>
      </c>
      <c r="AI140" s="8" t="n">
        <f aca="false">(AH140/P140)*100</f>
        <v>9.47431075999026</v>
      </c>
      <c r="AJ140" s="7" t="s">
        <v>59</v>
      </c>
      <c r="AK140" s="7" t="s">
        <v>60</v>
      </c>
      <c r="AL140" s="7" t="s">
        <v>860</v>
      </c>
      <c r="AM140" s="7" t="n">
        <v>3704</v>
      </c>
      <c r="AN140" s="8" t="n">
        <f aca="false">(AM140/P140)*100</f>
        <v>2.00427477611537</v>
      </c>
      <c r="AO140" s="7" t="s">
        <v>70</v>
      </c>
      <c r="AP140" s="7" t="s">
        <v>71</v>
      </c>
      <c r="AQ140" s="7" t="s">
        <v>861</v>
      </c>
      <c r="AR140" s="7" t="n">
        <v>3181</v>
      </c>
      <c r="AS140" s="8" t="n">
        <f aca="false">(AR140/P140)*100</f>
        <v>1.7212737750602</v>
      </c>
    </row>
    <row r="141" customFormat="false" ht="12.8" hidden="false" customHeight="false" outlineLevel="0" collapsed="false">
      <c r="A141" s="6" t="n">
        <v>131</v>
      </c>
      <c r="B141" s="7" t="s">
        <v>862</v>
      </c>
      <c r="C141" s="7" t="s">
        <v>839</v>
      </c>
      <c r="D141" s="7" t="s">
        <v>585</v>
      </c>
      <c r="E141" s="7" t="s">
        <v>693</v>
      </c>
      <c r="F141" s="7" t="s">
        <v>49</v>
      </c>
      <c r="G141" s="7" t="s">
        <v>50</v>
      </c>
      <c r="H141" s="7" t="s">
        <v>525</v>
      </c>
      <c r="I141" s="7" t="s">
        <v>50</v>
      </c>
      <c r="J141" s="7" t="s">
        <v>67</v>
      </c>
      <c r="K141" s="7" t="s">
        <v>863</v>
      </c>
      <c r="L141" s="7" t="s">
        <v>50</v>
      </c>
      <c r="M141" s="7" t="s">
        <v>863</v>
      </c>
      <c r="N141" s="7" t="s">
        <v>50</v>
      </c>
      <c r="O141" s="7" t="n">
        <v>283531</v>
      </c>
      <c r="P141" s="7" t="n">
        <v>225244</v>
      </c>
      <c r="Q141" s="8" t="n">
        <f aca="false">(P141/O141)*100</f>
        <v>79.4424595546871</v>
      </c>
      <c r="R141" s="7" t="n">
        <f aca="false">X141-AC141</f>
        <v>11932</v>
      </c>
      <c r="S141" s="8" t="n">
        <f aca="false">(R141/P141)*100</f>
        <v>5.29736641153593</v>
      </c>
      <c r="T141" s="8" t="n">
        <f aca="false">Y141+AD141</f>
        <v>90.3873133135622</v>
      </c>
      <c r="U141" s="7" t="s">
        <v>54</v>
      </c>
      <c r="V141" s="7" t="s">
        <v>67</v>
      </c>
      <c r="W141" s="7" t="s">
        <v>864</v>
      </c>
      <c r="X141" s="7" t="n">
        <v>107762</v>
      </c>
      <c r="Y141" s="8" t="n">
        <f aca="false">(X141/P141)*100</f>
        <v>47.8423398625491</v>
      </c>
      <c r="Z141" s="7" t="s">
        <v>51</v>
      </c>
      <c r="AA141" s="7" t="s">
        <v>52</v>
      </c>
      <c r="AB141" s="7" t="s">
        <v>865</v>
      </c>
      <c r="AC141" s="7" t="n">
        <v>95830</v>
      </c>
      <c r="AD141" s="8" t="n">
        <f aca="false">(AC141/P141)*100</f>
        <v>42.5449734510131</v>
      </c>
      <c r="AE141" s="7" t="s">
        <v>57</v>
      </c>
      <c r="AF141" s="7" t="s">
        <v>57</v>
      </c>
      <c r="AG141" s="7" t="s">
        <v>866</v>
      </c>
      <c r="AH141" s="7" t="n">
        <v>14762</v>
      </c>
      <c r="AI141" s="8" t="n">
        <f aca="false">(AH141/P141)*100</f>
        <v>6.55378167675943</v>
      </c>
      <c r="AJ141" s="7" t="s">
        <v>59</v>
      </c>
      <c r="AK141" s="7" t="s">
        <v>73</v>
      </c>
      <c r="AL141" s="7" t="s">
        <v>867</v>
      </c>
      <c r="AM141" s="7" t="n">
        <v>1721</v>
      </c>
      <c r="AN141" s="8" t="n">
        <f aca="false">(AM141/P141)*100</f>
        <v>0.764060307932731</v>
      </c>
      <c r="AO141" s="7" t="s">
        <v>62</v>
      </c>
      <c r="AP141" s="7" t="s">
        <v>62</v>
      </c>
      <c r="AQ141" s="7" t="s">
        <v>62</v>
      </c>
      <c r="AR141" s="7" t="n">
        <v>1444</v>
      </c>
      <c r="AS141" s="8" t="n">
        <f aca="false">(AR141/P141)*100</f>
        <v>0.641082559357852</v>
      </c>
    </row>
    <row r="142" customFormat="false" ht="12.8" hidden="false" customHeight="false" outlineLevel="0" collapsed="false">
      <c r="A142" s="6" t="n">
        <v>132</v>
      </c>
      <c r="B142" s="7" t="s">
        <v>839</v>
      </c>
      <c r="C142" s="7" t="s">
        <v>839</v>
      </c>
      <c r="D142" s="7" t="s">
        <v>585</v>
      </c>
      <c r="E142" s="7" t="s">
        <v>693</v>
      </c>
      <c r="F142" s="7" t="s">
        <v>87</v>
      </c>
      <c r="G142" s="7" t="s">
        <v>50</v>
      </c>
      <c r="H142" s="7" t="s">
        <v>50</v>
      </c>
      <c r="I142" s="7" t="s">
        <v>50</v>
      </c>
      <c r="J142" s="7" t="s">
        <v>50</v>
      </c>
      <c r="K142" s="7" t="s">
        <v>50</v>
      </c>
      <c r="L142" s="7" t="s">
        <v>50</v>
      </c>
      <c r="M142" s="7" t="s">
        <v>50</v>
      </c>
      <c r="N142" s="7" t="s">
        <v>50</v>
      </c>
      <c r="O142" s="7" t="n">
        <v>276820</v>
      </c>
      <c r="P142" s="7" t="n">
        <v>195118</v>
      </c>
      <c r="Q142" s="8" t="n">
        <f aca="false">(P142/O142)*100</f>
        <v>70.4855140524529</v>
      </c>
      <c r="R142" s="7" t="n">
        <f aca="false">X142-AC142</f>
        <v>17747</v>
      </c>
      <c r="S142" s="8" t="n">
        <f aca="false">(R142/P142)*100</f>
        <v>9.09552168431411</v>
      </c>
      <c r="T142" s="8" t="n">
        <f aca="false">Y142+AD142</f>
        <v>83.7662337662338</v>
      </c>
      <c r="U142" s="7" t="s">
        <v>54</v>
      </c>
      <c r="V142" s="7" t="s">
        <v>67</v>
      </c>
      <c r="W142" s="7" t="s">
        <v>868</v>
      </c>
      <c r="X142" s="7" t="n">
        <v>90595</v>
      </c>
      <c r="Y142" s="8" t="n">
        <f aca="false">(X142/P142)*100</f>
        <v>46.4308777252739</v>
      </c>
      <c r="Z142" s="7" t="s">
        <v>51</v>
      </c>
      <c r="AA142" s="7" t="s">
        <v>421</v>
      </c>
      <c r="AB142" s="7" t="s">
        <v>869</v>
      </c>
      <c r="AC142" s="7" t="n">
        <v>72848</v>
      </c>
      <c r="AD142" s="8" t="n">
        <f aca="false">(AC142/P142)*100</f>
        <v>37.3353560409598</v>
      </c>
      <c r="AE142" s="7" t="s">
        <v>57</v>
      </c>
      <c r="AF142" s="7" t="s">
        <v>57</v>
      </c>
      <c r="AG142" s="7" t="s">
        <v>870</v>
      </c>
      <c r="AH142" s="7" t="n">
        <v>14860</v>
      </c>
      <c r="AI142" s="8" t="n">
        <f aca="false">(AH142/P142)*100</f>
        <v>7.6159042220605</v>
      </c>
      <c r="AJ142" s="7" t="s">
        <v>70</v>
      </c>
      <c r="AK142" s="7" t="s">
        <v>71</v>
      </c>
      <c r="AL142" s="7" t="s">
        <v>551</v>
      </c>
      <c r="AM142" s="7" t="n">
        <v>9063</v>
      </c>
      <c r="AN142" s="8" t="n">
        <f aca="false">(AM142/P142)*100</f>
        <v>4.64488155885157</v>
      </c>
      <c r="AO142" s="7" t="s">
        <v>59</v>
      </c>
      <c r="AP142" s="7" t="s">
        <v>73</v>
      </c>
      <c r="AQ142" s="7" t="s">
        <v>871</v>
      </c>
      <c r="AR142" s="7" t="n">
        <v>2427</v>
      </c>
      <c r="AS142" s="8" t="n">
        <f aca="false">(AR142/P142)*100</f>
        <v>1.24386268821944</v>
      </c>
    </row>
    <row r="143" customFormat="false" ht="12.8" hidden="false" customHeight="false" outlineLevel="0" collapsed="false">
      <c r="A143" s="6" t="n">
        <v>133</v>
      </c>
      <c r="B143" s="7" t="s">
        <v>872</v>
      </c>
      <c r="C143" s="7" t="s">
        <v>839</v>
      </c>
      <c r="D143" s="7" t="s">
        <v>585</v>
      </c>
      <c r="E143" s="7" t="s">
        <v>693</v>
      </c>
      <c r="F143" s="7" t="s">
        <v>49</v>
      </c>
      <c r="G143" s="7" t="s">
        <v>50</v>
      </c>
      <c r="H143" s="7" t="s">
        <v>50</v>
      </c>
      <c r="I143" s="7" t="s">
        <v>50</v>
      </c>
      <c r="J143" s="7" t="s">
        <v>50</v>
      </c>
      <c r="K143" s="7" t="s">
        <v>50</v>
      </c>
      <c r="L143" s="7" t="s">
        <v>50</v>
      </c>
      <c r="M143" s="7" t="s">
        <v>50</v>
      </c>
      <c r="N143" s="7" t="s">
        <v>50</v>
      </c>
      <c r="O143" s="7" t="n">
        <v>263561</v>
      </c>
      <c r="P143" s="7" t="n">
        <v>213080</v>
      </c>
      <c r="Q143" s="8" t="n">
        <f aca="false">(P143/O143)*100</f>
        <v>80.8465592405553</v>
      </c>
      <c r="R143" s="7" t="n">
        <f aca="false">X143-AC143</f>
        <v>17553</v>
      </c>
      <c r="S143" s="8" t="n">
        <f aca="false">(R143/P143)*100</f>
        <v>8.2377510794068</v>
      </c>
      <c r="T143" s="8" t="n">
        <f aca="false">Y143+AD143</f>
        <v>91.7068706589075</v>
      </c>
      <c r="U143" s="7" t="s">
        <v>51</v>
      </c>
      <c r="V143" s="7" t="s">
        <v>52</v>
      </c>
      <c r="W143" s="7" t="s">
        <v>873</v>
      </c>
      <c r="X143" s="7" t="n">
        <v>106481</v>
      </c>
      <c r="Y143" s="8" t="n">
        <f aca="false">(X143/P143)*100</f>
        <v>49.9723108691571</v>
      </c>
      <c r="Z143" s="7" t="s">
        <v>54</v>
      </c>
      <c r="AA143" s="7" t="s">
        <v>67</v>
      </c>
      <c r="AB143" s="7" t="s">
        <v>874</v>
      </c>
      <c r="AC143" s="7" t="n">
        <v>88928</v>
      </c>
      <c r="AD143" s="8" t="n">
        <f aca="false">(AC143/P143)*100</f>
        <v>41.7345597897503</v>
      </c>
      <c r="AE143" s="7" t="s">
        <v>57</v>
      </c>
      <c r="AF143" s="7" t="s">
        <v>57</v>
      </c>
      <c r="AG143" s="7" t="s">
        <v>875</v>
      </c>
      <c r="AH143" s="7" t="n">
        <v>8495</v>
      </c>
      <c r="AI143" s="8" t="n">
        <f aca="false">(AH143/P143)*100</f>
        <v>3.98676553407171</v>
      </c>
      <c r="AJ143" s="7" t="s">
        <v>59</v>
      </c>
      <c r="AK143" s="7" t="s">
        <v>73</v>
      </c>
      <c r="AL143" s="7" t="s">
        <v>876</v>
      </c>
      <c r="AM143" s="7" t="n">
        <v>2041</v>
      </c>
      <c r="AN143" s="8" t="n">
        <f aca="false">(AM143/P143)*100</f>
        <v>0.957856204242538</v>
      </c>
      <c r="AO143" s="7" t="s">
        <v>196</v>
      </c>
      <c r="AP143" s="7" t="s">
        <v>196</v>
      </c>
      <c r="AQ143" s="7" t="s">
        <v>877</v>
      </c>
      <c r="AR143" s="7" t="n">
        <v>1293</v>
      </c>
      <c r="AS143" s="8" t="n">
        <f aca="false">(AR143/P143)*100</f>
        <v>0.606814342031162</v>
      </c>
    </row>
    <row r="144" customFormat="false" ht="12.8" hidden="false" customHeight="false" outlineLevel="0" collapsed="false">
      <c r="A144" s="6" t="n">
        <v>134</v>
      </c>
      <c r="B144" s="7" t="s">
        <v>878</v>
      </c>
      <c r="C144" s="7" t="s">
        <v>879</v>
      </c>
      <c r="D144" s="7" t="s">
        <v>585</v>
      </c>
      <c r="E144" s="7" t="s">
        <v>644</v>
      </c>
      <c r="F144" s="7" t="s">
        <v>49</v>
      </c>
      <c r="G144" s="7" t="s">
        <v>50</v>
      </c>
      <c r="H144" s="7" t="s">
        <v>50</v>
      </c>
      <c r="I144" s="7" t="s">
        <v>50</v>
      </c>
      <c r="J144" s="7" t="s">
        <v>50</v>
      </c>
      <c r="K144" s="7" t="s">
        <v>50</v>
      </c>
      <c r="L144" s="7" t="s">
        <v>50</v>
      </c>
      <c r="M144" s="7" t="s">
        <v>50</v>
      </c>
      <c r="N144" s="7" t="s">
        <v>50</v>
      </c>
      <c r="O144" s="7" t="n">
        <v>213969</v>
      </c>
      <c r="P144" s="7" t="n">
        <v>177114</v>
      </c>
      <c r="Q144" s="8" t="n">
        <f aca="false">(P144/O144)*100</f>
        <v>82.7755422514477</v>
      </c>
      <c r="R144" s="7" t="n">
        <f aca="false">X144-AC144</f>
        <v>24816</v>
      </c>
      <c r="S144" s="8" t="n">
        <f aca="false">(R144/P144)*100</f>
        <v>14.0113147464345</v>
      </c>
      <c r="T144" s="8" t="n">
        <f aca="false">Y144+AD144</f>
        <v>91.4224736610319</v>
      </c>
      <c r="U144" s="7" t="s">
        <v>51</v>
      </c>
      <c r="V144" s="7" t="s">
        <v>52</v>
      </c>
      <c r="W144" s="7" t="s">
        <v>880</v>
      </c>
      <c r="X144" s="7" t="n">
        <v>93369</v>
      </c>
      <c r="Y144" s="8" t="n">
        <f aca="false">(X144/P144)*100</f>
        <v>52.7168942037332</v>
      </c>
      <c r="Z144" s="7" t="s">
        <v>54</v>
      </c>
      <c r="AA144" s="7" t="s">
        <v>170</v>
      </c>
      <c r="AB144" s="7" t="s">
        <v>881</v>
      </c>
      <c r="AC144" s="7" t="n">
        <v>68553</v>
      </c>
      <c r="AD144" s="8" t="n">
        <f aca="false">(AC144/P144)*100</f>
        <v>38.7055794572987</v>
      </c>
      <c r="AE144" s="7" t="s">
        <v>57</v>
      </c>
      <c r="AF144" s="7" t="s">
        <v>57</v>
      </c>
      <c r="AG144" s="7" t="s">
        <v>882</v>
      </c>
      <c r="AH144" s="7" t="n">
        <v>7188</v>
      </c>
      <c r="AI144" s="8" t="n">
        <f aca="false">(AH144/P144)*100</f>
        <v>4.05840306243436</v>
      </c>
      <c r="AJ144" s="7" t="s">
        <v>59</v>
      </c>
      <c r="AK144" s="7" t="s">
        <v>73</v>
      </c>
      <c r="AL144" s="7" t="s">
        <v>883</v>
      </c>
      <c r="AM144" s="7" t="n">
        <v>1599</v>
      </c>
      <c r="AN144" s="8" t="n">
        <f aca="false">(AM144/P144)*100</f>
        <v>0.902808360716827</v>
      </c>
      <c r="AO144" s="7" t="s">
        <v>70</v>
      </c>
      <c r="AP144" s="7" t="s">
        <v>71</v>
      </c>
      <c r="AQ144" s="7" t="s">
        <v>884</v>
      </c>
      <c r="AR144" s="7" t="n">
        <v>1382</v>
      </c>
      <c r="AS144" s="8" t="n">
        <f aca="false">(AR144/P144)*100</f>
        <v>0.780288401820297</v>
      </c>
    </row>
    <row r="145" customFormat="false" ht="12.8" hidden="false" customHeight="false" outlineLevel="0" collapsed="false">
      <c r="A145" s="6" t="n">
        <v>135</v>
      </c>
      <c r="B145" s="7" t="s">
        <v>879</v>
      </c>
      <c r="C145" s="7" t="s">
        <v>879</v>
      </c>
      <c r="D145" s="7" t="s">
        <v>585</v>
      </c>
      <c r="E145" s="7" t="s">
        <v>644</v>
      </c>
      <c r="F145" s="7" t="s">
        <v>76</v>
      </c>
      <c r="G145" s="7" t="s">
        <v>50</v>
      </c>
      <c r="H145" s="7" t="s">
        <v>50</v>
      </c>
      <c r="I145" s="7" t="s">
        <v>50</v>
      </c>
      <c r="J145" s="7" t="s">
        <v>52</v>
      </c>
      <c r="K145" s="7" t="s">
        <v>50</v>
      </c>
      <c r="L145" s="7" t="s">
        <v>50</v>
      </c>
      <c r="M145" s="7" t="s">
        <v>50</v>
      </c>
      <c r="N145" s="7" t="s">
        <v>50</v>
      </c>
      <c r="O145" s="7" t="n">
        <v>245356</v>
      </c>
      <c r="P145" s="7" t="n">
        <v>207310</v>
      </c>
      <c r="Q145" s="8" t="n">
        <f aca="false">(P145/O145)*100</f>
        <v>84.493552226153</v>
      </c>
      <c r="R145" s="7" t="n">
        <f aca="false">X145-AC145</f>
        <v>12448</v>
      </c>
      <c r="S145" s="8" t="n">
        <f aca="false">(R145/P145)*100</f>
        <v>6.00453427234576</v>
      </c>
      <c r="T145" s="8" t="n">
        <f aca="false">Y145+AD145</f>
        <v>92.1643914910038</v>
      </c>
      <c r="U145" s="7" t="s">
        <v>51</v>
      </c>
      <c r="V145" s="7" t="s">
        <v>52</v>
      </c>
      <c r="W145" s="7" t="s">
        <v>885</v>
      </c>
      <c r="X145" s="7" t="n">
        <v>101757</v>
      </c>
      <c r="Y145" s="8" t="n">
        <f aca="false">(X145/P145)*100</f>
        <v>49.0844628816748</v>
      </c>
      <c r="Z145" s="7" t="s">
        <v>54</v>
      </c>
      <c r="AA145" s="7" t="s">
        <v>67</v>
      </c>
      <c r="AB145" s="7" t="s">
        <v>886</v>
      </c>
      <c r="AC145" s="7" t="n">
        <v>89309</v>
      </c>
      <c r="AD145" s="8" t="n">
        <f aca="false">(AC145/P145)*100</f>
        <v>43.079928609329</v>
      </c>
      <c r="AE145" s="7" t="s">
        <v>57</v>
      </c>
      <c r="AF145" s="7" t="s">
        <v>57</v>
      </c>
      <c r="AG145" s="7" t="s">
        <v>887</v>
      </c>
      <c r="AH145" s="7" t="n">
        <v>7316</v>
      </c>
      <c r="AI145" s="8" t="n">
        <f aca="false">(AH145/P145)*100</f>
        <v>3.52901451931889</v>
      </c>
      <c r="AJ145" s="7" t="s">
        <v>70</v>
      </c>
      <c r="AK145" s="7" t="s">
        <v>71</v>
      </c>
      <c r="AL145" s="7" t="s">
        <v>888</v>
      </c>
      <c r="AM145" s="7" t="n">
        <v>4154</v>
      </c>
      <c r="AN145" s="8" t="n">
        <f aca="false">(AM145/P145)*100</f>
        <v>2.00376248130819</v>
      </c>
      <c r="AO145" s="7" t="s">
        <v>62</v>
      </c>
      <c r="AP145" s="7" t="s">
        <v>62</v>
      </c>
      <c r="AQ145" s="7" t="s">
        <v>62</v>
      </c>
      <c r="AR145" s="7" t="n">
        <v>961</v>
      </c>
      <c r="AS145" s="8" t="n">
        <f aca="false">(AR145/P145)*100</f>
        <v>0.463556991944431</v>
      </c>
    </row>
    <row r="146" customFormat="false" ht="12.8" hidden="false" customHeight="false" outlineLevel="0" collapsed="false">
      <c r="A146" s="6" t="n">
        <v>136</v>
      </c>
      <c r="B146" s="7" t="s">
        <v>889</v>
      </c>
      <c r="C146" s="7" t="s">
        <v>879</v>
      </c>
      <c r="D146" s="7" t="s">
        <v>585</v>
      </c>
      <c r="E146" s="7" t="s">
        <v>644</v>
      </c>
      <c r="F146" s="7" t="s">
        <v>49</v>
      </c>
      <c r="G146" s="7" t="s">
        <v>64</v>
      </c>
      <c r="H146" s="7" t="s">
        <v>50</v>
      </c>
      <c r="I146" s="7" t="s">
        <v>50</v>
      </c>
      <c r="J146" s="7" t="s">
        <v>50</v>
      </c>
      <c r="K146" s="7" t="s">
        <v>50</v>
      </c>
      <c r="L146" s="7" t="s">
        <v>50</v>
      </c>
      <c r="M146" s="7" t="s">
        <v>50</v>
      </c>
      <c r="N146" s="7" t="s">
        <v>50</v>
      </c>
      <c r="O146" s="7" t="n">
        <v>213056</v>
      </c>
      <c r="P146" s="7" t="n">
        <v>180902</v>
      </c>
      <c r="Q146" s="8" t="n">
        <f aca="false">(P146/O146)*100</f>
        <v>84.9081931510964</v>
      </c>
      <c r="R146" s="7" t="n">
        <f aca="false">X146-AC146</f>
        <v>31625</v>
      </c>
      <c r="S146" s="8" t="n">
        <f aca="false">(R146/P146)*100</f>
        <v>17.4818409967828</v>
      </c>
      <c r="T146" s="8" t="n">
        <f aca="false">Y146+AD146</f>
        <v>89.249980652508</v>
      </c>
      <c r="U146" s="7" t="s">
        <v>51</v>
      </c>
      <c r="V146" s="7" t="s">
        <v>52</v>
      </c>
      <c r="W146" s="7" t="s">
        <v>890</v>
      </c>
      <c r="X146" s="7" t="n">
        <v>96540</v>
      </c>
      <c r="Y146" s="8" t="n">
        <f aca="false">(X146/P146)*100</f>
        <v>53.3659108246454</v>
      </c>
      <c r="Z146" s="7" t="s">
        <v>54</v>
      </c>
      <c r="AA146" s="7" t="s">
        <v>67</v>
      </c>
      <c r="AB146" s="7" t="s">
        <v>891</v>
      </c>
      <c r="AC146" s="7" t="n">
        <v>64915</v>
      </c>
      <c r="AD146" s="8" t="n">
        <f aca="false">(AC146/P146)*100</f>
        <v>35.8840698278626</v>
      </c>
      <c r="AE146" s="7" t="s">
        <v>57</v>
      </c>
      <c r="AF146" s="7" t="s">
        <v>57</v>
      </c>
      <c r="AG146" s="7" t="s">
        <v>892</v>
      </c>
      <c r="AH146" s="7" t="n">
        <v>9706</v>
      </c>
      <c r="AI146" s="8" t="n">
        <f aca="false">(AH146/P146)*100</f>
        <v>5.36533592773988</v>
      </c>
      <c r="AJ146" s="7" t="s">
        <v>59</v>
      </c>
      <c r="AK146" s="7" t="s">
        <v>60</v>
      </c>
      <c r="AL146" s="7" t="s">
        <v>893</v>
      </c>
      <c r="AM146" s="7" t="n">
        <v>1946</v>
      </c>
      <c r="AN146" s="8" t="n">
        <f aca="false">(AM146/P146)*100</f>
        <v>1.07572055588108</v>
      </c>
      <c r="AO146" s="7" t="s">
        <v>70</v>
      </c>
      <c r="AP146" s="7" t="s">
        <v>71</v>
      </c>
      <c r="AQ146" s="7" t="s">
        <v>894</v>
      </c>
      <c r="AR146" s="7" t="n">
        <v>1848</v>
      </c>
      <c r="AS146" s="8" t="n">
        <f aca="false">(AR146/P146)*100</f>
        <v>1.02154757824679</v>
      </c>
    </row>
    <row r="147" customFormat="false" ht="12.8" hidden="false" customHeight="false" outlineLevel="0" collapsed="false">
      <c r="A147" s="6" t="n">
        <v>137</v>
      </c>
      <c r="B147" s="7" t="s">
        <v>895</v>
      </c>
      <c r="C147" s="7" t="s">
        <v>879</v>
      </c>
      <c r="D147" s="7" t="s">
        <v>585</v>
      </c>
      <c r="E147" s="7" t="s">
        <v>644</v>
      </c>
      <c r="F147" s="7" t="s">
        <v>76</v>
      </c>
      <c r="G147" s="7" t="s">
        <v>50</v>
      </c>
      <c r="H147" s="7" t="s">
        <v>50</v>
      </c>
      <c r="I147" s="7" t="s">
        <v>50</v>
      </c>
      <c r="J147" s="7" t="s">
        <v>50</v>
      </c>
      <c r="K147" s="7" t="s">
        <v>67</v>
      </c>
      <c r="L147" s="7" t="s">
        <v>50</v>
      </c>
      <c r="M147" s="7" t="s">
        <v>50</v>
      </c>
      <c r="N147" s="7" t="s">
        <v>50</v>
      </c>
      <c r="O147" s="7" t="n">
        <v>227279</v>
      </c>
      <c r="P147" s="7" t="n">
        <v>197456</v>
      </c>
      <c r="Q147" s="8" t="n">
        <f aca="false">(P147/O147)*100</f>
        <v>86.8782421605164</v>
      </c>
      <c r="R147" s="7" t="n">
        <f aca="false">X147-AC147</f>
        <v>23540</v>
      </c>
      <c r="S147" s="8" t="n">
        <f aca="false">(R147/P147)*100</f>
        <v>11.9216433028118</v>
      </c>
      <c r="T147" s="8" t="n">
        <f aca="false">Y147+AD147</f>
        <v>90.2064257353537</v>
      </c>
      <c r="U147" s="7" t="s">
        <v>51</v>
      </c>
      <c r="V147" s="7" t="s">
        <v>52</v>
      </c>
      <c r="W147" s="7" t="s">
        <v>896</v>
      </c>
      <c r="X147" s="7" t="n">
        <v>100829</v>
      </c>
      <c r="Y147" s="8" t="n">
        <f aca="false">(X147/P147)*100</f>
        <v>51.0640345190827</v>
      </c>
      <c r="Z147" s="7" t="s">
        <v>54</v>
      </c>
      <c r="AA147" s="7" t="s">
        <v>67</v>
      </c>
      <c r="AB147" s="7" t="s">
        <v>897</v>
      </c>
      <c r="AC147" s="7" t="n">
        <v>77289</v>
      </c>
      <c r="AD147" s="8" t="n">
        <f aca="false">(AC147/P147)*100</f>
        <v>39.142391216271</v>
      </c>
      <c r="AE147" s="7" t="s">
        <v>57</v>
      </c>
      <c r="AF147" s="7" t="s">
        <v>57</v>
      </c>
      <c r="AG147" s="7" t="s">
        <v>898</v>
      </c>
      <c r="AH147" s="7" t="n">
        <v>11511</v>
      </c>
      <c r="AI147" s="8" t="n">
        <f aca="false">(AH147/P147)*100</f>
        <v>5.82965318855846</v>
      </c>
      <c r="AJ147" s="7" t="s">
        <v>62</v>
      </c>
      <c r="AK147" s="7" t="s">
        <v>62</v>
      </c>
      <c r="AL147" s="7" t="s">
        <v>62</v>
      </c>
      <c r="AM147" s="7" t="n">
        <v>1191</v>
      </c>
      <c r="AN147" s="8" t="n">
        <f aca="false">(AM147/P147)*100</f>
        <v>0.60317235232153</v>
      </c>
      <c r="AO147" s="7" t="s">
        <v>196</v>
      </c>
      <c r="AP147" s="7" t="s">
        <v>196</v>
      </c>
      <c r="AQ147" s="7" t="s">
        <v>899</v>
      </c>
      <c r="AR147" s="7" t="n">
        <v>828</v>
      </c>
      <c r="AS147" s="8" t="n">
        <f aca="false">(AR147/P147)*100</f>
        <v>0.419333927558545</v>
      </c>
    </row>
    <row r="148" customFormat="false" ht="12.8" hidden="false" customHeight="true" outlineLevel="0" collapsed="false">
      <c r="A148" s="6" t="n">
        <v>138</v>
      </c>
      <c r="B148" s="7" t="s">
        <v>900</v>
      </c>
      <c r="C148" s="7" t="s">
        <v>901</v>
      </c>
      <c r="D148" s="7" t="s">
        <v>902</v>
      </c>
      <c r="E148" s="7" t="s">
        <v>903</v>
      </c>
      <c r="F148" s="7" t="s">
        <v>76</v>
      </c>
      <c r="G148" s="7" t="s">
        <v>50</v>
      </c>
      <c r="H148" s="7" t="s">
        <v>50</v>
      </c>
      <c r="I148" s="7" t="s">
        <v>50</v>
      </c>
      <c r="J148" s="7" t="s">
        <v>50</v>
      </c>
      <c r="K148" s="7" t="s">
        <v>50</v>
      </c>
      <c r="L148" s="7" t="s">
        <v>50</v>
      </c>
      <c r="M148" s="7" t="s">
        <v>50</v>
      </c>
      <c r="N148" s="7" t="s">
        <v>50</v>
      </c>
      <c r="O148" s="7" t="n">
        <v>289713</v>
      </c>
      <c r="P148" s="7" t="n">
        <v>221748</v>
      </c>
      <c r="Q148" s="8" t="n">
        <f aca="false">(P148/O148)*100</f>
        <v>76.5405763635046</v>
      </c>
      <c r="R148" s="7" t="n">
        <f aca="false">X148-AC148</f>
        <v>12243</v>
      </c>
      <c r="S148" s="8" t="n">
        <f aca="false">(R148/P148)*100</f>
        <v>5.52113209589264</v>
      </c>
      <c r="T148" s="8" t="n">
        <f aca="false">Y148+AD148</f>
        <v>82.9369374244638</v>
      </c>
      <c r="U148" s="7" t="s">
        <v>51</v>
      </c>
      <c r="V148" s="24" t="s">
        <v>904</v>
      </c>
      <c r="W148" s="7" t="s">
        <v>905</v>
      </c>
      <c r="X148" s="7" t="n">
        <v>98077</v>
      </c>
      <c r="Y148" s="8" t="n">
        <f aca="false">(X148/P148)*100</f>
        <v>44.2290347601782</v>
      </c>
      <c r="Z148" s="7" t="s">
        <v>54</v>
      </c>
      <c r="AA148" s="7" t="s">
        <v>67</v>
      </c>
      <c r="AB148" s="7" t="s">
        <v>906</v>
      </c>
      <c r="AC148" s="7" t="n">
        <v>85834</v>
      </c>
      <c r="AD148" s="8" t="n">
        <f aca="false">(AC148/P148)*100</f>
        <v>38.7079026642856</v>
      </c>
      <c r="AE148" s="7" t="s">
        <v>57</v>
      </c>
      <c r="AF148" s="7" t="s">
        <v>57</v>
      </c>
      <c r="AG148" s="7" t="s">
        <v>907</v>
      </c>
      <c r="AH148" s="7" t="n">
        <v>19450</v>
      </c>
      <c r="AI148" s="8" t="n">
        <f aca="false">(AH148/P148)*100</f>
        <v>8.77121777873983</v>
      </c>
      <c r="AJ148" s="7" t="s">
        <v>59</v>
      </c>
      <c r="AK148" s="7" t="s">
        <v>60</v>
      </c>
      <c r="AL148" s="7" t="s">
        <v>908</v>
      </c>
      <c r="AM148" s="7" t="n">
        <v>10719</v>
      </c>
      <c r="AN148" s="8" t="n">
        <f aca="false">(AM148/P148)*100</f>
        <v>4.83386546891066</v>
      </c>
      <c r="AO148" s="7" t="s">
        <v>196</v>
      </c>
      <c r="AP148" s="7" t="s">
        <v>196</v>
      </c>
      <c r="AQ148" s="7" t="s">
        <v>909</v>
      </c>
      <c r="AR148" s="7" t="n">
        <v>1259</v>
      </c>
      <c r="AS148" s="8" t="n">
        <f aca="false">(AR148/P148)*100</f>
        <v>0.56776160326136</v>
      </c>
    </row>
    <row r="149" customFormat="false" ht="12.8" hidden="false" customHeight="true" outlineLevel="0" collapsed="false">
      <c r="A149" s="6" t="n">
        <v>139</v>
      </c>
      <c r="B149" s="7" t="s">
        <v>910</v>
      </c>
      <c r="C149" s="7" t="s">
        <v>901</v>
      </c>
      <c r="D149" s="7" t="s">
        <v>902</v>
      </c>
      <c r="E149" s="7" t="s">
        <v>903</v>
      </c>
      <c r="F149" s="7" t="s">
        <v>49</v>
      </c>
      <c r="G149" s="7" t="s">
        <v>50</v>
      </c>
      <c r="H149" s="7" t="s">
        <v>525</v>
      </c>
      <c r="I149" s="7" t="s">
        <v>50</v>
      </c>
      <c r="J149" s="7" t="s">
        <v>50</v>
      </c>
      <c r="K149" s="7" t="s">
        <v>67</v>
      </c>
      <c r="L149" s="7" t="s">
        <v>50</v>
      </c>
      <c r="M149" s="7" t="s">
        <v>67</v>
      </c>
      <c r="N149" s="7" t="s">
        <v>125</v>
      </c>
      <c r="O149" s="7" t="n">
        <v>311716</v>
      </c>
      <c r="P149" s="7" t="n">
        <v>240240</v>
      </c>
      <c r="Q149" s="8" t="n">
        <f aca="false">(P149/O149)*100</f>
        <v>77.0701536013551</v>
      </c>
      <c r="R149" s="7" t="n">
        <f aca="false">X149-AC149</f>
        <v>19915</v>
      </c>
      <c r="S149" s="8" t="n">
        <f aca="false">(R149/P149)*100</f>
        <v>8.28962703962704</v>
      </c>
      <c r="T149" s="8" t="n">
        <f aca="false">Y149+AD149</f>
        <v>86.5355477855478</v>
      </c>
      <c r="U149" s="7" t="s">
        <v>51</v>
      </c>
      <c r="V149" s="7" t="s">
        <v>52</v>
      </c>
      <c r="W149" s="7" t="s">
        <v>911</v>
      </c>
      <c r="X149" s="7" t="n">
        <v>113904</v>
      </c>
      <c r="Y149" s="8" t="n">
        <f aca="false">(X149/P149)*100</f>
        <v>47.4125874125874</v>
      </c>
      <c r="Z149" s="7" t="s">
        <v>54</v>
      </c>
      <c r="AA149" s="7" t="s">
        <v>67</v>
      </c>
      <c r="AB149" s="7" t="s">
        <v>912</v>
      </c>
      <c r="AC149" s="7" t="n">
        <v>93989</v>
      </c>
      <c r="AD149" s="8" t="n">
        <f aca="false">(AC149/P149)*100</f>
        <v>39.1229603729604</v>
      </c>
      <c r="AE149" s="7" t="s">
        <v>57</v>
      </c>
      <c r="AF149" s="7" t="s">
        <v>57</v>
      </c>
      <c r="AG149" s="7" t="s">
        <v>913</v>
      </c>
      <c r="AH149" s="7" t="n">
        <v>17911</v>
      </c>
      <c r="AI149" s="8" t="n">
        <f aca="false">(AH149/P149)*100</f>
        <v>7.45546120546121</v>
      </c>
      <c r="AJ149" s="7" t="s">
        <v>196</v>
      </c>
      <c r="AK149" s="7" t="s">
        <v>196</v>
      </c>
      <c r="AL149" s="7" t="s">
        <v>914</v>
      </c>
      <c r="AM149" s="7" t="n">
        <v>4082</v>
      </c>
      <c r="AN149" s="8" t="n">
        <f aca="false">(AM149/P149)*100</f>
        <v>1.6991341991342</v>
      </c>
      <c r="AO149" s="7" t="s">
        <v>59</v>
      </c>
      <c r="AP149" s="7" t="s">
        <v>73</v>
      </c>
      <c r="AQ149" s="7" t="s">
        <v>915</v>
      </c>
      <c r="AR149" s="7" t="n">
        <v>3487</v>
      </c>
      <c r="AS149" s="8" t="n">
        <f aca="false">(AR149/P149)*100</f>
        <v>1.4514652014652</v>
      </c>
    </row>
    <row r="150" customFormat="false" ht="12.8" hidden="false" customHeight="true" outlineLevel="0" collapsed="false">
      <c r="A150" s="6" t="n">
        <v>140</v>
      </c>
      <c r="B150" s="7" t="s">
        <v>916</v>
      </c>
      <c r="C150" s="7" t="s">
        <v>901</v>
      </c>
      <c r="D150" s="7" t="s">
        <v>902</v>
      </c>
      <c r="E150" s="7" t="s">
        <v>903</v>
      </c>
      <c r="F150" s="7" t="s">
        <v>87</v>
      </c>
      <c r="G150" s="7" t="s">
        <v>50</v>
      </c>
      <c r="H150" s="7" t="s">
        <v>50</v>
      </c>
      <c r="I150" s="7" t="s">
        <v>50</v>
      </c>
      <c r="J150" s="7" t="s">
        <v>50</v>
      </c>
      <c r="K150" s="7" t="s">
        <v>50</v>
      </c>
      <c r="L150" s="7" t="s">
        <v>50</v>
      </c>
      <c r="M150" s="7" t="s">
        <v>50</v>
      </c>
      <c r="N150" s="7" t="s">
        <v>50</v>
      </c>
      <c r="O150" s="7" t="n">
        <v>269194</v>
      </c>
      <c r="P150" s="7" t="n">
        <v>183099</v>
      </c>
      <c r="Q150" s="8" t="n">
        <f aca="false">(P150/O150)*100</f>
        <v>68.0174892456741</v>
      </c>
      <c r="R150" s="7" t="n">
        <f aca="false">X150-AC150</f>
        <v>85109</v>
      </c>
      <c r="S150" s="8" t="n">
        <f aca="false">(R150/P150)*100</f>
        <v>46.482504000568</v>
      </c>
      <c r="T150" s="8" t="n">
        <f aca="false">Y150+AD150</f>
        <v>82.5547927623854</v>
      </c>
      <c r="U150" s="7" t="s">
        <v>51</v>
      </c>
      <c r="V150" s="7" t="s">
        <v>52</v>
      </c>
      <c r="W150" s="7" t="s">
        <v>917</v>
      </c>
      <c r="X150" s="7" t="n">
        <v>118133</v>
      </c>
      <c r="Y150" s="8" t="n">
        <f aca="false">(X150/P150)*100</f>
        <v>64.5186483814767</v>
      </c>
      <c r="Z150" s="7" t="s">
        <v>54</v>
      </c>
      <c r="AA150" s="7" t="s">
        <v>67</v>
      </c>
      <c r="AB150" s="7" t="s">
        <v>918</v>
      </c>
      <c r="AC150" s="7" t="n">
        <v>33024</v>
      </c>
      <c r="AD150" s="8" t="n">
        <f aca="false">(AC150/P150)*100</f>
        <v>18.0361443809087</v>
      </c>
      <c r="AE150" s="7" t="s">
        <v>57</v>
      </c>
      <c r="AF150" s="7" t="s">
        <v>57</v>
      </c>
      <c r="AG150" s="7" t="s">
        <v>919</v>
      </c>
      <c r="AH150" s="7" t="n">
        <v>15725</v>
      </c>
      <c r="AI150" s="8" t="n">
        <f aca="false">(AH150/P150)*100</f>
        <v>8.58825007236522</v>
      </c>
      <c r="AJ150" s="7" t="s">
        <v>70</v>
      </c>
      <c r="AK150" s="7" t="s">
        <v>71</v>
      </c>
      <c r="AL150" s="7" t="s">
        <v>920</v>
      </c>
      <c r="AM150" s="7" t="n">
        <v>10546</v>
      </c>
      <c r="AN150" s="8" t="n">
        <f aca="false">(AM150/P150)*100</f>
        <v>5.75972561291979</v>
      </c>
      <c r="AO150" s="7" t="s">
        <v>59</v>
      </c>
      <c r="AP150" s="25" t="s">
        <v>351</v>
      </c>
      <c r="AQ150" s="7" t="s">
        <v>921</v>
      </c>
      <c r="AR150" s="7" t="n">
        <v>2545</v>
      </c>
      <c r="AS150" s="8" t="n">
        <f aca="false">(AR150/P150)*100</f>
        <v>1.38995843778502</v>
      </c>
    </row>
    <row r="151" customFormat="false" ht="12.8" hidden="false" customHeight="true" outlineLevel="0" collapsed="false">
      <c r="A151" s="6" t="n">
        <v>141</v>
      </c>
      <c r="B151" s="7" t="s">
        <v>922</v>
      </c>
      <c r="C151" s="7" t="s">
        <v>901</v>
      </c>
      <c r="D151" s="7" t="s">
        <v>902</v>
      </c>
      <c r="E151" s="7" t="s">
        <v>903</v>
      </c>
      <c r="F151" s="7" t="s">
        <v>87</v>
      </c>
      <c r="G151" s="7" t="s">
        <v>50</v>
      </c>
      <c r="H151" s="7" t="s">
        <v>525</v>
      </c>
      <c r="I151" s="7" t="s">
        <v>50</v>
      </c>
      <c r="J151" s="7" t="s">
        <v>50</v>
      </c>
      <c r="K151" s="7" t="s">
        <v>50</v>
      </c>
      <c r="L151" s="7" t="s">
        <v>50</v>
      </c>
      <c r="M151" s="7" t="s">
        <v>52</v>
      </c>
      <c r="N151" s="7" t="s">
        <v>50</v>
      </c>
      <c r="O151" s="7" t="n">
        <v>255051</v>
      </c>
      <c r="P151" s="7" t="n">
        <v>172856</v>
      </c>
      <c r="Q151" s="8" t="n">
        <f aca="false">(P151/O151)*100</f>
        <v>67.7731120442578</v>
      </c>
      <c r="R151" s="7" t="n">
        <f aca="false">X151-AC151</f>
        <v>53797</v>
      </c>
      <c r="S151" s="8" t="n">
        <f aca="false">(R151/P151)*100</f>
        <v>31.1224371731383</v>
      </c>
      <c r="T151" s="8" t="n">
        <f aca="false">Y151+AD151</f>
        <v>77.9880362845374</v>
      </c>
      <c r="U151" s="7" t="s">
        <v>51</v>
      </c>
      <c r="V151" s="7" t="s">
        <v>52</v>
      </c>
      <c r="W151" s="7" t="s">
        <v>923</v>
      </c>
      <c r="X151" s="7" t="n">
        <v>94302</v>
      </c>
      <c r="Y151" s="8" t="n">
        <f aca="false">(X151/P151)*100</f>
        <v>54.5552367288379</v>
      </c>
      <c r="Z151" s="7" t="s">
        <v>54</v>
      </c>
      <c r="AA151" s="7" t="s">
        <v>67</v>
      </c>
      <c r="AB151" s="7" t="s">
        <v>924</v>
      </c>
      <c r="AC151" s="7" t="n">
        <v>40505</v>
      </c>
      <c r="AD151" s="8" t="n">
        <f aca="false">(AC151/P151)*100</f>
        <v>23.4327995556995</v>
      </c>
      <c r="AE151" s="7" t="s">
        <v>57</v>
      </c>
      <c r="AF151" s="7" t="s">
        <v>57</v>
      </c>
      <c r="AG151" s="7" t="s">
        <v>925</v>
      </c>
      <c r="AH151" s="7" t="n">
        <v>14312</v>
      </c>
      <c r="AI151" s="8" t="n">
        <f aca="false">(AH151/P151)*100</f>
        <v>8.27972416346554</v>
      </c>
      <c r="AJ151" s="7" t="s">
        <v>70</v>
      </c>
      <c r="AK151" s="7" t="s">
        <v>71</v>
      </c>
      <c r="AL151" s="7" t="s">
        <v>926</v>
      </c>
      <c r="AM151" s="7" t="n">
        <v>11396</v>
      </c>
      <c r="AN151" s="8" t="n">
        <f aca="false">(AM151/P151)*100</f>
        <v>6.59277086129495</v>
      </c>
      <c r="AO151" s="7" t="s">
        <v>59</v>
      </c>
      <c r="AP151" s="7" t="s">
        <v>73</v>
      </c>
      <c r="AQ151" s="7" t="s">
        <v>927</v>
      </c>
      <c r="AR151" s="7" t="n">
        <v>9089</v>
      </c>
      <c r="AS151" s="8" t="n">
        <f aca="false">(AR151/P151)*100</f>
        <v>5.25813393807562</v>
      </c>
    </row>
    <row r="152" customFormat="false" ht="12.8" hidden="false" customHeight="true" outlineLevel="0" collapsed="false">
      <c r="A152" s="6" t="n">
        <v>142</v>
      </c>
      <c r="B152" s="7" t="s">
        <v>928</v>
      </c>
      <c r="C152" s="7" t="s">
        <v>901</v>
      </c>
      <c r="D152" s="7" t="s">
        <v>902</v>
      </c>
      <c r="E152" s="7" t="s">
        <v>903</v>
      </c>
      <c r="F152" s="7" t="s">
        <v>76</v>
      </c>
      <c r="G152" s="7" t="s">
        <v>50</v>
      </c>
      <c r="H152" s="7" t="s">
        <v>525</v>
      </c>
      <c r="I152" s="7" t="s">
        <v>50</v>
      </c>
      <c r="J152" s="7" t="s">
        <v>50</v>
      </c>
      <c r="K152" s="7" t="s">
        <v>50</v>
      </c>
      <c r="L152" s="7" t="s">
        <v>50</v>
      </c>
      <c r="M152" s="7" t="s">
        <v>50</v>
      </c>
      <c r="N152" s="7" t="s">
        <v>50</v>
      </c>
      <c r="O152" s="7" t="n">
        <v>293196</v>
      </c>
      <c r="P152" s="7" t="n">
        <v>197013</v>
      </c>
      <c r="Q152" s="8" t="n">
        <f aca="false">(P152/O152)*100</f>
        <v>67.19498219621</v>
      </c>
      <c r="R152" s="7" t="n">
        <f aca="false">X152-AC152</f>
        <v>49697</v>
      </c>
      <c r="S152" s="8" t="n">
        <f aca="false">(R152/P152)*100</f>
        <v>25.225238943623</v>
      </c>
      <c r="T152" s="8" t="n">
        <f aca="false">Y152+AD152</f>
        <v>81.7971402902347</v>
      </c>
      <c r="U152" s="7" t="s">
        <v>51</v>
      </c>
      <c r="V152" s="7" t="s">
        <v>52</v>
      </c>
      <c r="W152" s="7" t="s">
        <v>929</v>
      </c>
      <c r="X152" s="7" t="n">
        <v>105424</v>
      </c>
      <c r="Y152" s="8" t="n">
        <f aca="false">(X152/P152)*100</f>
        <v>53.5111896169288</v>
      </c>
      <c r="Z152" s="7" t="s">
        <v>54</v>
      </c>
      <c r="AA152" s="7" t="s">
        <v>67</v>
      </c>
      <c r="AB152" s="7" t="s">
        <v>930</v>
      </c>
      <c r="AC152" s="7" t="n">
        <v>55727</v>
      </c>
      <c r="AD152" s="8" t="n">
        <f aca="false">(AC152/P152)*100</f>
        <v>28.2859506733058</v>
      </c>
      <c r="AE152" s="7" t="s">
        <v>57</v>
      </c>
      <c r="AF152" s="7" t="s">
        <v>57</v>
      </c>
      <c r="AG152" s="7" t="s">
        <v>931</v>
      </c>
      <c r="AH152" s="7" t="n">
        <v>15719</v>
      </c>
      <c r="AI152" s="8" t="n">
        <f aca="false">(AH152/P152)*100</f>
        <v>7.97866130661429</v>
      </c>
      <c r="AJ152" s="7" t="s">
        <v>70</v>
      </c>
      <c r="AK152" s="7" t="s">
        <v>71</v>
      </c>
      <c r="AL152" s="7" t="s">
        <v>932</v>
      </c>
      <c r="AM152" s="7" t="n">
        <v>14678</v>
      </c>
      <c r="AN152" s="8" t="n">
        <f aca="false">(AM152/P152)*100</f>
        <v>7.45026977915163</v>
      </c>
      <c r="AO152" s="7" t="s">
        <v>59</v>
      </c>
      <c r="AP152" s="7" t="s">
        <v>60</v>
      </c>
      <c r="AQ152" s="7" t="s">
        <v>933</v>
      </c>
      <c r="AR152" s="7" t="n">
        <v>2293</v>
      </c>
      <c r="AS152" s="8" t="n">
        <f aca="false">(AR152/P152)*100</f>
        <v>1.16388258642831</v>
      </c>
    </row>
    <row r="153" customFormat="false" ht="12.8" hidden="false" customHeight="true" outlineLevel="0" collapsed="false">
      <c r="A153" s="6" t="n">
        <v>143</v>
      </c>
      <c r="B153" s="7" t="s">
        <v>934</v>
      </c>
      <c r="C153" s="7" t="s">
        <v>901</v>
      </c>
      <c r="D153" s="7" t="s">
        <v>902</v>
      </c>
      <c r="E153" s="7" t="s">
        <v>903</v>
      </c>
      <c r="F153" s="7" t="s">
        <v>49</v>
      </c>
      <c r="G153" s="7" t="s">
        <v>50</v>
      </c>
      <c r="H153" s="7" t="s">
        <v>50</v>
      </c>
      <c r="I153" s="7" t="s">
        <v>50</v>
      </c>
      <c r="J153" s="7" t="s">
        <v>52</v>
      </c>
      <c r="K153" s="7" t="s">
        <v>50</v>
      </c>
      <c r="L153" s="7" t="s">
        <v>52</v>
      </c>
      <c r="M153" s="7" t="s">
        <v>50</v>
      </c>
      <c r="N153" s="7" t="s">
        <v>50</v>
      </c>
      <c r="O153" s="7" t="n">
        <v>218131</v>
      </c>
      <c r="P153" s="7" t="n">
        <v>174574</v>
      </c>
      <c r="Q153" s="8" t="n">
        <f aca="false">(P153/O153)*100</f>
        <v>80.031724055728</v>
      </c>
      <c r="R153" s="7" t="n">
        <f aca="false">X153-AC153</f>
        <v>16949</v>
      </c>
      <c r="S153" s="8" t="n">
        <f aca="false">(R153/P153)*100</f>
        <v>9.70877679379518</v>
      </c>
      <c r="T153" s="8" t="n">
        <f aca="false">Y153+AD153</f>
        <v>87.572605313506</v>
      </c>
      <c r="U153" s="7" t="s">
        <v>51</v>
      </c>
      <c r="V153" s="7" t="s">
        <v>52</v>
      </c>
      <c r="W153" s="7" t="s">
        <v>935</v>
      </c>
      <c r="X153" s="7" t="n">
        <v>84914</v>
      </c>
      <c r="Y153" s="8" t="n">
        <f aca="false">(X153/P153)*100</f>
        <v>48.6406910536506</v>
      </c>
      <c r="Z153" s="7" t="s">
        <v>54</v>
      </c>
      <c r="AA153" s="7" t="s">
        <v>67</v>
      </c>
      <c r="AB153" s="7" t="s">
        <v>936</v>
      </c>
      <c r="AC153" s="7" t="n">
        <v>67965</v>
      </c>
      <c r="AD153" s="8" t="n">
        <f aca="false">(AC153/P153)*100</f>
        <v>38.9319142598554</v>
      </c>
      <c r="AE153" s="7" t="s">
        <v>57</v>
      </c>
      <c r="AF153" s="7" t="s">
        <v>57</v>
      </c>
      <c r="AG153" s="7" t="s">
        <v>937</v>
      </c>
      <c r="AH153" s="7" t="n">
        <v>16248</v>
      </c>
      <c r="AI153" s="8" t="n">
        <f aca="false">(AH153/P153)*100</f>
        <v>9.30722788044039</v>
      </c>
      <c r="AJ153" s="7" t="s">
        <v>59</v>
      </c>
      <c r="AK153" s="7" t="s">
        <v>73</v>
      </c>
      <c r="AL153" s="7" t="s">
        <v>938</v>
      </c>
      <c r="AM153" s="7" t="n">
        <v>2941</v>
      </c>
      <c r="AN153" s="8" t="n">
        <f aca="false">(AM153/P153)*100</f>
        <v>1.68467240253417</v>
      </c>
      <c r="AO153" s="7" t="s">
        <v>62</v>
      </c>
      <c r="AP153" s="7" t="s">
        <v>62</v>
      </c>
      <c r="AQ153" s="7" t="s">
        <v>62</v>
      </c>
      <c r="AR153" s="7" t="n">
        <v>1200</v>
      </c>
      <c r="AS153" s="8" t="n">
        <f aca="false">(AR153/P153)*100</f>
        <v>0.68738758348895</v>
      </c>
    </row>
    <row r="154" customFormat="false" ht="12.8" hidden="false" customHeight="true" outlineLevel="0" collapsed="false">
      <c r="A154" s="6" t="n">
        <v>144</v>
      </c>
      <c r="B154" s="7" t="s">
        <v>939</v>
      </c>
      <c r="C154" s="7" t="s">
        <v>901</v>
      </c>
      <c r="D154" s="7" t="s">
        <v>902</v>
      </c>
      <c r="E154" s="7" t="s">
        <v>903</v>
      </c>
      <c r="F154" s="7" t="s">
        <v>49</v>
      </c>
      <c r="G154" s="7" t="s">
        <v>50</v>
      </c>
      <c r="H154" s="7" t="s">
        <v>50</v>
      </c>
      <c r="I154" s="7" t="s">
        <v>50</v>
      </c>
      <c r="J154" s="7" t="s">
        <v>50</v>
      </c>
      <c r="K154" s="7" t="s">
        <v>50</v>
      </c>
      <c r="L154" s="7" t="s">
        <v>50</v>
      </c>
      <c r="M154" s="7" t="s">
        <v>50</v>
      </c>
      <c r="N154" s="7" t="s">
        <v>50</v>
      </c>
      <c r="O154" s="7" t="n">
        <v>244202</v>
      </c>
      <c r="P154" s="7" t="n">
        <v>176719</v>
      </c>
      <c r="Q154" s="8" t="n">
        <f aca="false">(P154/O154)*100</f>
        <v>72.3659101891058</v>
      </c>
      <c r="R154" s="7" t="n">
        <f aca="false">X154-AC154</f>
        <v>59618</v>
      </c>
      <c r="S154" s="8" t="n">
        <f aca="false">(R154/P154)*100</f>
        <v>33.7360442284078</v>
      </c>
      <c r="T154" s="8" t="n">
        <f aca="false">Y154+AD154</f>
        <v>97.9238225657683</v>
      </c>
      <c r="U154" s="7" t="s">
        <v>51</v>
      </c>
      <c r="V154" s="7" t="s">
        <v>52</v>
      </c>
      <c r="W154" s="7" t="s">
        <v>940</v>
      </c>
      <c r="X154" s="7" t="n">
        <v>116334</v>
      </c>
      <c r="Y154" s="8" t="n">
        <f aca="false">(X154/P154)*100</f>
        <v>65.829933397088</v>
      </c>
      <c r="Z154" s="7" t="s">
        <v>54</v>
      </c>
      <c r="AA154" s="7" t="s">
        <v>67</v>
      </c>
      <c r="AB154" s="7" t="s">
        <v>941</v>
      </c>
      <c r="AC154" s="7" t="n">
        <v>56716</v>
      </c>
      <c r="AD154" s="8" t="n">
        <f aca="false">(AC154/P154)*100</f>
        <v>32.0938891686802</v>
      </c>
      <c r="AE154" s="7" t="s">
        <v>57</v>
      </c>
      <c r="AF154" s="7" t="s">
        <v>57</v>
      </c>
      <c r="AG154" s="7" t="s">
        <v>942</v>
      </c>
      <c r="AH154" s="7" t="n">
        <v>14443</v>
      </c>
      <c r="AI154" s="8" t="n">
        <f aca="false">(AH154/P154)*100</f>
        <v>8.17286200125623</v>
      </c>
      <c r="AJ154" s="7" t="s">
        <v>70</v>
      </c>
      <c r="AK154" s="7" t="s">
        <v>71</v>
      </c>
      <c r="AL154" s="7" t="s">
        <v>943</v>
      </c>
      <c r="AM154" s="7" t="n">
        <v>1996</v>
      </c>
      <c r="AN154" s="8" t="n">
        <f aca="false">(AM154/P154)*100</f>
        <v>1.12947673990912</v>
      </c>
      <c r="AO154" s="7" t="s">
        <v>59</v>
      </c>
      <c r="AP154" s="7" t="s">
        <v>73</v>
      </c>
      <c r="AQ154" s="7" t="s">
        <v>944</v>
      </c>
      <c r="AR154" s="7" t="n">
        <v>1631</v>
      </c>
      <c r="AS154" s="8" t="n">
        <f aca="false">(AR154/P154)*100</f>
        <v>0.922934149695279</v>
      </c>
    </row>
    <row r="155" customFormat="false" ht="12.8" hidden="false" customHeight="true" outlineLevel="0" collapsed="false">
      <c r="A155" s="6" t="n">
        <v>145</v>
      </c>
      <c r="B155" s="7" t="s">
        <v>945</v>
      </c>
      <c r="C155" s="7" t="s">
        <v>901</v>
      </c>
      <c r="D155" s="7" t="s">
        <v>902</v>
      </c>
      <c r="E155" s="7" t="s">
        <v>903</v>
      </c>
      <c r="F155" s="7" t="s">
        <v>49</v>
      </c>
      <c r="G155" s="7" t="s">
        <v>50</v>
      </c>
      <c r="H155" s="7" t="s">
        <v>50</v>
      </c>
      <c r="I155" s="7" t="s">
        <v>50</v>
      </c>
      <c r="J155" s="7" t="s">
        <v>50</v>
      </c>
      <c r="K155" s="7" t="s">
        <v>50</v>
      </c>
      <c r="L155" s="7" t="s">
        <v>50</v>
      </c>
      <c r="M155" s="7" t="s">
        <v>67</v>
      </c>
      <c r="N155" s="7" t="s">
        <v>50</v>
      </c>
      <c r="O155" s="7" t="n">
        <v>232654</v>
      </c>
      <c r="P155" s="7" t="n">
        <v>179706</v>
      </c>
      <c r="Q155" s="8" t="n">
        <f aca="false">(P155/O155)*100</f>
        <v>77.2417409543786</v>
      </c>
      <c r="R155" s="7" t="n">
        <f aca="false">X155-AC155</f>
        <v>26836</v>
      </c>
      <c r="S155" s="8" t="n">
        <f aca="false">(R155/P155)*100</f>
        <v>14.9332799127464</v>
      </c>
      <c r="T155" s="8" t="n">
        <f aca="false">Y155+AD155</f>
        <v>85.9247882652777</v>
      </c>
      <c r="U155" s="7" t="s">
        <v>51</v>
      </c>
      <c r="V155" s="7" t="s">
        <v>52</v>
      </c>
      <c r="W155" s="7" t="s">
        <v>946</v>
      </c>
      <c r="X155" s="7" t="n">
        <v>90624</v>
      </c>
      <c r="Y155" s="8" t="n">
        <f aca="false">(X155/P155)*100</f>
        <v>50.4290340890121</v>
      </c>
      <c r="Z155" s="7" t="s">
        <v>54</v>
      </c>
      <c r="AA155" s="7" t="s">
        <v>67</v>
      </c>
      <c r="AB155" s="7" t="s">
        <v>947</v>
      </c>
      <c r="AC155" s="7" t="n">
        <v>63788</v>
      </c>
      <c r="AD155" s="8" t="n">
        <f aca="false">(AC155/P155)*100</f>
        <v>35.4957541762657</v>
      </c>
      <c r="AE155" s="7" t="s">
        <v>57</v>
      </c>
      <c r="AF155" s="7" t="s">
        <v>57</v>
      </c>
      <c r="AG155" s="7" t="s">
        <v>948</v>
      </c>
      <c r="AH155" s="7" t="n">
        <v>14311</v>
      </c>
      <c r="AI155" s="8" t="n">
        <f aca="false">(AH155/P155)*100</f>
        <v>7.96356270797859</v>
      </c>
      <c r="AJ155" s="7" t="s">
        <v>59</v>
      </c>
      <c r="AK155" s="7" t="s">
        <v>60</v>
      </c>
      <c r="AL155" s="7" t="s">
        <v>949</v>
      </c>
      <c r="AM155" s="7" t="n">
        <v>3182</v>
      </c>
      <c r="AN155" s="8" t="n">
        <f aca="false">(AM155/P155)*100</f>
        <v>1.77066987190188</v>
      </c>
      <c r="AO155" s="7" t="s">
        <v>70</v>
      </c>
      <c r="AP155" s="7" t="s">
        <v>71</v>
      </c>
      <c r="AQ155" s="7" t="s">
        <v>950</v>
      </c>
      <c r="AR155" s="7" t="n">
        <v>2499</v>
      </c>
      <c r="AS155" s="8" t="n">
        <f aca="false">(AR155/P155)*100</f>
        <v>1.39060465426864</v>
      </c>
    </row>
    <row r="156" customFormat="false" ht="12.8" hidden="false" customHeight="true" outlineLevel="0" collapsed="false">
      <c r="A156" s="6" t="n">
        <v>146</v>
      </c>
      <c r="B156" s="7" t="s">
        <v>951</v>
      </c>
      <c r="C156" s="7" t="s">
        <v>901</v>
      </c>
      <c r="D156" s="7" t="s">
        <v>902</v>
      </c>
      <c r="E156" s="7" t="s">
        <v>903</v>
      </c>
      <c r="F156" s="7" t="s">
        <v>76</v>
      </c>
      <c r="G156" s="7" t="s">
        <v>64</v>
      </c>
      <c r="H156" s="7" t="s">
        <v>525</v>
      </c>
      <c r="I156" s="7" t="s">
        <v>50</v>
      </c>
      <c r="J156" s="7" t="s">
        <v>50</v>
      </c>
      <c r="K156" s="7" t="s">
        <v>50</v>
      </c>
      <c r="L156" s="7" t="s">
        <v>50</v>
      </c>
      <c r="M156" s="7" t="s">
        <v>50</v>
      </c>
      <c r="N156" s="7" t="s">
        <v>50</v>
      </c>
      <c r="O156" s="7" t="n">
        <v>226152</v>
      </c>
      <c r="P156" s="7" t="n">
        <v>175876</v>
      </c>
      <c r="Q156" s="8" t="n">
        <f aca="false">(P156/O156)*100</f>
        <v>77.7689341681701</v>
      </c>
      <c r="R156" s="7" t="n">
        <f aca="false">X156-AC156</f>
        <v>22071</v>
      </c>
      <c r="S156" s="8" t="n">
        <f aca="false">(R156/P156)*100</f>
        <v>12.5491823784939</v>
      </c>
      <c r="T156" s="8" t="n">
        <f aca="false">Y156+AD156</f>
        <v>87.2779685687644</v>
      </c>
      <c r="U156" s="7" t="s">
        <v>51</v>
      </c>
      <c r="V156" s="7" t="s">
        <v>52</v>
      </c>
      <c r="W156" s="7" t="s">
        <v>952</v>
      </c>
      <c r="X156" s="7" t="n">
        <v>87786</v>
      </c>
      <c r="Y156" s="8" t="n">
        <f aca="false">(X156/P156)*100</f>
        <v>49.9135754736291</v>
      </c>
      <c r="Z156" s="7" t="s">
        <v>54</v>
      </c>
      <c r="AA156" s="7" t="s">
        <v>67</v>
      </c>
      <c r="AB156" s="7" t="s">
        <v>953</v>
      </c>
      <c r="AC156" s="7" t="n">
        <v>65715</v>
      </c>
      <c r="AD156" s="8" t="n">
        <f aca="false">(AC156/P156)*100</f>
        <v>37.3643930951352</v>
      </c>
      <c r="AE156" s="7" t="s">
        <v>57</v>
      </c>
      <c r="AF156" s="7" t="s">
        <v>57</v>
      </c>
      <c r="AG156" s="7" t="s">
        <v>954</v>
      </c>
      <c r="AH156" s="7" t="n">
        <v>13158</v>
      </c>
      <c r="AI156" s="8" t="n">
        <f aca="false">(AH156/P156)*100</f>
        <v>7.48140735518206</v>
      </c>
      <c r="AJ156" s="7" t="s">
        <v>70</v>
      </c>
      <c r="AK156" s="7" t="s">
        <v>71</v>
      </c>
      <c r="AL156" s="7" t="s">
        <v>955</v>
      </c>
      <c r="AM156" s="7" t="n">
        <v>2528</v>
      </c>
      <c r="AN156" s="8" t="n">
        <f aca="false">(AM156/P156)*100</f>
        <v>1.43737633332575</v>
      </c>
      <c r="AO156" s="7" t="s">
        <v>59</v>
      </c>
      <c r="AP156" s="7" t="s">
        <v>73</v>
      </c>
      <c r="AQ156" s="7" t="s">
        <v>956</v>
      </c>
      <c r="AR156" s="7" t="n">
        <v>2435</v>
      </c>
      <c r="AS156" s="8" t="n">
        <f aca="false">(AR156/P156)*100</f>
        <v>1.38449816916464</v>
      </c>
    </row>
    <row r="157" customFormat="false" ht="12.8" hidden="false" customHeight="true" outlineLevel="0" collapsed="false">
      <c r="A157" s="6" t="n">
        <v>147</v>
      </c>
      <c r="B157" s="7" t="s">
        <v>957</v>
      </c>
      <c r="C157" s="7" t="s">
        <v>957</v>
      </c>
      <c r="D157" s="7" t="s">
        <v>902</v>
      </c>
      <c r="E157" s="7" t="s">
        <v>903</v>
      </c>
      <c r="F157" s="7" t="s">
        <v>76</v>
      </c>
      <c r="G157" s="7" t="s">
        <v>64</v>
      </c>
      <c r="H157" s="7" t="s">
        <v>50</v>
      </c>
      <c r="I157" s="7" t="s">
        <v>50</v>
      </c>
      <c r="J157" s="7" t="s">
        <v>50</v>
      </c>
      <c r="K157" s="7" t="s">
        <v>50</v>
      </c>
      <c r="L157" s="7" t="s">
        <v>50</v>
      </c>
      <c r="M157" s="7" t="s">
        <v>50</v>
      </c>
      <c r="N157" s="7" t="s">
        <v>50</v>
      </c>
      <c r="O157" s="7" t="n">
        <v>302758</v>
      </c>
      <c r="P157" s="7" t="n">
        <v>240026</v>
      </c>
      <c r="Q157" s="8" t="n">
        <f aca="false">(P157/O157)*100</f>
        <v>79.2798208470131</v>
      </c>
      <c r="R157" s="7" t="n">
        <f aca="false">X157-AC157</f>
        <v>31034</v>
      </c>
      <c r="S157" s="8" t="n">
        <f aca="false">(R157/P157)*100</f>
        <v>12.9294326447968</v>
      </c>
      <c r="T157" s="8" t="n">
        <f aca="false">Y157+AD157</f>
        <v>88.8012132019031</v>
      </c>
      <c r="U157" s="7" t="s">
        <v>51</v>
      </c>
      <c r="V157" s="7" t="s">
        <v>52</v>
      </c>
      <c r="W157" s="7" t="s">
        <v>958</v>
      </c>
      <c r="X157" s="7" t="n">
        <v>122090</v>
      </c>
      <c r="Y157" s="8" t="n">
        <f aca="false">(X157/P157)*100</f>
        <v>50.86532292335</v>
      </c>
      <c r="Z157" s="7" t="s">
        <v>54</v>
      </c>
      <c r="AA157" s="7" t="s">
        <v>67</v>
      </c>
      <c r="AB157" s="7" t="s">
        <v>959</v>
      </c>
      <c r="AC157" s="7" t="n">
        <v>91056</v>
      </c>
      <c r="AD157" s="8" t="n">
        <f aca="false">(AC157/P157)*100</f>
        <v>37.9358902785532</v>
      </c>
      <c r="AE157" s="7" t="s">
        <v>57</v>
      </c>
      <c r="AF157" s="7" t="s">
        <v>57</v>
      </c>
      <c r="AG157" s="7" t="s">
        <v>960</v>
      </c>
      <c r="AH157" s="7" t="n">
        <v>18673</v>
      </c>
      <c r="AI157" s="8" t="n">
        <f aca="false">(AH157/P157)*100</f>
        <v>7.77957387949639</v>
      </c>
      <c r="AJ157" s="7" t="s">
        <v>59</v>
      </c>
      <c r="AK157" s="7" t="s">
        <v>60</v>
      </c>
      <c r="AL157" s="7" t="s">
        <v>961</v>
      </c>
      <c r="AM157" s="7" t="n">
        <v>2932</v>
      </c>
      <c r="AN157" s="8" t="n">
        <f aca="false">(AM157/P157)*100</f>
        <v>1.22153433378051</v>
      </c>
      <c r="AO157" s="7" t="s">
        <v>62</v>
      </c>
      <c r="AP157" s="7" t="s">
        <v>62</v>
      </c>
      <c r="AQ157" s="7" t="s">
        <v>62</v>
      </c>
      <c r="AR157" s="7" t="n">
        <v>1884</v>
      </c>
      <c r="AS157" s="8" t="n">
        <f aca="false">(AR157/P157)*100</f>
        <v>0.784914967545183</v>
      </c>
    </row>
    <row r="158" customFormat="false" ht="12.8" hidden="false" customHeight="true" outlineLevel="0" collapsed="false">
      <c r="A158" s="6" t="n">
        <v>148</v>
      </c>
      <c r="B158" s="7" t="s">
        <v>962</v>
      </c>
      <c r="C158" s="7" t="s">
        <v>957</v>
      </c>
      <c r="D158" s="7" t="s">
        <v>902</v>
      </c>
      <c r="E158" s="7" t="s">
        <v>903</v>
      </c>
      <c r="F158" s="7" t="s">
        <v>49</v>
      </c>
      <c r="G158" s="7" t="s">
        <v>50</v>
      </c>
      <c r="H158" s="7" t="s">
        <v>50</v>
      </c>
      <c r="I158" s="7" t="s">
        <v>50</v>
      </c>
      <c r="J158" s="7" t="s">
        <v>50</v>
      </c>
      <c r="K158" s="7" t="s">
        <v>50</v>
      </c>
      <c r="L158" s="7" t="s">
        <v>50</v>
      </c>
      <c r="M158" s="7" t="s">
        <v>50</v>
      </c>
      <c r="N158" s="7" t="s">
        <v>50</v>
      </c>
      <c r="O158" s="7" t="n">
        <v>273526</v>
      </c>
      <c r="P158" s="7" t="n">
        <v>219879</v>
      </c>
      <c r="Q158" s="8" t="n">
        <f aca="false">(P158/O158)*100</f>
        <v>80.386873642725</v>
      </c>
      <c r="R158" s="7" t="n">
        <f aca="false">X158-AC158</f>
        <v>6329</v>
      </c>
      <c r="S158" s="8" t="n">
        <f aca="false">(R158/P158)*100</f>
        <v>2.87840130253458</v>
      </c>
      <c r="T158" s="8" t="n">
        <f aca="false">Y158+AD158</f>
        <v>91.6481337462877</v>
      </c>
      <c r="U158" s="7" t="s">
        <v>51</v>
      </c>
      <c r="V158" s="7" t="s">
        <v>52</v>
      </c>
      <c r="W158" s="7" t="s">
        <v>963</v>
      </c>
      <c r="X158" s="7" t="n">
        <v>103922</v>
      </c>
      <c r="Y158" s="8" t="n">
        <f aca="false">(X158/P158)*100</f>
        <v>47.2632675244112</v>
      </c>
      <c r="Z158" s="7" t="s">
        <v>54</v>
      </c>
      <c r="AA158" s="7" t="s">
        <v>67</v>
      </c>
      <c r="AB158" s="7" t="s">
        <v>964</v>
      </c>
      <c r="AC158" s="7" t="n">
        <v>97593</v>
      </c>
      <c r="AD158" s="8" t="n">
        <f aca="false">(AC158/P158)*100</f>
        <v>44.3848662218766</v>
      </c>
      <c r="AE158" s="7" t="s">
        <v>57</v>
      </c>
      <c r="AF158" s="7" t="s">
        <v>57</v>
      </c>
      <c r="AG158" s="7" t="s">
        <v>523</v>
      </c>
      <c r="AH158" s="7" t="n">
        <v>9354</v>
      </c>
      <c r="AI158" s="8" t="n">
        <f aca="false">(AH158/P158)*100</f>
        <v>4.25415796870097</v>
      </c>
      <c r="AJ158" s="7" t="s">
        <v>59</v>
      </c>
      <c r="AK158" s="7" t="s">
        <v>73</v>
      </c>
      <c r="AL158" s="7" t="s">
        <v>965</v>
      </c>
      <c r="AM158" s="7" t="n">
        <v>2118</v>
      </c>
      <c r="AN158" s="8" t="n">
        <f aca="false">(AM158/P158)*100</f>
        <v>0.963257064112535</v>
      </c>
      <c r="AO158" s="7" t="s">
        <v>196</v>
      </c>
      <c r="AP158" s="7" t="s">
        <v>196</v>
      </c>
      <c r="AQ158" s="7" t="s">
        <v>966</v>
      </c>
      <c r="AR158" s="7" t="n">
        <v>977</v>
      </c>
      <c r="AS158" s="8" t="n">
        <f aca="false">(AR158/P158)*100</f>
        <v>0.444335293502335</v>
      </c>
    </row>
    <row r="159" customFormat="false" ht="12.8" hidden="false" customHeight="true" outlineLevel="0" collapsed="false">
      <c r="A159" s="6" t="n">
        <v>149</v>
      </c>
      <c r="B159" s="7" t="s">
        <v>967</v>
      </c>
      <c r="C159" s="7" t="s">
        <v>967</v>
      </c>
      <c r="D159" s="7" t="s">
        <v>902</v>
      </c>
      <c r="E159" s="7" t="s">
        <v>903</v>
      </c>
      <c r="F159" s="7" t="s">
        <v>76</v>
      </c>
      <c r="G159" s="7" t="s">
        <v>50</v>
      </c>
      <c r="H159" s="7" t="s">
        <v>50</v>
      </c>
      <c r="I159" s="7" t="s">
        <v>50</v>
      </c>
      <c r="J159" s="7" t="s">
        <v>50</v>
      </c>
      <c r="K159" s="7" t="s">
        <v>50</v>
      </c>
      <c r="L159" s="7" t="s">
        <v>50</v>
      </c>
      <c r="M159" s="7" t="s">
        <v>50</v>
      </c>
      <c r="N159" s="7" t="s">
        <v>50</v>
      </c>
      <c r="O159" s="7" t="n">
        <v>264971</v>
      </c>
      <c r="P159" s="7" t="n">
        <v>225225</v>
      </c>
      <c r="Q159" s="8" t="n">
        <f aca="false">(P159/O159)*100</f>
        <v>84.9998679100732</v>
      </c>
      <c r="R159" s="7" t="n">
        <f aca="false">X159-AC159</f>
        <v>3234</v>
      </c>
      <c r="S159" s="8" t="n">
        <f aca="false">(R159/P159)*100</f>
        <v>1.43589743589744</v>
      </c>
      <c r="T159" s="8" t="n">
        <f aca="false">Y159+AD159</f>
        <v>90.8939948939949</v>
      </c>
      <c r="U159" s="7" t="s">
        <v>51</v>
      </c>
      <c r="V159" s="7" t="s">
        <v>270</v>
      </c>
      <c r="W159" s="7" t="s">
        <v>968</v>
      </c>
      <c r="X159" s="7" t="n">
        <v>103975</v>
      </c>
      <c r="Y159" s="8" t="n">
        <f aca="false">(X159/P159)*100</f>
        <v>46.1649461649462</v>
      </c>
      <c r="Z159" s="7" t="s">
        <v>54</v>
      </c>
      <c r="AA159" s="7" t="s">
        <v>67</v>
      </c>
      <c r="AB159" s="7" t="s">
        <v>969</v>
      </c>
      <c r="AC159" s="7" t="n">
        <v>100741</v>
      </c>
      <c r="AD159" s="8" t="n">
        <f aca="false">(AC159/P159)*100</f>
        <v>44.7290487290487</v>
      </c>
      <c r="AE159" s="7" t="s">
        <v>57</v>
      </c>
      <c r="AF159" s="7" t="s">
        <v>57</v>
      </c>
      <c r="AG159" s="7" t="s">
        <v>970</v>
      </c>
      <c r="AH159" s="7" t="n">
        <v>12346</v>
      </c>
      <c r="AI159" s="8" t="n">
        <f aca="false">(AH159/P159)*100</f>
        <v>5.48162948162948</v>
      </c>
      <c r="AJ159" s="7" t="s">
        <v>59</v>
      </c>
      <c r="AK159" s="7" t="s">
        <v>73</v>
      </c>
      <c r="AL159" s="7" t="s">
        <v>971</v>
      </c>
      <c r="AM159" s="7" t="n">
        <v>2044</v>
      </c>
      <c r="AN159" s="8" t="n">
        <f aca="false">(AM159/P159)*100</f>
        <v>0.907536907536908</v>
      </c>
      <c r="AO159" s="7" t="s">
        <v>62</v>
      </c>
      <c r="AP159" s="7" t="s">
        <v>62</v>
      </c>
      <c r="AQ159" s="7" t="s">
        <v>62</v>
      </c>
      <c r="AR159" s="7" t="n">
        <v>1389</v>
      </c>
      <c r="AS159" s="8" t="n">
        <f aca="false">(AR159/P159)*100</f>
        <v>0.616716616716617</v>
      </c>
    </row>
    <row r="160" customFormat="false" ht="12.8" hidden="false" customHeight="true" outlineLevel="0" collapsed="false">
      <c r="A160" s="6" t="n">
        <v>150</v>
      </c>
      <c r="B160" s="7" t="s">
        <v>972</v>
      </c>
      <c r="C160" s="7" t="s">
        <v>967</v>
      </c>
      <c r="D160" s="7" t="s">
        <v>902</v>
      </c>
      <c r="E160" s="7" t="s">
        <v>903</v>
      </c>
      <c r="F160" s="7" t="s">
        <v>76</v>
      </c>
      <c r="G160" s="7" t="s">
        <v>50</v>
      </c>
      <c r="H160" s="7" t="s">
        <v>50</v>
      </c>
      <c r="I160" s="7" t="s">
        <v>50</v>
      </c>
      <c r="J160" s="7" t="s">
        <v>50</v>
      </c>
      <c r="K160" s="7" t="s">
        <v>50</v>
      </c>
      <c r="L160" s="7" t="s">
        <v>50</v>
      </c>
      <c r="M160" s="7" t="s">
        <v>50</v>
      </c>
      <c r="N160" s="7" t="s">
        <v>50</v>
      </c>
      <c r="O160" s="7" t="n">
        <v>266741</v>
      </c>
      <c r="P160" s="7" t="n">
        <v>216368</v>
      </c>
      <c r="Q160" s="8" t="n">
        <f aca="false">(P160/O160)*100</f>
        <v>81.1153890852925</v>
      </c>
      <c r="R160" s="7" t="n">
        <f aca="false">X160-AC160</f>
        <v>5452</v>
      </c>
      <c r="S160" s="8" t="n">
        <f aca="false">(R160/P160)*100</f>
        <v>2.51978111365821</v>
      </c>
      <c r="T160" s="8" t="n">
        <f aca="false">Y160+AD160</f>
        <v>89.4799600680322</v>
      </c>
      <c r="U160" s="7" t="s">
        <v>51</v>
      </c>
      <c r="V160" s="7" t="s">
        <v>52</v>
      </c>
      <c r="W160" s="7" t="s">
        <v>973</v>
      </c>
      <c r="X160" s="7" t="n">
        <v>99529</v>
      </c>
      <c r="Y160" s="8" t="n">
        <f aca="false">(X160/P160)*100</f>
        <v>45.9998705908452</v>
      </c>
      <c r="Z160" s="7" t="s">
        <v>54</v>
      </c>
      <c r="AA160" s="7" t="s">
        <v>55</v>
      </c>
      <c r="AB160" s="7" t="s">
        <v>974</v>
      </c>
      <c r="AC160" s="7" t="n">
        <v>94077</v>
      </c>
      <c r="AD160" s="8" t="n">
        <f aca="false">(AC160/P160)*100</f>
        <v>43.480089477187</v>
      </c>
      <c r="AE160" s="7" t="s">
        <v>57</v>
      </c>
      <c r="AF160" s="7" t="s">
        <v>57</v>
      </c>
      <c r="AG160" s="7" t="s">
        <v>975</v>
      </c>
      <c r="AH160" s="7" t="n">
        <v>9956</v>
      </c>
      <c r="AI160" s="8" t="n">
        <f aca="false">(AH160/P160)*100</f>
        <v>4.60141980329809</v>
      </c>
      <c r="AJ160" s="7" t="s">
        <v>70</v>
      </c>
      <c r="AK160" s="13" t="s">
        <v>178</v>
      </c>
      <c r="AL160" s="7" t="s">
        <v>976</v>
      </c>
      <c r="AM160" s="7" t="n">
        <v>4700</v>
      </c>
      <c r="AN160" s="8" t="n">
        <f aca="false">(AM160/P160)*100</f>
        <v>2.17222509798122</v>
      </c>
      <c r="AO160" s="7" t="s">
        <v>62</v>
      </c>
      <c r="AP160" s="7" t="s">
        <v>62</v>
      </c>
      <c r="AQ160" s="7" t="s">
        <v>62</v>
      </c>
      <c r="AR160" s="7" t="n">
        <v>1864</v>
      </c>
      <c r="AS160" s="8" t="n">
        <f aca="false">(AR160/P160)*100</f>
        <v>0.861495230348295</v>
      </c>
    </row>
    <row r="161" customFormat="false" ht="12.8" hidden="false" customHeight="true" outlineLevel="0" collapsed="false">
      <c r="A161" s="6" t="n">
        <v>160</v>
      </c>
      <c r="B161" s="7" t="s">
        <v>977</v>
      </c>
      <c r="C161" s="7" t="s">
        <v>978</v>
      </c>
      <c r="D161" s="7" t="s">
        <v>902</v>
      </c>
      <c r="E161" s="7" t="s">
        <v>979</v>
      </c>
      <c r="F161" s="7" t="s">
        <v>76</v>
      </c>
      <c r="G161" s="7" t="s">
        <v>64</v>
      </c>
      <c r="H161" s="7" t="s">
        <v>525</v>
      </c>
      <c r="I161" s="7" t="s">
        <v>50</v>
      </c>
      <c r="J161" s="7" t="s">
        <v>50</v>
      </c>
      <c r="K161" s="7" t="s">
        <v>50</v>
      </c>
      <c r="L161" s="7" t="s">
        <v>50</v>
      </c>
      <c r="M161" s="7" t="s">
        <v>50</v>
      </c>
      <c r="N161" s="7" t="s">
        <v>50</v>
      </c>
      <c r="O161" s="7" t="n">
        <v>252621</v>
      </c>
      <c r="P161" s="7" t="n">
        <v>191325</v>
      </c>
      <c r="Q161" s="8" t="n">
        <f aca="false">(P161/O161)*100</f>
        <v>75.7359839443277</v>
      </c>
      <c r="R161" s="7" t="n">
        <f aca="false">X161-AC161</f>
        <v>12148</v>
      </c>
      <c r="S161" s="8" t="n">
        <f aca="false">(R161/P161)*100</f>
        <v>6.34940546191036</v>
      </c>
      <c r="T161" s="8" t="n">
        <f aca="false">Y161+AD161</f>
        <v>91.9722984450542</v>
      </c>
      <c r="U161" s="7" t="s">
        <v>51</v>
      </c>
      <c r="V161" s="7" t="s">
        <v>52</v>
      </c>
      <c r="W161" s="7" t="s">
        <v>980</v>
      </c>
      <c r="X161" s="7" t="n">
        <v>94057</v>
      </c>
      <c r="Y161" s="8" t="n">
        <f aca="false">(X161/P161)*100</f>
        <v>49.1608519534823</v>
      </c>
      <c r="Z161" s="7" t="s">
        <v>54</v>
      </c>
      <c r="AA161" s="7" t="s">
        <v>67</v>
      </c>
      <c r="AB161" s="7" t="s">
        <v>981</v>
      </c>
      <c r="AC161" s="7" t="n">
        <v>81909</v>
      </c>
      <c r="AD161" s="8" t="n">
        <f aca="false">(AC161/P161)*100</f>
        <v>42.8114464915719</v>
      </c>
      <c r="AE161" s="7" t="s">
        <v>57</v>
      </c>
      <c r="AF161" s="7" t="s">
        <v>57</v>
      </c>
      <c r="AG161" s="7" t="s">
        <v>982</v>
      </c>
      <c r="AH161" s="7" t="n">
        <v>11013</v>
      </c>
      <c r="AI161" s="8" t="n">
        <f aca="false">(AH161/P161)*100</f>
        <v>5.7561740493924</v>
      </c>
      <c r="AJ161" s="7" t="s">
        <v>59</v>
      </c>
      <c r="AK161" s="7" t="s">
        <v>73</v>
      </c>
      <c r="AL161" s="7" t="s">
        <v>983</v>
      </c>
      <c r="AM161" s="7" t="n">
        <v>1308</v>
      </c>
      <c r="AN161" s="8" t="n">
        <f aca="false">(AM161/P161)*100</f>
        <v>0.683653469227754</v>
      </c>
      <c r="AO161" s="7" t="s">
        <v>70</v>
      </c>
      <c r="AP161" s="7" t="s">
        <v>71</v>
      </c>
      <c r="AQ161" s="7" t="s">
        <v>984</v>
      </c>
      <c r="AR161" s="7" t="n">
        <v>1000</v>
      </c>
      <c r="AS161" s="8" t="n">
        <f aca="false">(AR161/P161)*100</f>
        <v>0.522670848033451</v>
      </c>
    </row>
    <row r="162" customFormat="false" ht="12.8" hidden="false" customHeight="true" outlineLevel="0" collapsed="false">
      <c r="A162" s="6" t="n">
        <v>161</v>
      </c>
      <c r="B162" s="7" t="s">
        <v>978</v>
      </c>
      <c r="C162" s="7" t="s">
        <v>978</v>
      </c>
      <c r="D162" s="7" t="s">
        <v>902</v>
      </c>
      <c r="E162" s="7" t="s">
        <v>979</v>
      </c>
      <c r="F162" s="7" t="s">
        <v>76</v>
      </c>
      <c r="G162" s="7" t="s">
        <v>50</v>
      </c>
      <c r="H162" s="7" t="s">
        <v>50</v>
      </c>
      <c r="I162" s="7" t="s">
        <v>50</v>
      </c>
      <c r="J162" s="7" t="s">
        <v>50</v>
      </c>
      <c r="K162" s="7" t="s">
        <v>52</v>
      </c>
      <c r="L162" s="7" t="s">
        <v>50</v>
      </c>
      <c r="M162" s="7" t="s">
        <v>52</v>
      </c>
      <c r="N162" s="7" t="s">
        <v>50</v>
      </c>
      <c r="O162" s="7" t="n">
        <v>246064</v>
      </c>
      <c r="P162" s="7" t="n">
        <v>174640</v>
      </c>
      <c r="Q162" s="8" t="n">
        <f aca="false">(P162/O162)*100</f>
        <v>70.9734052929319</v>
      </c>
      <c r="R162" s="7" t="n">
        <f aca="false">X162-AC162</f>
        <v>2742</v>
      </c>
      <c r="S162" s="8" t="n">
        <f aca="false">(R162/P162)*100</f>
        <v>1.57008703618873</v>
      </c>
      <c r="T162" s="8" t="n">
        <f aca="false">Y162+AD162</f>
        <v>82.7656894182318</v>
      </c>
      <c r="U162" s="7" t="s">
        <v>51</v>
      </c>
      <c r="V162" s="7" t="s">
        <v>65</v>
      </c>
      <c r="W162" s="7" t="s">
        <v>985</v>
      </c>
      <c r="X162" s="7" t="n">
        <v>73642</v>
      </c>
      <c r="Y162" s="8" t="n">
        <f aca="false">(X162/P162)*100</f>
        <v>42.1678882272103</v>
      </c>
      <c r="Z162" s="7" t="s">
        <v>54</v>
      </c>
      <c r="AA162" s="7" t="s">
        <v>55</v>
      </c>
      <c r="AB162" s="7" t="s">
        <v>986</v>
      </c>
      <c r="AC162" s="7" t="n">
        <v>70900</v>
      </c>
      <c r="AD162" s="8" t="n">
        <f aca="false">(AC162/P162)*100</f>
        <v>40.5978011910215</v>
      </c>
      <c r="AE162" s="7" t="s">
        <v>57</v>
      </c>
      <c r="AF162" s="7" t="s">
        <v>57</v>
      </c>
      <c r="AG162" s="7" t="s">
        <v>987</v>
      </c>
      <c r="AH162" s="7" t="n">
        <v>13186</v>
      </c>
      <c r="AI162" s="8" t="n">
        <f aca="false">(AH162/P162)*100</f>
        <v>7.55038937242327</v>
      </c>
      <c r="AJ162" s="7" t="s">
        <v>59</v>
      </c>
      <c r="AK162" s="7" t="s">
        <v>73</v>
      </c>
      <c r="AL162" s="7" t="s">
        <v>988</v>
      </c>
      <c r="AM162" s="7" t="n">
        <v>7282</v>
      </c>
      <c r="AN162" s="8" t="n">
        <f aca="false">(AM162/P162)*100</f>
        <v>4.16972056802565</v>
      </c>
      <c r="AO162" s="7" t="s">
        <v>70</v>
      </c>
      <c r="AP162" s="7" t="s">
        <v>71</v>
      </c>
      <c r="AQ162" s="7" t="s">
        <v>989</v>
      </c>
      <c r="AR162" s="7" t="n">
        <v>5933</v>
      </c>
      <c r="AS162" s="8" t="n">
        <f aca="false">(AR162/P162)*100</f>
        <v>3.39727439303711</v>
      </c>
    </row>
    <row r="163" customFormat="false" ht="12.8" hidden="false" customHeight="true" outlineLevel="0" collapsed="false">
      <c r="A163" s="6" t="n">
        <v>162</v>
      </c>
      <c r="B163" s="7" t="s">
        <v>990</v>
      </c>
      <c r="C163" s="7" t="s">
        <v>978</v>
      </c>
      <c r="D163" s="7" t="s">
        <v>902</v>
      </c>
      <c r="E163" s="7" t="s">
        <v>979</v>
      </c>
      <c r="F163" s="7" t="s">
        <v>49</v>
      </c>
      <c r="G163" s="7" t="s">
        <v>50</v>
      </c>
      <c r="H163" s="7" t="s">
        <v>50</v>
      </c>
      <c r="I163" s="7" t="s">
        <v>50</v>
      </c>
      <c r="J163" s="7" t="s">
        <v>50</v>
      </c>
      <c r="K163" s="7" t="s">
        <v>50</v>
      </c>
      <c r="L163" s="7" t="s">
        <v>50</v>
      </c>
      <c r="M163" s="7" t="s">
        <v>50</v>
      </c>
      <c r="N163" s="7" t="s">
        <v>50</v>
      </c>
      <c r="O163" s="7" t="n">
        <v>275903</v>
      </c>
      <c r="P163" s="7" t="n">
        <v>207838</v>
      </c>
      <c r="Q163" s="8" t="n">
        <f aca="false">(P163/O163)*100</f>
        <v>75.3300978967246</v>
      </c>
      <c r="R163" s="7" t="n">
        <f aca="false">X163-AC163</f>
        <v>3299</v>
      </c>
      <c r="S163" s="8" t="n">
        <f aca="false">(R163/P163)*100</f>
        <v>1.58729395009575</v>
      </c>
      <c r="T163" s="8" t="n">
        <f aca="false">Y163+AD163</f>
        <v>90.8905012557858</v>
      </c>
      <c r="U163" s="7" t="s">
        <v>51</v>
      </c>
      <c r="V163" s="7" t="s">
        <v>52</v>
      </c>
      <c r="W163" s="7" t="s">
        <v>991</v>
      </c>
      <c r="X163" s="7" t="n">
        <v>96102</v>
      </c>
      <c r="Y163" s="8" t="n">
        <f aca="false">(X163/P163)*100</f>
        <v>46.2388976029408</v>
      </c>
      <c r="Z163" s="7" t="s">
        <v>54</v>
      </c>
      <c r="AA163" s="7" t="s">
        <v>67</v>
      </c>
      <c r="AB163" s="7" t="s">
        <v>992</v>
      </c>
      <c r="AC163" s="7" t="n">
        <v>92803</v>
      </c>
      <c r="AD163" s="8" t="n">
        <f aca="false">(AC163/P163)*100</f>
        <v>44.651603652845</v>
      </c>
      <c r="AE163" s="7" t="s">
        <v>57</v>
      </c>
      <c r="AF163" s="7" t="s">
        <v>57</v>
      </c>
      <c r="AG163" s="7" t="s">
        <v>993</v>
      </c>
      <c r="AH163" s="7" t="n">
        <v>14823</v>
      </c>
      <c r="AI163" s="8" t="n">
        <f aca="false">(AH163/P163)*100</f>
        <v>7.13199703615316</v>
      </c>
      <c r="AJ163" s="7" t="s">
        <v>59</v>
      </c>
      <c r="AK163" s="7" t="s">
        <v>73</v>
      </c>
      <c r="AL163" s="7" t="s">
        <v>994</v>
      </c>
      <c r="AM163" s="7" t="n">
        <v>1220</v>
      </c>
      <c r="AN163" s="8" t="n">
        <f aca="false">(AM163/P163)*100</f>
        <v>0.586995640835651</v>
      </c>
      <c r="AO163" s="7" t="s">
        <v>70</v>
      </c>
      <c r="AP163" s="7" t="s">
        <v>71</v>
      </c>
      <c r="AQ163" s="7" t="s">
        <v>995</v>
      </c>
      <c r="AR163" s="7" t="n">
        <v>950</v>
      </c>
      <c r="AS163" s="8" t="n">
        <f aca="false">(AR163/P163)*100</f>
        <v>0.457086769503171</v>
      </c>
    </row>
    <row r="164" customFormat="false" ht="12.8" hidden="false" customHeight="true" outlineLevel="0" collapsed="false">
      <c r="A164" s="6" t="n">
        <v>163</v>
      </c>
      <c r="B164" s="7" t="s">
        <v>996</v>
      </c>
      <c r="C164" s="7" t="s">
        <v>996</v>
      </c>
      <c r="D164" s="7" t="s">
        <v>902</v>
      </c>
      <c r="E164" s="7" t="s">
        <v>979</v>
      </c>
      <c r="F164" s="7" t="s">
        <v>87</v>
      </c>
      <c r="G164" s="7" t="s">
        <v>50</v>
      </c>
      <c r="H164" s="7" t="s">
        <v>50</v>
      </c>
      <c r="I164" s="7" t="s">
        <v>50</v>
      </c>
      <c r="J164" s="7" t="s">
        <v>50</v>
      </c>
      <c r="K164" s="7" t="s">
        <v>50</v>
      </c>
      <c r="L164" s="7" t="s">
        <v>50</v>
      </c>
      <c r="M164" s="7" t="s">
        <v>421</v>
      </c>
      <c r="N164" s="7" t="s">
        <v>50</v>
      </c>
      <c r="O164" s="7" t="n">
        <v>197960</v>
      </c>
      <c r="P164" s="7" t="n">
        <v>143560</v>
      </c>
      <c r="Q164" s="8" t="n">
        <f aca="false">(P164/O164)*100</f>
        <v>72.5197009496868</v>
      </c>
      <c r="R164" s="7" t="n">
        <f aca="false">X164-AC164</f>
        <v>7238</v>
      </c>
      <c r="S164" s="8" t="n">
        <f aca="false">(R164/P164)*100</f>
        <v>5.04179437169128</v>
      </c>
      <c r="T164" s="8" t="n">
        <f aca="false">Y164+AD164</f>
        <v>87.2972972972973</v>
      </c>
      <c r="U164" s="7" t="s">
        <v>51</v>
      </c>
      <c r="V164" s="7" t="s">
        <v>256</v>
      </c>
      <c r="W164" s="7" t="s">
        <v>997</v>
      </c>
      <c r="X164" s="7" t="n">
        <v>66281</v>
      </c>
      <c r="Y164" s="8" t="n">
        <f aca="false">(X164/P164)*100</f>
        <v>46.1695458344943</v>
      </c>
      <c r="Z164" s="7" t="s">
        <v>54</v>
      </c>
      <c r="AA164" s="7" t="s">
        <v>67</v>
      </c>
      <c r="AB164" s="7" t="s">
        <v>998</v>
      </c>
      <c r="AC164" s="7" t="n">
        <v>59043</v>
      </c>
      <c r="AD164" s="8" t="n">
        <f aca="false">(AC164/P164)*100</f>
        <v>41.127751462803</v>
      </c>
      <c r="AE164" s="7" t="s">
        <v>57</v>
      </c>
      <c r="AF164" s="7" t="s">
        <v>57</v>
      </c>
      <c r="AG164" s="7" t="s">
        <v>999</v>
      </c>
      <c r="AH164" s="7" t="n">
        <v>9976</v>
      </c>
      <c r="AI164" s="8" t="n">
        <f aca="false">(AH164/P164)*100</f>
        <v>6.94901086653664</v>
      </c>
      <c r="AJ164" s="7" t="s">
        <v>59</v>
      </c>
      <c r="AK164" s="7" t="s">
        <v>73</v>
      </c>
      <c r="AL164" s="7" t="s">
        <v>1000</v>
      </c>
      <c r="AM164" s="7" t="n">
        <v>3503</v>
      </c>
      <c r="AN164" s="8" t="n">
        <f aca="false">(AM164/P164)*100</f>
        <v>2.44009473390917</v>
      </c>
      <c r="AO164" s="7" t="s">
        <v>70</v>
      </c>
      <c r="AP164" s="7" t="s">
        <v>71</v>
      </c>
      <c r="AQ164" s="7" t="s">
        <v>1001</v>
      </c>
      <c r="AR164" s="7" t="n">
        <v>2540</v>
      </c>
      <c r="AS164" s="8" t="n">
        <f aca="false">(AR164/P164)*100</f>
        <v>1.76929506826414</v>
      </c>
    </row>
    <row r="165" customFormat="false" ht="12.8" hidden="false" customHeight="true" outlineLevel="0" collapsed="false">
      <c r="A165" s="6" t="n">
        <v>164</v>
      </c>
      <c r="B165" s="7" t="s">
        <v>1002</v>
      </c>
      <c r="C165" s="7" t="s">
        <v>996</v>
      </c>
      <c r="D165" s="7" t="s">
        <v>902</v>
      </c>
      <c r="E165" s="7" t="s">
        <v>979</v>
      </c>
      <c r="F165" s="7" t="s">
        <v>49</v>
      </c>
      <c r="G165" s="7" t="s">
        <v>64</v>
      </c>
      <c r="H165" s="7" t="s">
        <v>50</v>
      </c>
      <c r="I165" s="7" t="s">
        <v>50</v>
      </c>
      <c r="J165" s="7" t="s">
        <v>50</v>
      </c>
      <c r="K165" s="7" t="s">
        <v>50</v>
      </c>
      <c r="L165" s="7" t="s">
        <v>50</v>
      </c>
      <c r="M165" s="7" t="s">
        <v>50</v>
      </c>
      <c r="N165" s="7" t="s">
        <v>50</v>
      </c>
      <c r="O165" s="7" t="n">
        <v>178764</v>
      </c>
      <c r="P165" s="7" t="n">
        <v>142995</v>
      </c>
      <c r="Q165" s="8" t="n">
        <f aca="false">(P165/O165)*100</f>
        <v>79.9909377727059</v>
      </c>
      <c r="R165" s="7" t="n">
        <f aca="false">X165-AC165</f>
        <v>16985</v>
      </c>
      <c r="S165" s="8" t="n">
        <f aca="false">(R165/P165)*100</f>
        <v>11.8780376936257</v>
      </c>
      <c r="T165" s="8" t="n">
        <f aca="false">Y165+AD165</f>
        <v>83.2133990698976</v>
      </c>
      <c r="U165" s="7" t="s">
        <v>51</v>
      </c>
      <c r="V165" s="7" t="s">
        <v>421</v>
      </c>
      <c r="W165" s="7" t="s">
        <v>1003</v>
      </c>
      <c r="X165" s="7" t="n">
        <v>67988</v>
      </c>
      <c r="Y165" s="8" t="n">
        <f aca="false">(X165/P165)*100</f>
        <v>47.5457183817616</v>
      </c>
      <c r="Z165" s="7" t="s">
        <v>54</v>
      </c>
      <c r="AA165" s="7" t="s">
        <v>55</v>
      </c>
      <c r="AB165" s="7" t="s">
        <v>1004</v>
      </c>
      <c r="AC165" s="7" t="n">
        <v>51003</v>
      </c>
      <c r="AD165" s="8" t="n">
        <f aca="false">(AC165/P165)*100</f>
        <v>35.667680688136</v>
      </c>
      <c r="AE165" s="7" t="s">
        <v>57</v>
      </c>
      <c r="AF165" s="7" t="s">
        <v>57</v>
      </c>
      <c r="AG165" s="7" t="s">
        <v>1005</v>
      </c>
      <c r="AH165" s="7" t="n">
        <v>15173</v>
      </c>
      <c r="AI165" s="8" t="n">
        <f aca="false">(AH165/P165)*100</f>
        <v>10.6108605195986</v>
      </c>
      <c r="AJ165" s="7" t="s">
        <v>70</v>
      </c>
      <c r="AK165" s="7" t="s">
        <v>71</v>
      </c>
      <c r="AL165" s="7" t="s">
        <v>1006</v>
      </c>
      <c r="AM165" s="7" t="n">
        <v>2906</v>
      </c>
      <c r="AN165" s="8" t="n">
        <f aca="false">(AM165/P165)*100</f>
        <v>2.03223888947166</v>
      </c>
      <c r="AO165" s="7" t="s">
        <v>59</v>
      </c>
      <c r="AP165" s="7" t="s">
        <v>73</v>
      </c>
      <c r="AQ165" s="7" t="s">
        <v>1007</v>
      </c>
      <c r="AR165" s="7" t="n">
        <v>2503</v>
      </c>
      <c r="AS165" s="8" t="n">
        <f aca="false">(AR165/P165)*100</f>
        <v>1.75041085352635</v>
      </c>
    </row>
    <row r="166" customFormat="false" ht="12.8" hidden="false" customHeight="true" outlineLevel="0" collapsed="false">
      <c r="A166" s="6" t="n">
        <v>165</v>
      </c>
      <c r="B166" s="7" t="s">
        <v>1008</v>
      </c>
      <c r="C166" s="7" t="s">
        <v>996</v>
      </c>
      <c r="D166" s="7" t="s">
        <v>902</v>
      </c>
      <c r="E166" s="7" t="s">
        <v>979</v>
      </c>
      <c r="F166" s="7" t="s">
        <v>76</v>
      </c>
      <c r="G166" s="7" t="s">
        <v>50</v>
      </c>
      <c r="H166" s="7" t="s">
        <v>525</v>
      </c>
      <c r="I166" s="7" t="s">
        <v>50</v>
      </c>
      <c r="J166" s="7" t="s">
        <v>50</v>
      </c>
      <c r="K166" s="7" t="s">
        <v>52</v>
      </c>
      <c r="L166" s="7" t="s">
        <v>67</v>
      </c>
      <c r="M166" s="7" t="s">
        <v>50</v>
      </c>
      <c r="N166" s="7" t="s">
        <v>50</v>
      </c>
      <c r="O166" s="7" t="n">
        <v>192770</v>
      </c>
      <c r="P166" s="7" t="n">
        <v>158060</v>
      </c>
      <c r="Q166" s="8" t="n">
        <f aca="false">(P166/O166)*100</f>
        <v>81.994086216735</v>
      </c>
      <c r="R166" s="7" t="n">
        <f aca="false">X166-AC166</f>
        <v>12329</v>
      </c>
      <c r="S166" s="8" t="n">
        <f aca="false">(R166/P166)*100</f>
        <v>7.80020245476401</v>
      </c>
      <c r="T166" s="8" t="n">
        <f aca="false">Y166+AD166</f>
        <v>91.8062760976844</v>
      </c>
      <c r="U166" s="7" t="s">
        <v>54</v>
      </c>
      <c r="V166" s="7" t="s">
        <v>67</v>
      </c>
      <c r="W166" s="7" t="s">
        <v>1009</v>
      </c>
      <c r="X166" s="7" t="n">
        <v>78719</v>
      </c>
      <c r="Y166" s="8" t="n">
        <f aca="false">(X166/P166)*100</f>
        <v>49.8032392762242</v>
      </c>
      <c r="Z166" s="7" t="s">
        <v>51</v>
      </c>
      <c r="AA166" s="7" t="s">
        <v>52</v>
      </c>
      <c r="AB166" s="7" t="s">
        <v>1010</v>
      </c>
      <c r="AC166" s="7" t="n">
        <v>66390</v>
      </c>
      <c r="AD166" s="8" t="n">
        <f aca="false">(AC166/P166)*100</f>
        <v>42.0030368214602</v>
      </c>
      <c r="AE166" s="7" t="s">
        <v>57</v>
      </c>
      <c r="AF166" s="7" t="s">
        <v>57</v>
      </c>
      <c r="AG166" s="7" t="s">
        <v>961</v>
      </c>
      <c r="AH166" s="7" t="n">
        <v>9106</v>
      </c>
      <c r="AI166" s="8" t="n">
        <f aca="false">(AH166/P166)*100</f>
        <v>5.76110337846387</v>
      </c>
      <c r="AJ166" s="7" t="s">
        <v>59</v>
      </c>
      <c r="AK166" s="7" t="s">
        <v>73</v>
      </c>
      <c r="AL166" s="7" t="s">
        <v>1011</v>
      </c>
      <c r="AM166" s="7" t="n">
        <v>1284</v>
      </c>
      <c r="AN166" s="8" t="n">
        <f aca="false">(AM166/P166)*100</f>
        <v>0.812349740604834</v>
      </c>
      <c r="AO166" s="7" t="s">
        <v>62</v>
      </c>
      <c r="AP166" s="7" t="s">
        <v>62</v>
      </c>
      <c r="AQ166" s="7" t="s">
        <v>62</v>
      </c>
      <c r="AR166" s="7" t="n">
        <v>673</v>
      </c>
      <c r="AS166" s="8" t="n">
        <f aca="false">(AR166/P166)*100</f>
        <v>0.425787675566241</v>
      </c>
    </row>
    <row r="167" customFormat="false" ht="12.8" hidden="false" customHeight="true" outlineLevel="0" collapsed="false">
      <c r="A167" s="6" t="n">
        <v>166</v>
      </c>
      <c r="B167" s="7" t="s">
        <v>1012</v>
      </c>
      <c r="C167" s="7" t="s">
        <v>1013</v>
      </c>
      <c r="D167" s="7" t="s">
        <v>902</v>
      </c>
      <c r="E167" s="7" t="s">
        <v>1014</v>
      </c>
      <c r="F167" s="7" t="s">
        <v>76</v>
      </c>
      <c r="G167" s="7" t="s">
        <v>64</v>
      </c>
      <c r="H167" s="7" t="s">
        <v>525</v>
      </c>
      <c r="I167" s="7" t="s">
        <v>50</v>
      </c>
      <c r="J167" s="7" t="s">
        <v>50</v>
      </c>
      <c r="K167" s="7" t="s">
        <v>391</v>
      </c>
      <c r="L167" s="7" t="s">
        <v>50</v>
      </c>
      <c r="M167" s="7" t="s">
        <v>766</v>
      </c>
      <c r="N167" s="7" t="s">
        <v>50</v>
      </c>
      <c r="O167" s="7" t="n">
        <v>240072</v>
      </c>
      <c r="P167" s="7" t="n">
        <v>185886</v>
      </c>
      <c r="Q167" s="8" t="n">
        <f aca="false">(P167/O167)*100</f>
        <v>77.4292712186344</v>
      </c>
      <c r="R167" s="7" t="n">
        <f aca="false">X167-AC167</f>
        <v>30068</v>
      </c>
      <c r="S167" s="8" t="n">
        <f aca="false">(R167/P167)*100</f>
        <v>16.1755054172988</v>
      </c>
      <c r="T167" s="8" t="n">
        <f aca="false">Y167+AD167</f>
        <v>88.288520921425</v>
      </c>
      <c r="U167" s="7" t="s">
        <v>51</v>
      </c>
      <c r="V167" s="7" t="s">
        <v>391</v>
      </c>
      <c r="W167" s="7" t="s">
        <v>1015</v>
      </c>
      <c r="X167" s="7" t="n">
        <v>97092</v>
      </c>
      <c r="Y167" s="8" t="n">
        <f aca="false">(X167/P167)*100</f>
        <v>52.2320131693619</v>
      </c>
      <c r="Z167" s="7" t="s">
        <v>54</v>
      </c>
      <c r="AA167" s="7" t="s">
        <v>67</v>
      </c>
      <c r="AB167" s="7" t="s">
        <v>1016</v>
      </c>
      <c r="AC167" s="7" t="n">
        <v>67024</v>
      </c>
      <c r="AD167" s="8" t="n">
        <f aca="false">(AC167/P167)*100</f>
        <v>36.0565077520631</v>
      </c>
      <c r="AE167" s="7" t="s">
        <v>57</v>
      </c>
      <c r="AF167" s="7" t="s">
        <v>57</v>
      </c>
      <c r="AG167" s="7" t="s">
        <v>1017</v>
      </c>
      <c r="AH167" s="7" t="n">
        <v>15362</v>
      </c>
      <c r="AI167" s="8" t="n">
        <f aca="false">(AH167/P167)*100</f>
        <v>8.26420494281441</v>
      </c>
      <c r="AJ167" s="7" t="s">
        <v>59</v>
      </c>
      <c r="AK167" s="7" t="s">
        <v>73</v>
      </c>
      <c r="AL167" s="7" t="s">
        <v>1018</v>
      </c>
      <c r="AM167" s="7" t="n">
        <v>3555</v>
      </c>
      <c r="AN167" s="8" t="n">
        <f aca="false">(AM167/P167)*100</f>
        <v>1.91246247700203</v>
      </c>
      <c r="AO167" s="7" t="s">
        <v>62</v>
      </c>
      <c r="AP167" s="7" t="s">
        <v>62</v>
      </c>
      <c r="AQ167" s="7" t="s">
        <v>62</v>
      </c>
      <c r="AR167" s="7" t="n">
        <v>1313</v>
      </c>
      <c r="AS167" s="8" t="n">
        <f aca="false">(AR167/P167)*100</f>
        <v>0.706346900788656</v>
      </c>
    </row>
    <row r="168" customFormat="false" ht="12.8" hidden="false" customHeight="true" outlineLevel="0" collapsed="false">
      <c r="A168" s="6" t="n">
        <v>167</v>
      </c>
      <c r="B168" s="7" t="s">
        <v>1019</v>
      </c>
      <c r="C168" s="7" t="s">
        <v>1013</v>
      </c>
      <c r="D168" s="7" t="s">
        <v>902</v>
      </c>
      <c r="E168" s="7" t="s">
        <v>1014</v>
      </c>
      <c r="F168" s="7" t="s">
        <v>76</v>
      </c>
      <c r="G168" s="7" t="s">
        <v>50</v>
      </c>
      <c r="H168" s="7" t="s">
        <v>50</v>
      </c>
      <c r="I168" s="7" t="s">
        <v>50</v>
      </c>
      <c r="J168" s="7" t="s">
        <v>52</v>
      </c>
      <c r="K168" s="7" t="s">
        <v>391</v>
      </c>
      <c r="L168" s="7" t="s">
        <v>52</v>
      </c>
      <c r="M168" s="7" t="s">
        <v>50</v>
      </c>
      <c r="N168" s="7" t="s">
        <v>50</v>
      </c>
      <c r="O168" s="7" t="n">
        <v>260042</v>
      </c>
      <c r="P168" s="7" t="n">
        <v>193229</v>
      </c>
      <c r="Q168" s="8" t="n">
        <f aca="false">(P168/O168)*100</f>
        <v>74.306842740788</v>
      </c>
      <c r="R168" s="7" t="n">
        <f aca="false">X168-AC168</f>
        <v>37393</v>
      </c>
      <c r="S168" s="8" t="n">
        <f aca="false">(R168/P168)*100</f>
        <v>19.3516501146308</v>
      </c>
      <c r="T168" s="8" t="n">
        <f aca="false">Y168+AD168</f>
        <v>70.8749721832644</v>
      </c>
      <c r="U168" s="7" t="s">
        <v>51</v>
      </c>
      <c r="V168" s="7" t="s">
        <v>52</v>
      </c>
      <c r="W168" s="7" t="s">
        <v>1020</v>
      </c>
      <c r="X168" s="7" t="n">
        <v>87172</v>
      </c>
      <c r="Y168" s="8" t="n">
        <f aca="false">(X168/P168)*100</f>
        <v>45.1133111489476</v>
      </c>
      <c r="Z168" s="7" t="s">
        <v>54</v>
      </c>
      <c r="AA168" s="7" t="s">
        <v>67</v>
      </c>
      <c r="AB168" s="7" t="s">
        <v>1021</v>
      </c>
      <c r="AC168" s="7" t="n">
        <v>49779</v>
      </c>
      <c r="AD168" s="8" t="n">
        <f aca="false">(AC168/P168)*100</f>
        <v>25.7616610343168</v>
      </c>
      <c r="AE168" s="7" t="s">
        <v>59</v>
      </c>
      <c r="AF168" s="7" t="s">
        <v>73</v>
      </c>
      <c r="AG168" s="7" t="s">
        <v>1022</v>
      </c>
      <c r="AH168" s="7" t="n">
        <v>40481</v>
      </c>
      <c r="AI168" s="8" t="n">
        <f aca="false">(AH168/P168)*100</f>
        <v>20.9497539189252</v>
      </c>
      <c r="AJ168" s="7" t="s">
        <v>57</v>
      </c>
      <c r="AK168" s="7" t="s">
        <v>57</v>
      </c>
      <c r="AL168" s="7" t="s">
        <v>1023</v>
      </c>
      <c r="AM168" s="7" t="n">
        <v>10438</v>
      </c>
      <c r="AN168" s="8" t="n">
        <f aca="false">(AM168/P168)*100</f>
        <v>5.40188067008575</v>
      </c>
      <c r="AO168" s="7" t="s">
        <v>196</v>
      </c>
      <c r="AP168" s="7" t="s">
        <v>196</v>
      </c>
      <c r="AQ168" s="7" t="s">
        <v>1024</v>
      </c>
      <c r="AR168" s="7" t="n">
        <v>1845</v>
      </c>
      <c r="AS168" s="8" t="n">
        <f aca="false">(AR168/P168)*100</f>
        <v>0.954825621412935</v>
      </c>
    </row>
    <row r="169" customFormat="false" ht="12.8" hidden="false" customHeight="true" outlineLevel="0" collapsed="false">
      <c r="A169" s="6" t="n">
        <v>168</v>
      </c>
      <c r="B169" s="7" t="s">
        <v>1013</v>
      </c>
      <c r="C169" s="7" t="s">
        <v>1013</v>
      </c>
      <c r="D169" s="7" t="s">
        <v>902</v>
      </c>
      <c r="E169" s="7" t="s">
        <v>1014</v>
      </c>
      <c r="F169" s="7" t="s">
        <v>76</v>
      </c>
      <c r="G169" s="7" t="s">
        <v>50</v>
      </c>
      <c r="H169" s="7" t="s">
        <v>50</v>
      </c>
      <c r="I169" s="7" t="s">
        <v>50</v>
      </c>
      <c r="J169" s="7" t="s">
        <v>50</v>
      </c>
      <c r="K169" s="7" t="s">
        <v>50</v>
      </c>
      <c r="L169" s="7" t="s">
        <v>52</v>
      </c>
      <c r="M169" s="7" t="s">
        <v>421</v>
      </c>
      <c r="N169" s="7" t="s">
        <v>168</v>
      </c>
      <c r="O169" s="7" t="n">
        <v>282708</v>
      </c>
      <c r="P169" s="7" t="n">
        <v>208290</v>
      </c>
      <c r="Q169" s="8" t="n">
        <f aca="false">(P169/O169)*100</f>
        <v>73.6767265164056</v>
      </c>
      <c r="R169" s="7" t="n">
        <f aca="false">X169-AC169</f>
        <v>51174</v>
      </c>
      <c r="S169" s="8" t="n">
        <f aca="false">(R169/P169)*100</f>
        <v>24.5686302750972</v>
      </c>
      <c r="T169" s="8" t="n">
        <f aca="false">Y169+AD169</f>
        <v>80.0028805991646</v>
      </c>
      <c r="U169" s="7" t="s">
        <v>51</v>
      </c>
      <c r="V169" s="7" t="s">
        <v>52</v>
      </c>
      <c r="W169" s="7" t="s">
        <v>1025</v>
      </c>
      <c r="X169" s="7" t="n">
        <v>108906</v>
      </c>
      <c r="Y169" s="8" t="n">
        <f aca="false">(X169/P169)*100</f>
        <v>52.2857554371309</v>
      </c>
      <c r="Z169" s="7" t="s">
        <v>54</v>
      </c>
      <c r="AA169" s="7" t="s">
        <v>67</v>
      </c>
      <c r="AB169" s="7" t="s">
        <v>1026</v>
      </c>
      <c r="AC169" s="7" t="n">
        <v>57732</v>
      </c>
      <c r="AD169" s="8" t="n">
        <f aca="false">(AC169/P169)*100</f>
        <v>27.7171251620337</v>
      </c>
      <c r="AE169" s="7" t="s">
        <v>57</v>
      </c>
      <c r="AF169" s="7" t="s">
        <v>57</v>
      </c>
      <c r="AG169" s="7" t="s">
        <v>587</v>
      </c>
      <c r="AH169" s="7" t="n">
        <v>26300</v>
      </c>
      <c r="AI169" s="8" t="n">
        <f aca="false">(AH169/P169)*100</f>
        <v>12.6266263382784</v>
      </c>
      <c r="AJ169" s="7" t="s">
        <v>59</v>
      </c>
      <c r="AK169" s="19" t="s">
        <v>351</v>
      </c>
      <c r="AL169" s="7" t="s">
        <v>1027</v>
      </c>
      <c r="AM169" s="7" t="n">
        <v>6364</v>
      </c>
      <c r="AN169" s="8" t="n">
        <f aca="false">(AM169/P169)*100</f>
        <v>3.0553555139469</v>
      </c>
      <c r="AO169" s="7" t="s">
        <v>70</v>
      </c>
      <c r="AP169" s="7" t="s">
        <v>71</v>
      </c>
      <c r="AQ169" s="7" t="s">
        <v>1028</v>
      </c>
      <c r="AR169" s="7" t="n">
        <v>4068</v>
      </c>
      <c r="AS169" s="8" t="n">
        <f aca="false">(AR169/P169)*100</f>
        <v>1.95304623361659</v>
      </c>
    </row>
    <row r="170" customFormat="false" ht="12.8" hidden="false" customHeight="true" outlineLevel="0" collapsed="false">
      <c r="A170" s="6" t="n">
        <v>169</v>
      </c>
      <c r="B170" s="7" t="s">
        <v>1029</v>
      </c>
      <c r="C170" s="7" t="s">
        <v>1013</v>
      </c>
      <c r="D170" s="7" t="s">
        <v>902</v>
      </c>
      <c r="E170" s="7" t="s">
        <v>1014</v>
      </c>
      <c r="F170" s="7" t="s">
        <v>49</v>
      </c>
      <c r="G170" s="7" t="s">
        <v>50</v>
      </c>
      <c r="H170" s="7" t="s">
        <v>50</v>
      </c>
      <c r="I170" s="7" t="s">
        <v>50</v>
      </c>
      <c r="J170" s="7" t="s">
        <v>67</v>
      </c>
      <c r="K170" s="7" t="s">
        <v>50</v>
      </c>
      <c r="L170" s="7" t="s">
        <v>67</v>
      </c>
      <c r="M170" s="7" t="s">
        <v>50</v>
      </c>
      <c r="N170" s="7" t="s">
        <v>50</v>
      </c>
      <c r="O170" s="7" t="n">
        <v>272305</v>
      </c>
      <c r="P170" s="7" t="n">
        <v>221944</v>
      </c>
      <c r="Q170" s="8" t="n">
        <f aca="false">(P170/O170)*100</f>
        <v>81.5056646040286</v>
      </c>
      <c r="R170" s="7" t="n">
        <f aca="false">X170-AC170</f>
        <v>4424</v>
      </c>
      <c r="S170" s="8" t="n">
        <f aca="false">(R170/P170)*100</f>
        <v>1.99329560609884</v>
      </c>
      <c r="T170" s="8" t="n">
        <f aca="false">Y170+AD170</f>
        <v>91.3969289550517</v>
      </c>
      <c r="U170" s="7" t="s">
        <v>54</v>
      </c>
      <c r="V170" s="7" t="s">
        <v>67</v>
      </c>
      <c r="W170" s="7" t="s">
        <v>1030</v>
      </c>
      <c r="X170" s="7" t="n">
        <v>103637</v>
      </c>
      <c r="Y170" s="8" t="n">
        <f aca="false">(X170/P170)*100</f>
        <v>46.6951122805753</v>
      </c>
      <c r="Z170" s="7" t="s">
        <v>51</v>
      </c>
      <c r="AA170" s="7" t="s">
        <v>52</v>
      </c>
      <c r="AB170" s="7" t="s">
        <v>1031</v>
      </c>
      <c r="AC170" s="7" t="n">
        <v>99213</v>
      </c>
      <c r="AD170" s="8" t="n">
        <f aca="false">(AC170/P170)*100</f>
        <v>44.7018166744765</v>
      </c>
      <c r="AE170" s="7" t="s">
        <v>57</v>
      </c>
      <c r="AF170" s="7" t="s">
        <v>57</v>
      </c>
      <c r="AG170" s="7" t="s">
        <v>1032</v>
      </c>
      <c r="AH170" s="7" t="n">
        <v>13419</v>
      </c>
      <c r="AI170" s="8" t="n">
        <f aca="false">(AH170/P170)*100</f>
        <v>6.04611974191688</v>
      </c>
      <c r="AJ170" s="7" t="s">
        <v>59</v>
      </c>
      <c r="AK170" s="7" t="s">
        <v>73</v>
      </c>
      <c r="AL170" s="7" t="s">
        <v>1033</v>
      </c>
      <c r="AM170" s="7" t="n">
        <v>2076</v>
      </c>
      <c r="AN170" s="8" t="n">
        <f aca="false">(AM170/P170)*100</f>
        <v>0.935371084597917</v>
      </c>
      <c r="AO170" s="7" t="s">
        <v>62</v>
      </c>
      <c r="AP170" s="7" t="s">
        <v>62</v>
      </c>
      <c r="AQ170" s="7" t="s">
        <v>62</v>
      </c>
      <c r="AR170" s="7" t="n">
        <v>1190</v>
      </c>
      <c r="AS170" s="8" t="n">
        <f aca="false">(AR170/P170)*100</f>
        <v>0.536171286450636</v>
      </c>
    </row>
    <row r="171" customFormat="false" ht="12.8" hidden="false" customHeight="true" outlineLevel="0" collapsed="false">
      <c r="A171" s="6" t="n">
        <v>170</v>
      </c>
      <c r="B171" s="7" t="s">
        <v>1034</v>
      </c>
      <c r="C171" s="7" t="s">
        <v>1035</v>
      </c>
      <c r="D171" s="7" t="s">
        <v>902</v>
      </c>
      <c r="E171" s="7" t="s">
        <v>1014</v>
      </c>
      <c r="F171" s="7" t="s">
        <v>49</v>
      </c>
      <c r="G171" s="7" t="s">
        <v>64</v>
      </c>
      <c r="H171" s="7" t="s">
        <v>525</v>
      </c>
      <c r="I171" s="7" t="s">
        <v>50</v>
      </c>
      <c r="J171" s="7" t="s">
        <v>52</v>
      </c>
      <c r="K171" s="7" t="s">
        <v>50</v>
      </c>
      <c r="L171" s="7" t="s">
        <v>52</v>
      </c>
      <c r="M171" s="7" t="s">
        <v>50</v>
      </c>
      <c r="N171" s="7" t="s">
        <v>50</v>
      </c>
      <c r="O171" s="7" t="n">
        <v>259512</v>
      </c>
      <c r="P171" s="7" t="n">
        <v>198446</v>
      </c>
      <c r="Q171" s="8" t="n">
        <f aca="false">(P171/O171)*100</f>
        <v>76.4689108788804</v>
      </c>
      <c r="R171" s="7" t="n">
        <f aca="false">X171-AC171</f>
        <v>10680</v>
      </c>
      <c r="S171" s="8" t="n">
        <f aca="false">(R171/P171)*100</f>
        <v>5.38181671588241</v>
      </c>
      <c r="T171" s="8" t="n">
        <f aca="false">Y171+AD171</f>
        <v>91.1310885580964</v>
      </c>
      <c r="U171" s="7" t="s">
        <v>51</v>
      </c>
      <c r="V171" s="7" t="s">
        <v>52</v>
      </c>
      <c r="W171" s="7" t="s">
        <v>1036</v>
      </c>
      <c r="X171" s="7" t="n">
        <v>95763</v>
      </c>
      <c r="Y171" s="8" t="n">
        <f aca="false">(X171/P171)*100</f>
        <v>48.2564526369894</v>
      </c>
      <c r="Z171" s="7" t="s">
        <v>54</v>
      </c>
      <c r="AA171" s="7" t="s">
        <v>67</v>
      </c>
      <c r="AB171" s="7" t="s">
        <v>1037</v>
      </c>
      <c r="AC171" s="7" t="n">
        <v>85083</v>
      </c>
      <c r="AD171" s="8" t="n">
        <f aca="false">(AC171/P171)*100</f>
        <v>42.874635921107</v>
      </c>
      <c r="AE171" s="7" t="s">
        <v>57</v>
      </c>
      <c r="AF171" s="7" t="s">
        <v>57</v>
      </c>
      <c r="AG171" s="7" t="s">
        <v>1038</v>
      </c>
      <c r="AH171" s="7" t="n">
        <v>11176</v>
      </c>
      <c r="AI171" s="8" t="n">
        <f aca="false">(AH171/P171)*100</f>
        <v>5.63175876560878</v>
      </c>
      <c r="AJ171" s="11" t="s">
        <v>84</v>
      </c>
      <c r="AK171" s="11" t="s">
        <v>84</v>
      </c>
      <c r="AL171" s="7" t="s">
        <v>1039</v>
      </c>
      <c r="AM171" s="7" t="n">
        <v>1839</v>
      </c>
      <c r="AN171" s="8" t="n">
        <f aca="false">(AM171/P171)*100</f>
        <v>0.926700462594358</v>
      </c>
      <c r="AO171" s="7" t="s">
        <v>59</v>
      </c>
      <c r="AP171" s="7" t="s">
        <v>73</v>
      </c>
      <c r="AQ171" s="7" t="s">
        <v>1040</v>
      </c>
      <c r="AR171" s="7" t="n">
        <v>1746</v>
      </c>
      <c r="AS171" s="8" t="n">
        <f aca="false">(AR171/P171)*100</f>
        <v>0.879836328270663</v>
      </c>
    </row>
    <row r="172" customFormat="false" ht="12.8" hidden="false" customHeight="true" outlineLevel="0" collapsed="false">
      <c r="A172" s="6" t="n">
        <v>171</v>
      </c>
      <c r="B172" s="7" t="s">
        <v>1041</v>
      </c>
      <c r="C172" s="7" t="s">
        <v>1035</v>
      </c>
      <c r="D172" s="7" t="s">
        <v>902</v>
      </c>
      <c r="E172" s="7" t="s">
        <v>1014</v>
      </c>
      <c r="F172" s="7" t="s">
        <v>87</v>
      </c>
      <c r="G172" s="7" t="s">
        <v>50</v>
      </c>
      <c r="H172" s="7" t="s">
        <v>50</v>
      </c>
      <c r="I172" s="7" t="s">
        <v>50</v>
      </c>
      <c r="J172" s="7" t="s">
        <v>52</v>
      </c>
      <c r="K172" s="7" t="s">
        <v>52</v>
      </c>
      <c r="L172" s="7" t="s">
        <v>52</v>
      </c>
      <c r="M172" s="7" t="s">
        <v>50</v>
      </c>
      <c r="N172" s="7" t="s">
        <v>50</v>
      </c>
      <c r="O172" s="7" t="n">
        <v>273097</v>
      </c>
      <c r="P172" s="7" t="n">
        <v>197564</v>
      </c>
      <c r="Q172" s="8" t="n">
        <f aca="false">(P172/O172)*100</f>
        <v>72.3420616118083</v>
      </c>
      <c r="R172" s="7" t="n">
        <f aca="false">X172-AC172</f>
        <v>21383</v>
      </c>
      <c r="S172" s="8" t="n">
        <f aca="false">(R172/P172)*100</f>
        <v>10.8233281367051</v>
      </c>
      <c r="T172" s="8" t="n">
        <f aca="false">Y172+AD172</f>
        <v>86.4180721184021</v>
      </c>
      <c r="U172" s="7" t="s">
        <v>51</v>
      </c>
      <c r="V172" s="7" t="s">
        <v>52</v>
      </c>
      <c r="W172" s="7" t="s">
        <v>1042</v>
      </c>
      <c r="X172" s="7" t="n">
        <v>96057</v>
      </c>
      <c r="Y172" s="8" t="n">
        <f aca="false">(X172/P172)*100</f>
        <v>48.6207001275536</v>
      </c>
      <c r="Z172" s="7" t="s">
        <v>54</v>
      </c>
      <c r="AA172" s="7" t="s">
        <v>67</v>
      </c>
      <c r="AB172" s="7" t="s">
        <v>1043</v>
      </c>
      <c r="AC172" s="7" t="n">
        <v>74674</v>
      </c>
      <c r="AD172" s="8" t="n">
        <f aca="false">(AC172/P172)*100</f>
        <v>37.7973719908485</v>
      </c>
      <c r="AE172" s="7" t="s">
        <v>57</v>
      </c>
      <c r="AF172" s="7" t="s">
        <v>57</v>
      </c>
      <c r="AG172" s="7" t="s">
        <v>1044</v>
      </c>
      <c r="AH172" s="7" t="n">
        <v>12480</v>
      </c>
      <c r="AI172" s="8" t="n">
        <f aca="false">(AH172/P172)*100</f>
        <v>6.3169403332591</v>
      </c>
      <c r="AJ172" s="7" t="s">
        <v>59</v>
      </c>
      <c r="AK172" s="7" t="s">
        <v>73</v>
      </c>
      <c r="AL172" s="7" t="s">
        <v>1045</v>
      </c>
      <c r="AM172" s="7" t="n">
        <v>6523</v>
      </c>
      <c r="AN172" s="8" t="n">
        <f aca="false">(AM172/P172)*100</f>
        <v>3.30171488732765</v>
      </c>
      <c r="AO172" s="7" t="s">
        <v>70</v>
      </c>
      <c r="AP172" s="7" t="s">
        <v>71</v>
      </c>
      <c r="AQ172" s="7" t="s">
        <v>1046</v>
      </c>
      <c r="AR172" s="7" t="n">
        <v>5276</v>
      </c>
      <c r="AS172" s="8" t="n">
        <f aca="false">(AR172/P172)*100</f>
        <v>2.67052701909255</v>
      </c>
    </row>
    <row r="173" customFormat="false" ht="12.8" hidden="false" customHeight="true" outlineLevel="0" collapsed="false">
      <c r="A173" s="6" t="n">
        <v>172</v>
      </c>
      <c r="B173" s="7" t="s">
        <v>1047</v>
      </c>
      <c r="C173" s="7" t="s">
        <v>1035</v>
      </c>
      <c r="D173" s="7" t="s">
        <v>902</v>
      </c>
      <c r="E173" s="7" t="s">
        <v>1014</v>
      </c>
      <c r="F173" s="7" t="s">
        <v>49</v>
      </c>
      <c r="G173" s="7" t="s">
        <v>50</v>
      </c>
      <c r="H173" s="7" t="s">
        <v>525</v>
      </c>
      <c r="I173" s="26" t="s">
        <v>904</v>
      </c>
      <c r="J173" s="7" t="s">
        <v>50</v>
      </c>
      <c r="K173" s="7" t="s">
        <v>67</v>
      </c>
      <c r="L173" s="7" t="s">
        <v>50</v>
      </c>
      <c r="M173" s="7" t="s">
        <v>65</v>
      </c>
      <c r="N173" s="7" t="s">
        <v>50</v>
      </c>
      <c r="O173" s="7" t="n">
        <v>260941</v>
      </c>
      <c r="P173" s="7" t="n">
        <v>196982</v>
      </c>
      <c r="Q173" s="8" t="n">
        <f aca="false">(P173/O173)*100</f>
        <v>75.4890952360879</v>
      </c>
      <c r="R173" s="7" t="n">
        <f aca="false">X173-AC173</f>
        <v>16273</v>
      </c>
      <c r="S173" s="8" t="n">
        <f aca="false">(R173/P173)*100</f>
        <v>8.26116091825649</v>
      </c>
      <c r="T173" s="8" t="n">
        <f aca="false">Y173+AD173</f>
        <v>79.6321491303774</v>
      </c>
      <c r="U173" s="7" t="s">
        <v>51</v>
      </c>
      <c r="V173" s="26" t="s">
        <v>904</v>
      </c>
      <c r="W173" s="7" t="s">
        <v>1048</v>
      </c>
      <c r="X173" s="7" t="n">
        <v>86567</v>
      </c>
      <c r="Y173" s="8" t="n">
        <f aca="false">(X173/P173)*100</f>
        <v>43.946655024317</v>
      </c>
      <c r="Z173" s="7" t="s">
        <v>54</v>
      </c>
      <c r="AA173" s="7" t="s">
        <v>67</v>
      </c>
      <c r="AB173" s="7" t="s">
        <v>1049</v>
      </c>
      <c r="AC173" s="7" t="n">
        <v>70294</v>
      </c>
      <c r="AD173" s="8" t="n">
        <f aca="false">(AC173/P173)*100</f>
        <v>35.6854941060605</v>
      </c>
      <c r="AE173" s="7" t="s">
        <v>59</v>
      </c>
      <c r="AF173" s="7" t="s">
        <v>73</v>
      </c>
      <c r="AG173" s="7" t="s">
        <v>1050</v>
      </c>
      <c r="AH173" s="7" t="n">
        <v>19778</v>
      </c>
      <c r="AI173" s="8" t="n">
        <f aca="false">(AH173/P173)*100</f>
        <v>10.0405113157547</v>
      </c>
      <c r="AJ173" s="7" t="s">
        <v>57</v>
      </c>
      <c r="AK173" s="7" t="s">
        <v>57</v>
      </c>
      <c r="AL173" s="7" t="s">
        <v>1051</v>
      </c>
      <c r="AM173" s="7" t="n">
        <v>14724</v>
      </c>
      <c r="AN173" s="8" t="n">
        <f aca="false">(AM173/P173)*100</f>
        <v>7.47479465128794</v>
      </c>
      <c r="AO173" s="7" t="s">
        <v>70</v>
      </c>
      <c r="AP173" s="7" t="s">
        <v>71</v>
      </c>
      <c r="AQ173" s="7" t="s">
        <v>1052</v>
      </c>
      <c r="AR173" s="7" t="n">
        <v>2032</v>
      </c>
      <c r="AS173" s="8" t="n">
        <f aca="false">(AR173/P173)*100</f>
        <v>1.0315663360104</v>
      </c>
    </row>
    <row r="174" customFormat="false" ht="12.8" hidden="false" customHeight="true" outlineLevel="0" collapsed="false">
      <c r="A174" s="6" t="n">
        <v>173</v>
      </c>
      <c r="B174" s="7" t="s">
        <v>1053</v>
      </c>
      <c r="C174" s="7" t="s">
        <v>1035</v>
      </c>
      <c r="D174" s="7" t="s">
        <v>902</v>
      </c>
      <c r="E174" s="7" t="s">
        <v>1014</v>
      </c>
      <c r="F174" s="7" t="s">
        <v>49</v>
      </c>
      <c r="G174" s="7" t="s">
        <v>50</v>
      </c>
      <c r="H174" s="7" t="s">
        <v>50</v>
      </c>
      <c r="I174" s="7" t="s">
        <v>50</v>
      </c>
      <c r="J174" s="7" t="s">
        <v>52</v>
      </c>
      <c r="K174" s="7" t="s">
        <v>50</v>
      </c>
      <c r="L174" s="7" t="s">
        <v>50</v>
      </c>
      <c r="M174" s="7" t="s">
        <v>50</v>
      </c>
      <c r="N174" s="7" t="s">
        <v>50</v>
      </c>
      <c r="O174" s="7" t="n">
        <v>268590</v>
      </c>
      <c r="P174" s="7" t="n">
        <v>211430</v>
      </c>
      <c r="Q174" s="8" t="n">
        <f aca="false">(P174/O174)*100</f>
        <v>78.7184928701739</v>
      </c>
      <c r="R174" s="7" t="n">
        <f aca="false">X174-AC174</f>
        <v>53650</v>
      </c>
      <c r="S174" s="8" t="n">
        <f aca="false">(R174/P174)*100</f>
        <v>25.3748285484558</v>
      </c>
      <c r="T174" s="8" t="n">
        <f aca="false">Y174+AD174</f>
        <v>72.2555928676158</v>
      </c>
      <c r="U174" s="7" t="s">
        <v>51</v>
      </c>
      <c r="V174" s="7" t="s">
        <v>52</v>
      </c>
      <c r="W174" s="7" t="s">
        <v>1054</v>
      </c>
      <c r="X174" s="7" t="n">
        <v>103210</v>
      </c>
      <c r="Y174" s="8" t="n">
        <f aca="false">(X174/P174)*100</f>
        <v>48.8152107080358</v>
      </c>
      <c r="Z174" s="7" t="s">
        <v>54</v>
      </c>
      <c r="AA174" s="7" t="s">
        <v>170</v>
      </c>
      <c r="AB174" s="7" t="s">
        <v>1055</v>
      </c>
      <c r="AC174" s="7" t="n">
        <v>49560</v>
      </c>
      <c r="AD174" s="8" t="n">
        <f aca="false">(AC174/P174)*100</f>
        <v>23.44038215958</v>
      </c>
      <c r="AE174" s="7" t="s">
        <v>59</v>
      </c>
      <c r="AF174" s="7" t="s">
        <v>73</v>
      </c>
      <c r="AG174" s="7" t="s">
        <v>1056</v>
      </c>
      <c r="AH174" s="7" t="n">
        <v>37469</v>
      </c>
      <c r="AI174" s="8" t="n">
        <f aca="false">(AH174/P174)*100</f>
        <v>17.7217045830771</v>
      </c>
      <c r="AJ174" s="7" t="s">
        <v>57</v>
      </c>
      <c r="AK174" s="7" t="s">
        <v>57</v>
      </c>
      <c r="AL174" s="7" t="s">
        <v>1057</v>
      </c>
      <c r="AM174" s="7" t="n">
        <v>15820</v>
      </c>
      <c r="AN174" s="8" t="n">
        <f aca="false">(AM174/P174)*100</f>
        <v>7.48238187579814</v>
      </c>
      <c r="AO174" s="27" t="s">
        <v>1058</v>
      </c>
      <c r="AP174" s="27" t="s">
        <v>1058</v>
      </c>
      <c r="AQ174" s="7" t="s">
        <v>1059</v>
      </c>
      <c r="AR174" s="7" t="n">
        <v>1215</v>
      </c>
      <c r="AS174" s="8" t="n">
        <f aca="false">(AR174/P174)*100</f>
        <v>0.57465827933595</v>
      </c>
    </row>
    <row r="175" customFormat="false" ht="12.8" hidden="false" customHeight="true" outlineLevel="0" collapsed="false">
      <c r="A175" s="6" t="n">
        <v>174</v>
      </c>
      <c r="B175" s="7" t="s">
        <v>1035</v>
      </c>
      <c r="C175" s="7" t="s">
        <v>1035</v>
      </c>
      <c r="D175" s="7" t="s">
        <v>902</v>
      </c>
      <c r="E175" s="7" t="s">
        <v>1014</v>
      </c>
      <c r="F175" s="7" t="s">
        <v>87</v>
      </c>
      <c r="G175" s="7" t="s">
        <v>50</v>
      </c>
      <c r="H175" s="7" t="s">
        <v>525</v>
      </c>
      <c r="I175" s="7" t="s">
        <v>50</v>
      </c>
      <c r="J175" s="7" t="s">
        <v>52</v>
      </c>
      <c r="K175" s="7" t="s">
        <v>67</v>
      </c>
      <c r="L175" s="7" t="s">
        <v>52</v>
      </c>
      <c r="M175" s="7" t="s">
        <v>50</v>
      </c>
      <c r="N175" s="7" t="s">
        <v>168</v>
      </c>
      <c r="O175" s="7" t="n">
        <v>290936</v>
      </c>
      <c r="P175" s="7" t="n">
        <v>194859</v>
      </c>
      <c r="Q175" s="8" t="n">
        <f aca="false">(P175/O175)*100</f>
        <v>66.9765859158028</v>
      </c>
      <c r="R175" s="7" t="n">
        <f aca="false">X175-AC175</f>
        <v>47149</v>
      </c>
      <c r="S175" s="8" t="n">
        <f aca="false">(R175/P175)*100</f>
        <v>24.1964702682452</v>
      </c>
      <c r="T175" s="8" t="n">
        <f aca="false">Y175+AD175</f>
        <v>82.3133650485736</v>
      </c>
      <c r="U175" s="7" t="s">
        <v>51</v>
      </c>
      <c r="V175" s="7" t="s">
        <v>52</v>
      </c>
      <c r="W175" s="7" t="s">
        <v>1060</v>
      </c>
      <c r="X175" s="7" t="n">
        <v>103772</v>
      </c>
      <c r="Y175" s="8" t="n">
        <f aca="false">(X175/P175)*100</f>
        <v>53.2549176584094</v>
      </c>
      <c r="Z175" s="7" t="s">
        <v>54</v>
      </c>
      <c r="AA175" s="7" t="s">
        <v>67</v>
      </c>
      <c r="AB175" s="7" t="s">
        <v>1061</v>
      </c>
      <c r="AC175" s="7" t="n">
        <v>56623</v>
      </c>
      <c r="AD175" s="8" t="n">
        <f aca="false">(AC175/P175)*100</f>
        <v>29.0584473901642</v>
      </c>
      <c r="AE175" s="7" t="s">
        <v>57</v>
      </c>
      <c r="AF175" s="7" t="s">
        <v>57</v>
      </c>
      <c r="AG175" s="7" t="s">
        <v>1062</v>
      </c>
      <c r="AH175" s="7" t="n">
        <v>17366</v>
      </c>
      <c r="AI175" s="8" t="n">
        <f aca="false">(AH175/P175)*100</f>
        <v>8.91208514874858</v>
      </c>
      <c r="AJ175" s="7" t="s">
        <v>70</v>
      </c>
      <c r="AK175" s="7" t="s">
        <v>71</v>
      </c>
      <c r="AL175" s="7" t="s">
        <v>1063</v>
      </c>
      <c r="AM175" s="7" t="n">
        <v>9681</v>
      </c>
      <c r="AN175" s="8" t="n">
        <f aca="false">(AM175/P175)*100</f>
        <v>4.96820778101089</v>
      </c>
      <c r="AO175" s="7" t="s">
        <v>59</v>
      </c>
      <c r="AP175" s="7" t="s">
        <v>60</v>
      </c>
      <c r="AQ175" s="7" t="s">
        <v>1064</v>
      </c>
      <c r="AR175" s="7" t="n">
        <v>4246</v>
      </c>
      <c r="AS175" s="8" t="n">
        <f aca="false">(AR175/P175)*100</f>
        <v>2.1790114903597</v>
      </c>
    </row>
    <row r="176" customFormat="false" ht="12.8" hidden="false" customHeight="true" outlineLevel="0" collapsed="false">
      <c r="A176" s="6" t="n">
        <v>175</v>
      </c>
      <c r="B176" s="7" t="s">
        <v>1065</v>
      </c>
      <c r="C176" s="7" t="s">
        <v>1035</v>
      </c>
      <c r="D176" s="7" t="s">
        <v>902</v>
      </c>
      <c r="E176" s="7" t="s">
        <v>1014</v>
      </c>
      <c r="F176" s="7" t="s">
        <v>49</v>
      </c>
      <c r="G176" s="7" t="s">
        <v>50</v>
      </c>
      <c r="H176" s="7" t="s">
        <v>525</v>
      </c>
      <c r="I176" s="7" t="s">
        <v>50</v>
      </c>
      <c r="J176" s="7" t="s">
        <v>67</v>
      </c>
      <c r="K176" s="7" t="s">
        <v>67</v>
      </c>
      <c r="L176" s="7" t="s">
        <v>50</v>
      </c>
      <c r="M176" s="7" t="s">
        <v>50</v>
      </c>
      <c r="N176" s="7" t="s">
        <v>50</v>
      </c>
      <c r="O176" s="7" t="n">
        <v>243747</v>
      </c>
      <c r="P176" s="7" t="n">
        <v>191840</v>
      </c>
      <c r="Q176" s="8" t="n">
        <f aca="false">(P176/O176)*100</f>
        <v>78.7045584150779</v>
      </c>
      <c r="R176" s="7" t="n">
        <f aca="false">X176-AC176</f>
        <v>28835</v>
      </c>
      <c r="S176" s="8" t="n">
        <f aca="false">(R176/P176)*100</f>
        <v>15.0307547956631</v>
      </c>
      <c r="T176" s="8" t="n">
        <f aca="false">Y176+AD176</f>
        <v>78.8631150959133</v>
      </c>
      <c r="U176" s="7" t="s">
        <v>54</v>
      </c>
      <c r="V176" s="7" t="s">
        <v>67</v>
      </c>
      <c r="W176" s="7" t="s">
        <v>1066</v>
      </c>
      <c r="X176" s="7" t="n">
        <v>90063</v>
      </c>
      <c r="Y176" s="8" t="n">
        <f aca="false">(X176/P176)*100</f>
        <v>46.9469349457882</v>
      </c>
      <c r="Z176" s="7" t="s">
        <v>51</v>
      </c>
      <c r="AA176" s="7" t="s">
        <v>52</v>
      </c>
      <c r="AB176" s="7" t="s">
        <v>1067</v>
      </c>
      <c r="AC176" s="7" t="n">
        <v>61228</v>
      </c>
      <c r="AD176" s="8" t="n">
        <f aca="false">(AC176/P176)*100</f>
        <v>31.9161801501251</v>
      </c>
      <c r="AE176" s="7" t="s">
        <v>59</v>
      </c>
      <c r="AF176" s="7" t="s">
        <v>73</v>
      </c>
      <c r="AG176" s="7" t="s">
        <v>1068</v>
      </c>
      <c r="AH176" s="7" t="n">
        <v>26022</v>
      </c>
      <c r="AI176" s="8" t="n">
        <f aca="false">(AH176/P176)*100</f>
        <v>13.5644286905755</v>
      </c>
      <c r="AJ176" s="7" t="s">
        <v>57</v>
      </c>
      <c r="AK176" s="7" t="s">
        <v>57</v>
      </c>
      <c r="AL176" s="7" t="s">
        <v>1069</v>
      </c>
      <c r="AM176" s="7" t="n">
        <v>9050</v>
      </c>
      <c r="AN176" s="8" t="n">
        <f aca="false">(AM176/P176)*100</f>
        <v>4.7174728940784</v>
      </c>
      <c r="AO176" s="7" t="s">
        <v>196</v>
      </c>
      <c r="AP176" s="7" t="s">
        <v>196</v>
      </c>
      <c r="AQ176" s="7" t="s">
        <v>1070</v>
      </c>
      <c r="AR176" s="7" t="n">
        <v>2041</v>
      </c>
      <c r="AS176" s="8" t="n">
        <f aca="false">(AR176/P176)*100</f>
        <v>1.06390742285238</v>
      </c>
    </row>
    <row r="177" customFormat="false" ht="12.8" hidden="false" customHeight="true" outlineLevel="0" collapsed="false">
      <c r="A177" s="6" t="n">
        <v>176</v>
      </c>
      <c r="B177" s="7" t="s">
        <v>1071</v>
      </c>
      <c r="C177" s="7" t="s">
        <v>1035</v>
      </c>
      <c r="D177" s="7" t="s">
        <v>902</v>
      </c>
      <c r="E177" s="7" t="s">
        <v>1014</v>
      </c>
      <c r="F177" s="7" t="s">
        <v>76</v>
      </c>
      <c r="G177" s="7" t="s">
        <v>50</v>
      </c>
      <c r="H177" s="7" t="s">
        <v>50</v>
      </c>
      <c r="I177" s="7" t="s">
        <v>50</v>
      </c>
      <c r="J177" s="7" t="s">
        <v>50</v>
      </c>
      <c r="K177" s="7" t="s">
        <v>65</v>
      </c>
      <c r="L177" s="7" t="s">
        <v>50</v>
      </c>
      <c r="M177" s="7" t="s">
        <v>50</v>
      </c>
      <c r="N177" s="7" t="s">
        <v>50</v>
      </c>
      <c r="O177" s="7" t="n">
        <v>245863</v>
      </c>
      <c r="P177" s="7" t="n">
        <v>177200</v>
      </c>
      <c r="Q177" s="8" t="n">
        <f aca="false">(P177/O177)*100</f>
        <v>72.0726583503821</v>
      </c>
      <c r="R177" s="7" t="n">
        <f aca="false">X177-AC177</f>
        <v>25269</v>
      </c>
      <c r="S177" s="8" t="n">
        <f aca="false">(R177/P177)*100</f>
        <v>14.260158013544</v>
      </c>
      <c r="T177" s="8" t="n">
        <f aca="false">Y177+AD177</f>
        <v>74.9779909706546</v>
      </c>
      <c r="U177" s="7" t="s">
        <v>51</v>
      </c>
      <c r="V177" s="7" t="s">
        <v>52</v>
      </c>
      <c r="W177" s="7" t="s">
        <v>1072</v>
      </c>
      <c r="X177" s="7" t="n">
        <v>79065</v>
      </c>
      <c r="Y177" s="8" t="n">
        <f aca="false">(X177/P177)*100</f>
        <v>44.6190744920993</v>
      </c>
      <c r="Z177" s="7" t="s">
        <v>54</v>
      </c>
      <c r="AA177" s="7" t="s">
        <v>67</v>
      </c>
      <c r="AB177" s="7" t="s">
        <v>1073</v>
      </c>
      <c r="AC177" s="7" t="n">
        <v>53796</v>
      </c>
      <c r="AD177" s="8" t="n">
        <f aca="false">(AC177/P177)*100</f>
        <v>30.3589164785553</v>
      </c>
      <c r="AE177" s="7" t="s">
        <v>196</v>
      </c>
      <c r="AF177" s="7" t="s">
        <v>196</v>
      </c>
      <c r="AG177" s="7" t="s">
        <v>1074</v>
      </c>
      <c r="AH177" s="7" t="n">
        <v>23771</v>
      </c>
      <c r="AI177" s="8" t="n">
        <f aca="false">(AH177/P177)*100</f>
        <v>13.4147855530474</v>
      </c>
      <c r="AJ177" s="7" t="s">
        <v>57</v>
      </c>
      <c r="AK177" s="7" t="s">
        <v>57</v>
      </c>
      <c r="AL177" s="7" t="s">
        <v>1075</v>
      </c>
      <c r="AM177" s="7" t="n">
        <v>10730</v>
      </c>
      <c r="AN177" s="8" t="n">
        <f aca="false">(AM177/P177)*100</f>
        <v>6.05530474040632</v>
      </c>
      <c r="AO177" s="7" t="s">
        <v>59</v>
      </c>
      <c r="AP177" s="7" t="s">
        <v>73</v>
      </c>
      <c r="AQ177" s="7" t="s">
        <v>1076</v>
      </c>
      <c r="AR177" s="7" t="n">
        <v>5223</v>
      </c>
      <c r="AS177" s="8" t="n">
        <f aca="false">(AR177/P177)*100</f>
        <v>2.94751693002257</v>
      </c>
    </row>
    <row r="178" customFormat="false" ht="12.8" hidden="false" customHeight="true" outlineLevel="0" collapsed="false">
      <c r="A178" s="6" t="n">
        <v>177</v>
      </c>
      <c r="B178" s="7" t="s">
        <v>1077</v>
      </c>
      <c r="C178" s="7" t="s">
        <v>1035</v>
      </c>
      <c r="D178" s="7" t="s">
        <v>902</v>
      </c>
      <c r="E178" s="7" t="s">
        <v>1014</v>
      </c>
      <c r="F178" s="7" t="s">
        <v>49</v>
      </c>
      <c r="G178" s="7" t="s">
        <v>50</v>
      </c>
      <c r="H178" s="7" t="s">
        <v>50</v>
      </c>
      <c r="I178" s="7" t="s">
        <v>50</v>
      </c>
      <c r="J178" s="7" t="s">
        <v>50</v>
      </c>
      <c r="K178" s="7" t="s">
        <v>67</v>
      </c>
      <c r="L178" s="7" t="s">
        <v>50</v>
      </c>
      <c r="M178" s="7" t="s">
        <v>50</v>
      </c>
      <c r="N178" s="7" t="s">
        <v>50</v>
      </c>
      <c r="O178" s="7" t="n">
        <v>220162</v>
      </c>
      <c r="P178" s="7" t="n">
        <v>170850</v>
      </c>
      <c r="Q178" s="8" t="n">
        <f aca="false">(P178/O178)*100</f>
        <v>77.6019476567255</v>
      </c>
      <c r="R178" s="7" t="n">
        <f aca="false">X178-AC178</f>
        <v>23503</v>
      </c>
      <c r="S178" s="8" t="n">
        <f aca="false">(R178/P178)*100</f>
        <v>13.7565115598478</v>
      </c>
      <c r="T178" s="8" t="n">
        <f aca="false">Y178+AD178</f>
        <v>90.5806262803629</v>
      </c>
      <c r="U178" s="7" t="s">
        <v>51</v>
      </c>
      <c r="V178" s="7" t="s">
        <v>52</v>
      </c>
      <c r="W178" s="7" t="s">
        <v>1078</v>
      </c>
      <c r="X178" s="7" t="n">
        <v>89130</v>
      </c>
      <c r="Y178" s="8" t="n">
        <f aca="false">(X178/P178)*100</f>
        <v>52.1685689201054</v>
      </c>
      <c r="Z178" s="7" t="s">
        <v>54</v>
      </c>
      <c r="AA178" s="7" t="s">
        <v>67</v>
      </c>
      <c r="AB178" s="7" t="s">
        <v>1079</v>
      </c>
      <c r="AC178" s="7" t="n">
        <v>65627</v>
      </c>
      <c r="AD178" s="8" t="n">
        <f aca="false">(AC178/P178)*100</f>
        <v>38.4120573602575</v>
      </c>
      <c r="AE178" s="7" t="s">
        <v>57</v>
      </c>
      <c r="AF178" s="7" t="s">
        <v>57</v>
      </c>
      <c r="AG178" s="7" t="s">
        <v>1080</v>
      </c>
      <c r="AH178" s="7" t="n">
        <v>12154</v>
      </c>
      <c r="AI178" s="8" t="n">
        <f aca="false">(AH178/P178)*100</f>
        <v>7.11384255194615</v>
      </c>
      <c r="AJ178" s="7" t="s">
        <v>59</v>
      </c>
      <c r="AK178" s="7" t="s">
        <v>60</v>
      </c>
      <c r="AL178" s="7" t="s">
        <v>1081</v>
      </c>
      <c r="AM178" s="7" t="n">
        <v>1623</v>
      </c>
      <c r="AN178" s="8" t="n">
        <f aca="false">(AM178/P178)*100</f>
        <v>0.949956101843723</v>
      </c>
      <c r="AO178" s="7" t="s">
        <v>62</v>
      </c>
      <c r="AP178" s="7" t="s">
        <v>62</v>
      </c>
      <c r="AQ178" s="7" t="s">
        <v>62</v>
      </c>
      <c r="AR178" s="7" t="n">
        <v>770</v>
      </c>
      <c r="AS178" s="8" t="n">
        <f aca="false">(AR178/P178)*100</f>
        <v>0.45068773778168</v>
      </c>
    </row>
    <row r="179" customFormat="false" ht="12.8" hidden="false" customHeight="true" outlineLevel="0" collapsed="false">
      <c r="A179" s="6" t="n">
        <v>178</v>
      </c>
      <c r="B179" s="7" t="s">
        <v>1082</v>
      </c>
      <c r="C179" s="7" t="s">
        <v>1083</v>
      </c>
      <c r="D179" s="7" t="s">
        <v>191</v>
      </c>
      <c r="E179" s="7" t="s">
        <v>1084</v>
      </c>
      <c r="F179" s="7" t="s">
        <v>49</v>
      </c>
      <c r="G179" s="7" t="s">
        <v>64</v>
      </c>
      <c r="H179" s="7" t="s">
        <v>50</v>
      </c>
      <c r="I179" s="7" t="s">
        <v>50</v>
      </c>
      <c r="J179" s="7" t="s">
        <v>50</v>
      </c>
      <c r="K179" s="7" t="s">
        <v>50</v>
      </c>
      <c r="L179" s="7" t="s">
        <v>50</v>
      </c>
      <c r="M179" s="7" t="s">
        <v>50</v>
      </c>
      <c r="N179" s="7" t="s">
        <v>50</v>
      </c>
      <c r="O179" s="7" t="n">
        <v>201607</v>
      </c>
      <c r="P179" s="7" t="n">
        <v>157620</v>
      </c>
      <c r="Q179" s="8" t="n">
        <f aca="false">(P179/O179)*100</f>
        <v>78.1818091633723</v>
      </c>
      <c r="R179" s="7" t="n">
        <f aca="false">X179-AC179</f>
        <v>12721</v>
      </c>
      <c r="S179" s="8" t="n">
        <f aca="false">(R179/P179)*100</f>
        <v>8.07067631011293</v>
      </c>
      <c r="T179" s="8" t="n">
        <f aca="false">Y179+AD179</f>
        <v>80.3825656642558</v>
      </c>
      <c r="U179" s="7" t="s">
        <v>51</v>
      </c>
      <c r="V179" s="7" t="s">
        <v>421</v>
      </c>
      <c r="W179" s="7" t="s">
        <v>1085</v>
      </c>
      <c r="X179" s="7" t="n">
        <v>69710</v>
      </c>
      <c r="Y179" s="8" t="n">
        <f aca="false">(X179/P179)*100</f>
        <v>44.2266209871844</v>
      </c>
      <c r="Z179" s="7" t="s">
        <v>54</v>
      </c>
      <c r="AA179" s="7" t="s">
        <v>67</v>
      </c>
      <c r="AB179" s="7" t="s">
        <v>1086</v>
      </c>
      <c r="AC179" s="7" t="n">
        <v>56989</v>
      </c>
      <c r="AD179" s="8" t="n">
        <f aca="false">(AC179/P179)*100</f>
        <v>36.1559446770714</v>
      </c>
      <c r="AE179" s="7" t="s">
        <v>59</v>
      </c>
      <c r="AF179" s="7" t="s">
        <v>73</v>
      </c>
      <c r="AG179" s="7" t="s">
        <v>1087</v>
      </c>
      <c r="AH179" s="7" t="n">
        <v>12840</v>
      </c>
      <c r="AI179" s="8" t="n">
        <f aca="false">(AH179/P179)*100</f>
        <v>8.14617434335744</v>
      </c>
      <c r="AJ179" s="7" t="s">
        <v>57</v>
      </c>
      <c r="AK179" s="7" t="s">
        <v>57</v>
      </c>
      <c r="AL179" s="7" t="s">
        <v>1088</v>
      </c>
      <c r="AM179" s="7" t="n">
        <v>12661</v>
      </c>
      <c r="AN179" s="8" t="n">
        <f aca="false">(AM179/P179)*100</f>
        <v>8.0326100748636</v>
      </c>
      <c r="AO179" s="7" t="s">
        <v>62</v>
      </c>
      <c r="AP179" s="7" t="s">
        <v>62</v>
      </c>
      <c r="AQ179" s="7" t="s">
        <v>62</v>
      </c>
      <c r="AR179" s="7" t="n">
        <v>1390</v>
      </c>
      <c r="AS179" s="8" t="n">
        <f aca="false">(AR179/P179)*100</f>
        <v>0.881867783276234</v>
      </c>
    </row>
    <row r="180" customFormat="false" ht="12.8" hidden="false" customHeight="true" outlineLevel="0" collapsed="false">
      <c r="A180" s="6" t="n">
        <v>179</v>
      </c>
      <c r="B180" s="7" t="s">
        <v>1089</v>
      </c>
      <c r="C180" s="7" t="s">
        <v>1083</v>
      </c>
      <c r="D180" s="7" t="s">
        <v>191</v>
      </c>
      <c r="E180" s="7" t="s">
        <v>1084</v>
      </c>
      <c r="F180" s="7" t="s">
        <v>49</v>
      </c>
      <c r="G180" s="7" t="s">
        <v>50</v>
      </c>
      <c r="H180" s="7" t="s">
        <v>50</v>
      </c>
      <c r="I180" s="7" t="s">
        <v>50</v>
      </c>
      <c r="J180" s="7" t="s">
        <v>67</v>
      </c>
      <c r="K180" s="7" t="s">
        <v>50</v>
      </c>
      <c r="L180" s="7" t="s">
        <v>67</v>
      </c>
      <c r="M180" s="7" t="s">
        <v>50</v>
      </c>
      <c r="N180" s="7" t="s">
        <v>50</v>
      </c>
      <c r="O180" s="7" t="n">
        <v>225189</v>
      </c>
      <c r="P180" s="7" t="n">
        <v>193423</v>
      </c>
      <c r="Q180" s="8" t="n">
        <f aca="false">(P180/O180)*100</f>
        <v>85.8936271309878</v>
      </c>
      <c r="R180" s="7" t="n">
        <f aca="false">X180-AC180</f>
        <v>23598</v>
      </c>
      <c r="S180" s="8" t="n">
        <f aca="false">(R180/P180)*100</f>
        <v>12.2002036986294</v>
      </c>
      <c r="T180" s="8" t="n">
        <f aca="false">Y180+AD180</f>
        <v>93.4532087704151</v>
      </c>
      <c r="U180" s="7" t="s">
        <v>54</v>
      </c>
      <c r="V180" s="7" t="s">
        <v>67</v>
      </c>
      <c r="W180" s="7" t="s">
        <v>1090</v>
      </c>
      <c r="X180" s="7" t="n">
        <v>102179</v>
      </c>
      <c r="Y180" s="8" t="n">
        <f aca="false">(X180/P180)*100</f>
        <v>52.8267062345223</v>
      </c>
      <c r="Z180" s="7" t="s">
        <v>51</v>
      </c>
      <c r="AA180" s="7" t="s">
        <v>52</v>
      </c>
      <c r="AB180" s="7" t="s">
        <v>1091</v>
      </c>
      <c r="AC180" s="7" t="n">
        <v>78581</v>
      </c>
      <c r="AD180" s="8" t="n">
        <f aca="false">(AC180/P180)*100</f>
        <v>40.6265025358928</v>
      </c>
      <c r="AE180" s="7" t="s">
        <v>57</v>
      </c>
      <c r="AF180" s="7" t="s">
        <v>57</v>
      </c>
      <c r="AG180" s="7" t="s">
        <v>1092</v>
      </c>
      <c r="AH180" s="7" t="n">
        <v>7035</v>
      </c>
      <c r="AI180" s="8" t="n">
        <f aca="false">(AH180/P180)*100</f>
        <v>3.63710623865828</v>
      </c>
      <c r="AJ180" s="7" t="s">
        <v>59</v>
      </c>
      <c r="AK180" s="7" t="s">
        <v>73</v>
      </c>
      <c r="AL180" s="7" t="s">
        <v>1093</v>
      </c>
      <c r="AM180" s="7" t="n">
        <v>1228</v>
      </c>
      <c r="AN180" s="8" t="n">
        <f aca="false">(AM180/P180)*100</f>
        <v>0.634877961772902</v>
      </c>
      <c r="AO180" s="7" t="s">
        <v>196</v>
      </c>
      <c r="AP180" s="7" t="s">
        <v>196</v>
      </c>
      <c r="AQ180" s="7" t="s">
        <v>1094</v>
      </c>
      <c r="AR180" s="7" t="n">
        <v>620</v>
      </c>
      <c r="AS180" s="8" t="n">
        <f aca="false">(AR180/P180)*100</f>
        <v>0.320540990471661</v>
      </c>
    </row>
    <row r="181" customFormat="false" ht="12.8" hidden="false" customHeight="true" outlineLevel="0" collapsed="false">
      <c r="A181" s="6" t="n">
        <v>180</v>
      </c>
      <c r="B181" s="7" t="s">
        <v>1095</v>
      </c>
      <c r="C181" s="7" t="s">
        <v>1083</v>
      </c>
      <c r="D181" s="7" t="s">
        <v>191</v>
      </c>
      <c r="E181" s="7" t="s">
        <v>1084</v>
      </c>
      <c r="F181" s="7" t="s">
        <v>87</v>
      </c>
      <c r="G181" s="7" t="s">
        <v>50</v>
      </c>
      <c r="H181" s="7" t="s">
        <v>50</v>
      </c>
      <c r="I181" s="7" t="s">
        <v>50</v>
      </c>
      <c r="J181" s="7" t="s">
        <v>50</v>
      </c>
      <c r="K181" s="7" t="s">
        <v>50</v>
      </c>
      <c r="L181" s="7" t="s">
        <v>50</v>
      </c>
      <c r="M181" s="7" t="s">
        <v>65</v>
      </c>
      <c r="N181" s="7" t="s">
        <v>50</v>
      </c>
      <c r="O181" s="7" t="n">
        <v>244029</v>
      </c>
      <c r="P181" s="7" t="n">
        <v>179892</v>
      </c>
      <c r="Q181" s="8" t="n">
        <f aca="false">(P181/O181)*100</f>
        <v>73.7174680058518</v>
      </c>
      <c r="R181" s="7" t="n">
        <f aca="false">X181-AC181</f>
        <v>13001</v>
      </c>
      <c r="S181" s="8" t="n">
        <f aca="false">(R181/P181)*100</f>
        <v>7.2271140462055</v>
      </c>
      <c r="T181" s="8" t="n">
        <f aca="false">Y181+AD181</f>
        <v>88.1656771840882</v>
      </c>
      <c r="U181" s="7" t="s">
        <v>51</v>
      </c>
      <c r="V181" s="7" t="s">
        <v>52</v>
      </c>
      <c r="W181" s="7" t="s">
        <v>1096</v>
      </c>
      <c r="X181" s="7" t="n">
        <v>85802</v>
      </c>
      <c r="Y181" s="8" t="n">
        <f aca="false">(X181/P181)*100</f>
        <v>47.6963956151469</v>
      </c>
      <c r="Z181" s="7" t="s">
        <v>54</v>
      </c>
      <c r="AA181" s="7" t="s">
        <v>67</v>
      </c>
      <c r="AB181" s="7" t="s">
        <v>1097</v>
      </c>
      <c r="AC181" s="7" t="n">
        <v>72801</v>
      </c>
      <c r="AD181" s="8" t="n">
        <f aca="false">(AC181/P181)*100</f>
        <v>40.4692815689414</v>
      </c>
      <c r="AE181" s="7" t="s">
        <v>57</v>
      </c>
      <c r="AF181" s="7" t="s">
        <v>57</v>
      </c>
      <c r="AG181" s="7" t="s">
        <v>1098</v>
      </c>
      <c r="AH181" s="7" t="n">
        <v>11503</v>
      </c>
      <c r="AI181" s="8" t="n">
        <f aca="false">(AH181/P181)*100</f>
        <v>6.39439219087008</v>
      </c>
      <c r="AJ181" s="7" t="s">
        <v>70</v>
      </c>
      <c r="AK181" s="7" t="s">
        <v>71</v>
      </c>
      <c r="AL181" s="7" t="s">
        <v>1099</v>
      </c>
      <c r="AM181" s="7" t="n">
        <v>3948</v>
      </c>
      <c r="AN181" s="8" t="n">
        <f aca="false">(AM181/P181)*100</f>
        <v>2.19465012340738</v>
      </c>
      <c r="AO181" s="7" t="s">
        <v>59</v>
      </c>
      <c r="AP181" s="7" t="s">
        <v>60</v>
      </c>
      <c r="AQ181" s="7" t="s">
        <v>1100</v>
      </c>
      <c r="AR181" s="7" t="n">
        <v>1873</v>
      </c>
      <c r="AS181" s="8" t="n">
        <f aca="false">(AR181/P181)*100</f>
        <v>1.04118026371378</v>
      </c>
    </row>
    <row r="182" customFormat="false" ht="12.8" hidden="false" customHeight="true" outlineLevel="0" collapsed="false">
      <c r="A182" s="6" t="n">
        <v>181</v>
      </c>
      <c r="B182" s="7" t="s">
        <v>1101</v>
      </c>
      <c r="C182" s="7" t="s">
        <v>1083</v>
      </c>
      <c r="D182" s="7" t="s">
        <v>191</v>
      </c>
      <c r="E182" s="7" t="s">
        <v>1084</v>
      </c>
      <c r="F182" s="7" t="s">
        <v>49</v>
      </c>
      <c r="G182" s="7" t="s">
        <v>50</v>
      </c>
      <c r="H182" s="7" t="s">
        <v>50</v>
      </c>
      <c r="I182" s="7" t="s">
        <v>50</v>
      </c>
      <c r="J182" s="7" t="s">
        <v>52</v>
      </c>
      <c r="K182" s="7" t="s">
        <v>50</v>
      </c>
      <c r="L182" s="7" t="s">
        <v>50</v>
      </c>
      <c r="M182" s="7" t="s">
        <v>50</v>
      </c>
      <c r="N182" s="7" t="s">
        <v>50</v>
      </c>
      <c r="O182" s="7" t="n">
        <v>227883</v>
      </c>
      <c r="P182" s="7" t="n">
        <v>174031</v>
      </c>
      <c r="Q182" s="8" t="n">
        <f aca="false">(P182/O182)*100</f>
        <v>76.3685751021358</v>
      </c>
      <c r="R182" s="7" t="n">
        <f aca="false">X182-AC182</f>
        <v>1382</v>
      </c>
      <c r="S182" s="8" t="n">
        <f aca="false">(R182/P182)*100</f>
        <v>0.794111393947055</v>
      </c>
      <c r="T182" s="8" t="n">
        <f aca="false">Y182+AD182</f>
        <v>81.2016249978452</v>
      </c>
      <c r="U182" s="7" t="s">
        <v>51</v>
      </c>
      <c r="V182" s="7" t="s">
        <v>52</v>
      </c>
      <c r="W182" s="7" t="s">
        <v>1102</v>
      </c>
      <c r="X182" s="7" t="n">
        <v>71349</v>
      </c>
      <c r="Y182" s="8" t="n">
        <f aca="false">(X182/P182)*100</f>
        <v>40.9978681958961</v>
      </c>
      <c r="Z182" s="7" t="s">
        <v>54</v>
      </c>
      <c r="AA182" s="7" t="s">
        <v>67</v>
      </c>
      <c r="AB182" s="7" t="s">
        <v>1103</v>
      </c>
      <c r="AC182" s="7" t="n">
        <v>69967</v>
      </c>
      <c r="AD182" s="8" t="n">
        <f aca="false">(AC182/P182)*100</f>
        <v>40.2037568019491</v>
      </c>
      <c r="AE182" s="7" t="s">
        <v>196</v>
      </c>
      <c r="AF182" s="7" t="s">
        <v>196</v>
      </c>
      <c r="AG182" s="7" t="s">
        <v>437</v>
      </c>
      <c r="AH182" s="7" t="n">
        <v>15144</v>
      </c>
      <c r="AI182" s="8" t="n">
        <f aca="false">(AH182/P182)*100</f>
        <v>8.70189793772374</v>
      </c>
      <c r="AJ182" s="7" t="s">
        <v>57</v>
      </c>
      <c r="AK182" s="7" t="s">
        <v>57</v>
      </c>
      <c r="AL182" s="7" t="s">
        <v>1104</v>
      </c>
      <c r="AM182" s="7" t="n">
        <v>11061</v>
      </c>
      <c r="AN182" s="8" t="n">
        <f aca="false">(AM182/P182)*100</f>
        <v>6.35576420292936</v>
      </c>
      <c r="AO182" s="7" t="s">
        <v>59</v>
      </c>
      <c r="AP182" s="7" t="s">
        <v>73</v>
      </c>
      <c r="AQ182" s="7" t="s">
        <v>1105</v>
      </c>
      <c r="AR182" s="7" t="n">
        <v>1503</v>
      </c>
      <c r="AS182" s="8" t="n">
        <f aca="false">(AR182/P182)*100</f>
        <v>0.863639236687717</v>
      </c>
    </row>
    <row r="183" customFormat="false" ht="12.8" hidden="false" customHeight="true" outlineLevel="0" collapsed="false">
      <c r="A183" s="6" t="n">
        <v>182</v>
      </c>
      <c r="B183" s="7" t="s">
        <v>1106</v>
      </c>
      <c r="C183" s="7" t="s">
        <v>1083</v>
      </c>
      <c r="D183" s="7" t="s">
        <v>191</v>
      </c>
      <c r="E183" s="7" t="s">
        <v>1084</v>
      </c>
      <c r="F183" s="7" t="s">
        <v>49</v>
      </c>
      <c r="G183" s="7" t="s">
        <v>50</v>
      </c>
      <c r="H183" s="7" t="s">
        <v>50</v>
      </c>
      <c r="I183" s="7" t="s">
        <v>50</v>
      </c>
      <c r="J183" s="7" t="s">
        <v>50</v>
      </c>
      <c r="K183" s="7" t="s">
        <v>67</v>
      </c>
      <c r="L183" s="7" t="s">
        <v>50</v>
      </c>
      <c r="M183" s="7" t="s">
        <v>50</v>
      </c>
      <c r="N183" s="7" t="s">
        <v>50</v>
      </c>
      <c r="O183" s="7" t="n">
        <v>217344</v>
      </c>
      <c r="P183" s="7" t="n">
        <v>171842</v>
      </c>
      <c r="Q183" s="8" t="n">
        <f aca="false">(P183/O183)*100</f>
        <v>79.0645244405183</v>
      </c>
      <c r="R183" s="7" t="n">
        <f aca="false">X183-AC183</f>
        <v>25847</v>
      </c>
      <c r="S183" s="8" t="n">
        <f aca="false">(R183/P183)*100</f>
        <v>15.0411424448039</v>
      </c>
      <c r="T183" s="8" t="n">
        <f aca="false">Y183+AD183</f>
        <v>87.3028712421876</v>
      </c>
      <c r="U183" s="7" t="s">
        <v>51</v>
      </c>
      <c r="V183" s="7" t="s">
        <v>52</v>
      </c>
      <c r="W183" s="7" t="s">
        <v>1107</v>
      </c>
      <c r="X183" s="7" t="n">
        <v>87935</v>
      </c>
      <c r="Y183" s="8" t="n">
        <f aca="false">(X183/P183)*100</f>
        <v>51.1720068434958</v>
      </c>
      <c r="Z183" s="7" t="s">
        <v>54</v>
      </c>
      <c r="AA183" s="7" t="s">
        <v>67</v>
      </c>
      <c r="AB183" s="7" t="s">
        <v>1108</v>
      </c>
      <c r="AC183" s="7" t="n">
        <v>62088</v>
      </c>
      <c r="AD183" s="8" t="n">
        <f aca="false">(AC183/P183)*100</f>
        <v>36.1308643986918</v>
      </c>
      <c r="AE183" s="7" t="s">
        <v>57</v>
      </c>
      <c r="AF183" s="7" t="s">
        <v>57</v>
      </c>
      <c r="AG183" s="7" t="s">
        <v>1109</v>
      </c>
      <c r="AH183" s="7" t="n">
        <v>15477</v>
      </c>
      <c r="AI183" s="8" t="n">
        <f aca="false">(AH183/P183)*100</f>
        <v>9.00652925361669</v>
      </c>
      <c r="AJ183" s="7" t="s">
        <v>59</v>
      </c>
      <c r="AK183" s="7" t="s">
        <v>73</v>
      </c>
      <c r="AL183" s="7" t="s">
        <v>1110</v>
      </c>
      <c r="AM183" s="7" t="n">
        <v>2924</v>
      </c>
      <c r="AN183" s="8" t="n">
        <f aca="false">(AM183/P183)*100</f>
        <v>1.7015630637446</v>
      </c>
      <c r="AO183" s="7" t="s">
        <v>70</v>
      </c>
      <c r="AP183" s="7" t="s">
        <v>71</v>
      </c>
      <c r="AQ183" s="7" t="s">
        <v>1111</v>
      </c>
      <c r="AR183" s="7" t="n">
        <v>1230</v>
      </c>
      <c r="AS183" s="8" t="n">
        <f aca="false">(AR183/P183)*100</f>
        <v>0.715773792204467</v>
      </c>
    </row>
    <row r="184" customFormat="false" ht="12.8" hidden="false" customHeight="true" outlineLevel="0" collapsed="false">
      <c r="A184" s="6" t="n">
        <v>183</v>
      </c>
      <c r="B184" s="7" t="s">
        <v>1112</v>
      </c>
      <c r="C184" s="7" t="s">
        <v>1083</v>
      </c>
      <c r="D184" s="7" t="s">
        <v>191</v>
      </c>
      <c r="E184" s="7" t="s">
        <v>1084</v>
      </c>
      <c r="F184" s="7" t="s">
        <v>49</v>
      </c>
      <c r="G184" s="7" t="s">
        <v>50</v>
      </c>
      <c r="H184" s="7" t="s">
        <v>525</v>
      </c>
      <c r="I184" s="7" t="s">
        <v>50</v>
      </c>
      <c r="J184" s="7" t="s">
        <v>50</v>
      </c>
      <c r="K184" s="28" t="s">
        <v>1113</v>
      </c>
      <c r="L184" s="7" t="s">
        <v>50</v>
      </c>
      <c r="M184" s="28" t="s">
        <v>1113</v>
      </c>
      <c r="N184" s="7" t="s">
        <v>50</v>
      </c>
      <c r="O184" s="7" t="n">
        <v>237024</v>
      </c>
      <c r="P184" s="7" t="n">
        <v>168048</v>
      </c>
      <c r="Q184" s="8" t="n">
        <f aca="false">(P184/O184)*100</f>
        <v>70.8991494532199</v>
      </c>
      <c r="R184" s="7" t="n">
        <f aca="false">X184-AC184</f>
        <v>30893</v>
      </c>
      <c r="S184" s="8" t="n">
        <f aca="false">(R184/P184)*100</f>
        <v>18.3834380653147</v>
      </c>
      <c r="T184" s="8" t="n">
        <f aca="false">Y184+AD184</f>
        <v>79.011353898886</v>
      </c>
      <c r="U184" s="7" t="s">
        <v>51</v>
      </c>
      <c r="V184" s="7" t="s">
        <v>65</v>
      </c>
      <c r="W184" s="7" t="s">
        <v>392</v>
      </c>
      <c r="X184" s="7" t="n">
        <v>81835</v>
      </c>
      <c r="Y184" s="8" t="n">
        <f aca="false">(X184/P184)*100</f>
        <v>48.6973959821004</v>
      </c>
      <c r="Z184" s="7" t="s">
        <v>54</v>
      </c>
      <c r="AA184" s="7" t="s">
        <v>67</v>
      </c>
      <c r="AB184" s="7" t="s">
        <v>1114</v>
      </c>
      <c r="AC184" s="7" t="n">
        <v>50942</v>
      </c>
      <c r="AD184" s="8" t="n">
        <f aca="false">(AC184/P184)*100</f>
        <v>30.3139579167857</v>
      </c>
      <c r="AE184" s="7" t="s">
        <v>57</v>
      </c>
      <c r="AF184" s="7" t="s">
        <v>57</v>
      </c>
      <c r="AG184" s="7" t="s">
        <v>1115</v>
      </c>
      <c r="AH184" s="7" t="n">
        <v>18460</v>
      </c>
      <c r="AI184" s="8" t="n">
        <f aca="false">(AH184/P184)*100</f>
        <v>10.9849566790441</v>
      </c>
      <c r="AJ184" s="7" t="s">
        <v>59</v>
      </c>
      <c r="AK184" s="7" t="s">
        <v>73</v>
      </c>
      <c r="AL184" s="7" t="s">
        <v>1116</v>
      </c>
      <c r="AM184" s="7" t="n">
        <v>4699</v>
      </c>
      <c r="AN184" s="8" t="n">
        <f aca="false">(AM184/P184)*100</f>
        <v>2.7962248881272</v>
      </c>
      <c r="AO184" s="7" t="s">
        <v>196</v>
      </c>
      <c r="AP184" s="7" t="s">
        <v>196</v>
      </c>
      <c r="AQ184" s="7" t="s">
        <v>1117</v>
      </c>
      <c r="AR184" s="7" t="n">
        <v>3164</v>
      </c>
      <c r="AS184" s="8" t="n">
        <f aca="false">(AR184/P184)*100</f>
        <v>1.88279539179282</v>
      </c>
    </row>
    <row r="185" customFormat="false" ht="12.8" hidden="false" customHeight="true" outlineLevel="0" collapsed="false">
      <c r="A185" s="6" t="n">
        <v>184</v>
      </c>
      <c r="B185" s="7" t="s">
        <v>1118</v>
      </c>
      <c r="C185" s="7" t="s">
        <v>1119</v>
      </c>
      <c r="D185" s="7" t="s">
        <v>191</v>
      </c>
      <c r="E185" s="7" t="s">
        <v>1084</v>
      </c>
      <c r="F185" s="7" t="s">
        <v>87</v>
      </c>
      <c r="G185" s="7" t="s">
        <v>50</v>
      </c>
      <c r="H185" s="7" t="s">
        <v>50</v>
      </c>
      <c r="I185" s="7" t="s">
        <v>50</v>
      </c>
      <c r="J185" s="7" t="s">
        <v>50</v>
      </c>
      <c r="K185" s="7" t="s">
        <v>50</v>
      </c>
      <c r="L185" s="7" t="s">
        <v>50</v>
      </c>
      <c r="M185" s="7" t="s">
        <v>50</v>
      </c>
      <c r="N185" s="7" t="s">
        <v>50</v>
      </c>
      <c r="O185" s="7" t="n">
        <v>317276</v>
      </c>
      <c r="P185" s="7" t="n">
        <v>212456</v>
      </c>
      <c r="Q185" s="8" t="n">
        <f aca="false">(P185/O185)*100</f>
        <v>66.9625184382052</v>
      </c>
      <c r="R185" s="7" t="n">
        <f aca="false">X185-AC185</f>
        <v>21589</v>
      </c>
      <c r="S185" s="8" t="n">
        <f aca="false">(R185/P185)*100</f>
        <v>10.1616334676357</v>
      </c>
      <c r="T185" s="8" t="n">
        <f aca="false">Y185+AD185</f>
        <v>61.3392890763264</v>
      </c>
      <c r="U185" s="7" t="s">
        <v>51</v>
      </c>
      <c r="V185" s="7" t="s">
        <v>65</v>
      </c>
      <c r="W185" s="7" t="s">
        <v>1120</v>
      </c>
      <c r="X185" s="7" t="n">
        <v>75954</v>
      </c>
      <c r="Y185" s="8" t="n">
        <f aca="false">(X185/P185)*100</f>
        <v>35.750461271981</v>
      </c>
      <c r="Z185" s="7" t="s">
        <v>54</v>
      </c>
      <c r="AA185" s="7" t="s">
        <v>170</v>
      </c>
      <c r="AB185" s="7" t="s">
        <v>1121</v>
      </c>
      <c r="AC185" s="7" t="n">
        <v>54365</v>
      </c>
      <c r="AD185" s="8" t="n">
        <f aca="false">(AC185/P185)*100</f>
        <v>25.5888278043454</v>
      </c>
      <c r="AE185" s="7" t="s">
        <v>59</v>
      </c>
      <c r="AF185" s="7" t="s">
        <v>73</v>
      </c>
      <c r="AG185" s="7" t="s">
        <v>1122</v>
      </c>
      <c r="AH185" s="7" t="n">
        <v>44864</v>
      </c>
      <c r="AI185" s="8" t="n">
        <f aca="false">(AH185/P185)*100</f>
        <v>21.116843016907</v>
      </c>
      <c r="AJ185" s="7" t="s">
        <v>57</v>
      </c>
      <c r="AK185" s="7" t="s">
        <v>57</v>
      </c>
      <c r="AL185" s="7" t="s">
        <v>1123</v>
      </c>
      <c r="AM185" s="7" t="n">
        <v>23872</v>
      </c>
      <c r="AN185" s="8" t="n">
        <f aca="false">(AM185/P185)*100</f>
        <v>11.2362089091388</v>
      </c>
      <c r="AO185" s="7" t="s">
        <v>70</v>
      </c>
      <c r="AP185" s="7" t="s">
        <v>71</v>
      </c>
      <c r="AQ185" s="7" t="s">
        <v>1124</v>
      </c>
      <c r="AR185" s="7" t="n">
        <v>8351</v>
      </c>
      <c r="AS185" s="8" t="n">
        <f aca="false">(AR185/P185)*100</f>
        <v>3.93069623827993</v>
      </c>
    </row>
    <row r="186" customFormat="false" ht="12.8" hidden="false" customHeight="true" outlineLevel="0" collapsed="false">
      <c r="A186" s="6" t="n">
        <v>185</v>
      </c>
      <c r="B186" s="7" t="s">
        <v>1125</v>
      </c>
      <c r="C186" s="7" t="s">
        <v>1119</v>
      </c>
      <c r="D186" s="7" t="s">
        <v>191</v>
      </c>
      <c r="E186" s="7" t="s">
        <v>1084</v>
      </c>
      <c r="F186" s="7" t="s">
        <v>76</v>
      </c>
      <c r="G186" s="7" t="s">
        <v>50</v>
      </c>
      <c r="H186" s="7" t="s">
        <v>50</v>
      </c>
      <c r="I186" s="7" t="s">
        <v>50</v>
      </c>
      <c r="J186" s="7" t="s">
        <v>52</v>
      </c>
      <c r="K186" s="7" t="s">
        <v>50</v>
      </c>
      <c r="L186" s="7" t="s">
        <v>52</v>
      </c>
      <c r="M186" s="7" t="s">
        <v>50</v>
      </c>
      <c r="N186" s="7" t="s">
        <v>50</v>
      </c>
      <c r="O186" s="7" t="n">
        <v>291771</v>
      </c>
      <c r="P186" s="7" t="n">
        <v>210766</v>
      </c>
      <c r="Q186" s="8" t="n">
        <f aca="false">(P186/O186)*100</f>
        <v>72.2367884402494</v>
      </c>
      <c r="R186" s="7" t="n">
        <f aca="false">X186-AC186</f>
        <v>37374</v>
      </c>
      <c r="S186" s="8" t="n">
        <f aca="false">(R186/P186)*100</f>
        <v>17.732461592477</v>
      </c>
      <c r="T186" s="8" t="n">
        <f aca="false">Y186+AD186</f>
        <v>80.6534260744143</v>
      </c>
      <c r="U186" s="7" t="s">
        <v>51</v>
      </c>
      <c r="V186" s="7" t="s">
        <v>52</v>
      </c>
      <c r="W186" s="7" t="s">
        <v>1126</v>
      </c>
      <c r="X186" s="7" t="n">
        <v>103682</v>
      </c>
      <c r="Y186" s="8" t="n">
        <f aca="false">(X186/P186)*100</f>
        <v>49.1929438334456</v>
      </c>
      <c r="Z186" s="7" t="s">
        <v>54</v>
      </c>
      <c r="AA186" s="7" t="s">
        <v>67</v>
      </c>
      <c r="AB186" s="7" t="s">
        <v>1127</v>
      </c>
      <c r="AC186" s="7" t="n">
        <v>66308</v>
      </c>
      <c r="AD186" s="8" t="n">
        <f aca="false">(AC186/P186)*100</f>
        <v>31.4604822409687</v>
      </c>
      <c r="AE186" s="7" t="s">
        <v>57</v>
      </c>
      <c r="AF186" s="7" t="s">
        <v>57</v>
      </c>
      <c r="AG186" s="7" t="s">
        <v>1128</v>
      </c>
      <c r="AH186" s="7" t="n">
        <v>14571</v>
      </c>
      <c r="AI186" s="8" t="n">
        <f aca="false">(AH186/P186)*100</f>
        <v>6.91335414630443</v>
      </c>
      <c r="AJ186" s="7" t="s">
        <v>196</v>
      </c>
      <c r="AK186" s="7" t="s">
        <v>196</v>
      </c>
      <c r="AL186" s="7" t="s">
        <v>1129</v>
      </c>
      <c r="AM186" s="7" t="n">
        <v>13202</v>
      </c>
      <c r="AN186" s="8" t="n">
        <f aca="false">(AM186/P186)*100</f>
        <v>6.26381864247554</v>
      </c>
      <c r="AO186" s="7" t="s">
        <v>59</v>
      </c>
      <c r="AP186" s="7" t="s">
        <v>73</v>
      </c>
      <c r="AQ186" s="7" t="s">
        <v>1130</v>
      </c>
      <c r="AR186" s="7" t="n">
        <v>7448</v>
      </c>
      <c r="AS186" s="8" t="n">
        <f aca="false">(AR186/P186)*100</f>
        <v>3.53377679511876</v>
      </c>
    </row>
    <row r="187" customFormat="false" ht="12.8" hidden="false" customHeight="true" outlineLevel="0" collapsed="false">
      <c r="A187" s="6" t="n">
        <v>186</v>
      </c>
      <c r="B187" s="7" t="s">
        <v>1119</v>
      </c>
      <c r="C187" s="7" t="s">
        <v>1119</v>
      </c>
      <c r="D187" s="7" t="s">
        <v>191</v>
      </c>
      <c r="E187" s="7" t="s">
        <v>1084</v>
      </c>
      <c r="F187" s="7" t="s">
        <v>76</v>
      </c>
      <c r="G187" s="7" t="s">
        <v>50</v>
      </c>
      <c r="H187" s="7" t="s">
        <v>50</v>
      </c>
      <c r="I187" s="7" t="s">
        <v>50</v>
      </c>
      <c r="J187" s="7" t="s">
        <v>50</v>
      </c>
      <c r="K187" s="7" t="s">
        <v>65</v>
      </c>
      <c r="L187" s="7" t="s">
        <v>50</v>
      </c>
      <c r="M187" s="7" t="s">
        <v>50</v>
      </c>
      <c r="N187" s="7" t="s">
        <v>50</v>
      </c>
      <c r="O187" s="7" t="n">
        <v>301163</v>
      </c>
      <c r="P187" s="7" t="n">
        <v>202044</v>
      </c>
      <c r="Q187" s="8" t="n">
        <f aca="false">(P187/O187)*100</f>
        <v>67.0879224871581</v>
      </c>
      <c r="R187" s="7" t="n">
        <f aca="false">X187-AC187</f>
        <v>11253</v>
      </c>
      <c r="S187" s="8" t="n">
        <f aca="false">(R187/P187)*100</f>
        <v>5.56957890360516</v>
      </c>
      <c r="T187" s="8" t="n">
        <f aca="false">Y187+AD187</f>
        <v>75.7523113777197</v>
      </c>
      <c r="U187" s="7" t="s">
        <v>54</v>
      </c>
      <c r="V187" s="7" t="s">
        <v>67</v>
      </c>
      <c r="W187" s="7" t="s">
        <v>1131</v>
      </c>
      <c r="X187" s="7" t="n">
        <v>82153</v>
      </c>
      <c r="Y187" s="8" t="n">
        <f aca="false">(X187/P187)*100</f>
        <v>40.6609451406624</v>
      </c>
      <c r="Z187" s="7" t="s">
        <v>51</v>
      </c>
      <c r="AA187" s="7" t="s">
        <v>391</v>
      </c>
      <c r="AB187" s="7" t="s">
        <v>164</v>
      </c>
      <c r="AC187" s="7" t="n">
        <v>70900</v>
      </c>
      <c r="AD187" s="8" t="n">
        <f aca="false">(AC187/P187)*100</f>
        <v>35.0913662370573</v>
      </c>
      <c r="AE187" s="7" t="s">
        <v>57</v>
      </c>
      <c r="AF187" s="7" t="s">
        <v>57</v>
      </c>
      <c r="AG187" s="7" t="s">
        <v>1132</v>
      </c>
      <c r="AH187" s="7" t="n">
        <v>22500</v>
      </c>
      <c r="AI187" s="8" t="n">
        <f aca="false">(AH187/P187)*100</f>
        <v>11.1361881570351</v>
      </c>
      <c r="AJ187" s="7" t="s">
        <v>59</v>
      </c>
      <c r="AK187" s="7" t="s">
        <v>73</v>
      </c>
      <c r="AL187" s="7" t="s">
        <v>1133</v>
      </c>
      <c r="AM187" s="7" t="n">
        <v>19824</v>
      </c>
      <c r="AN187" s="8" t="n">
        <f aca="false">(AM187/P187)*100</f>
        <v>9.81172417889173</v>
      </c>
      <c r="AO187" s="7" t="s">
        <v>70</v>
      </c>
      <c r="AP187" s="7" t="s">
        <v>71</v>
      </c>
      <c r="AQ187" s="7" t="s">
        <v>1134</v>
      </c>
      <c r="AR187" s="7" t="n">
        <v>2105</v>
      </c>
      <c r="AS187" s="8" t="n">
        <f aca="false">(AR187/P187)*100</f>
        <v>1.04185226980262</v>
      </c>
    </row>
    <row r="188" customFormat="false" ht="12.8" hidden="false" customHeight="true" outlineLevel="0" collapsed="false">
      <c r="A188" s="6" t="n">
        <v>187</v>
      </c>
      <c r="B188" s="7" t="s">
        <v>1135</v>
      </c>
      <c r="C188" s="7" t="s">
        <v>1119</v>
      </c>
      <c r="D188" s="7" t="s">
        <v>191</v>
      </c>
      <c r="E188" s="7" t="s">
        <v>1084</v>
      </c>
      <c r="F188" s="7" t="s">
        <v>49</v>
      </c>
      <c r="G188" s="7" t="s">
        <v>64</v>
      </c>
      <c r="H188" s="7" t="s">
        <v>50</v>
      </c>
      <c r="I188" s="7" t="s">
        <v>50</v>
      </c>
      <c r="J188" s="7" t="s">
        <v>50</v>
      </c>
      <c r="K188" s="7" t="s">
        <v>50</v>
      </c>
      <c r="L188" s="7" t="s">
        <v>50</v>
      </c>
      <c r="M188" s="7" t="s">
        <v>50</v>
      </c>
      <c r="N188" s="7" t="s">
        <v>50</v>
      </c>
      <c r="O188" s="7" t="n">
        <v>278605</v>
      </c>
      <c r="P188" s="7" t="n">
        <v>203061</v>
      </c>
      <c r="Q188" s="8" t="n">
        <f aca="false">(P188/O188)*100</f>
        <v>72.884908741767</v>
      </c>
      <c r="R188" s="7" t="n">
        <f aca="false">X188-AC188</f>
        <v>14091</v>
      </c>
      <c r="S188" s="8" t="n">
        <f aca="false">(R188/P188)*100</f>
        <v>6.93929410374223</v>
      </c>
      <c r="T188" s="8" t="n">
        <f aca="false">Y188+AD188</f>
        <v>81.0776072214753</v>
      </c>
      <c r="U188" s="7" t="s">
        <v>51</v>
      </c>
      <c r="V188" s="7" t="s">
        <v>52</v>
      </c>
      <c r="W188" s="7" t="s">
        <v>1136</v>
      </c>
      <c r="X188" s="7" t="n">
        <v>89364</v>
      </c>
      <c r="Y188" s="8" t="n">
        <f aca="false">(X188/P188)*100</f>
        <v>44.0084506626088</v>
      </c>
      <c r="Z188" s="7" t="s">
        <v>54</v>
      </c>
      <c r="AA188" s="7" t="s">
        <v>67</v>
      </c>
      <c r="AB188" s="7" t="s">
        <v>1137</v>
      </c>
      <c r="AC188" s="7" t="n">
        <v>75273</v>
      </c>
      <c r="AD188" s="8" t="n">
        <f aca="false">(AC188/P188)*100</f>
        <v>37.0691565588665</v>
      </c>
      <c r="AE188" s="7" t="s">
        <v>57</v>
      </c>
      <c r="AF188" s="7" t="s">
        <v>57</v>
      </c>
      <c r="AG188" s="7" t="s">
        <v>1138</v>
      </c>
      <c r="AH188" s="7" t="n">
        <v>23228</v>
      </c>
      <c r="AI188" s="8" t="n">
        <f aca="false">(AH188/P188)*100</f>
        <v>11.4389272189145</v>
      </c>
      <c r="AJ188" s="7" t="s">
        <v>59</v>
      </c>
      <c r="AK188" s="7" t="s">
        <v>73</v>
      </c>
      <c r="AL188" s="7" t="s">
        <v>1139</v>
      </c>
      <c r="AM188" s="7" t="n">
        <v>10231</v>
      </c>
      <c r="AN188" s="8" t="n">
        <f aca="false">(AM188/P188)*100</f>
        <v>5.03838747962435</v>
      </c>
      <c r="AO188" s="7" t="s">
        <v>70</v>
      </c>
      <c r="AP188" s="7" t="s">
        <v>71</v>
      </c>
      <c r="AQ188" s="7" t="s">
        <v>1140</v>
      </c>
      <c r="AR188" s="7" t="n">
        <v>2257</v>
      </c>
      <c r="AS188" s="8" t="n">
        <f aca="false">(AR188/P188)*100</f>
        <v>1.11148866596737</v>
      </c>
    </row>
    <row r="189" customFormat="false" ht="12.8" hidden="false" customHeight="true" outlineLevel="0" collapsed="false">
      <c r="A189" s="6" t="n">
        <v>188</v>
      </c>
      <c r="B189" s="7" t="s">
        <v>1141</v>
      </c>
      <c r="C189" s="7" t="s">
        <v>1142</v>
      </c>
      <c r="D189" s="7" t="s">
        <v>191</v>
      </c>
      <c r="E189" s="7" t="s">
        <v>1143</v>
      </c>
      <c r="F189" s="7" t="s">
        <v>76</v>
      </c>
      <c r="G189" s="7" t="s">
        <v>50</v>
      </c>
      <c r="H189" s="7" t="s">
        <v>50</v>
      </c>
      <c r="I189" s="7" t="s">
        <v>50</v>
      </c>
      <c r="J189" s="7" t="s">
        <v>50</v>
      </c>
      <c r="K189" s="7" t="s">
        <v>67</v>
      </c>
      <c r="L189" s="7" t="s">
        <v>67</v>
      </c>
      <c r="M189" s="7" t="s">
        <v>65</v>
      </c>
      <c r="N189" s="7" t="s">
        <v>50</v>
      </c>
      <c r="O189" s="7" t="n">
        <v>244996</v>
      </c>
      <c r="P189" s="7" t="n">
        <v>182782</v>
      </c>
      <c r="Q189" s="8" t="n">
        <f aca="false">(P189/O189)*100</f>
        <v>74.6061160182207</v>
      </c>
      <c r="R189" s="7" t="n">
        <f aca="false">X189-AC189</f>
        <v>35162</v>
      </c>
      <c r="S189" s="8" t="n">
        <f aca="false">(R189/P189)*100</f>
        <v>19.2371240056461</v>
      </c>
      <c r="T189" s="8" t="n">
        <f aca="false">Y189+AD189</f>
        <v>71.9578514295719</v>
      </c>
      <c r="U189" s="7" t="s">
        <v>54</v>
      </c>
      <c r="V189" s="7" t="s">
        <v>67</v>
      </c>
      <c r="W189" s="7" t="s">
        <v>1144</v>
      </c>
      <c r="X189" s="7" t="n">
        <v>83344</v>
      </c>
      <c r="Y189" s="8" t="n">
        <f aca="false">(X189/P189)*100</f>
        <v>45.597487717609</v>
      </c>
      <c r="Z189" s="7" t="s">
        <v>51</v>
      </c>
      <c r="AA189" s="7" t="s">
        <v>65</v>
      </c>
      <c r="AB189" s="7" t="s">
        <v>1145</v>
      </c>
      <c r="AC189" s="7" t="n">
        <v>48182</v>
      </c>
      <c r="AD189" s="8" t="n">
        <f aca="false">(AC189/P189)*100</f>
        <v>26.3603637119629</v>
      </c>
      <c r="AE189" s="7" t="s">
        <v>59</v>
      </c>
      <c r="AF189" s="7" t="s">
        <v>73</v>
      </c>
      <c r="AG189" s="7" t="s">
        <v>1146</v>
      </c>
      <c r="AH189" s="7" t="n">
        <v>34262</v>
      </c>
      <c r="AI189" s="8" t="n">
        <f aca="false">(AH189/P189)*100</f>
        <v>18.7447341641956</v>
      </c>
      <c r="AJ189" s="7" t="s">
        <v>57</v>
      </c>
      <c r="AK189" s="7" t="s">
        <v>57</v>
      </c>
      <c r="AL189" s="7" t="s">
        <v>1147</v>
      </c>
      <c r="AM189" s="7" t="n">
        <v>10669</v>
      </c>
      <c r="AN189" s="8" t="n">
        <f aca="false">(AM189/P189)*100</f>
        <v>5.83700802048342</v>
      </c>
      <c r="AO189" s="7" t="s">
        <v>70</v>
      </c>
      <c r="AP189" s="7" t="s">
        <v>71</v>
      </c>
      <c r="AQ189" s="7" t="s">
        <v>1148</v>
      </c>
      <c r="AR189" s="7" t="n">
        <v>2176</v>
      </c>
      <c r="AS189" s="8" t="n">
        <f aca="false">(AR189/P189)*100</f>
        <v>1.19048921666247</v>
      </c>
    </row>
    <row r="190" customFormat="false" ht="12.8" hidden="false" customHeight="true" outlineLevel="0" collapsed="false">
      <c r="A190" s="6" t="n">
        <v>189</v>
      </c>
      <c r="B190" s="7" t="s">
        <v>1149</v>
      </c>
      <c r="C190" s="7" t="s">
        <v>1142</v>
      </c>
      <c r="D190" s="7" t="s">
        <v>191</v>
      </c>
      <c r="E190" s="7" t="s">
        <v>1143</v>
      </c>
      <c r="F190" s="7" t="s">
        <v>87</v>
      </c>
      <c r="G190" s="7" t="s">
        <v>50</v>
      </c>
      <c r="H190" s="7" t="s">
        <v>50</v>
      </c>
      <c r="I190" s="7" t="s">
        <v>50</v>
      </c>
      <c r="J190" s="7" t="s">
        <v>50</v>
      </c>
      <c r="K190" s="7" t="s">
        <v>50</v>
      </c>
      <c r="L190" s="7" t="s">
        <v>50</v>
      </c>
      <c r="M190" s="7" t="s">
        <v>50</v>
      </c>
      <c r="N190" s="7" t="s">
        <v>50</v>
      </c>
      <c r="O190" s="7" t="n">
        <v>329209</v>
      </c>
      <c r="P190" s="7" t="n">
        <v>237892</v>
      </c>
      <c r="Q190" s="8" t="n">
        <f aca="false">(P190/O190)*100</f>
        <v>72.2616939391086</v>
      </c>
      <c r="R190" s="7" t="n">
        <f aca="false">X190-AC190</f>
        <v>49604</v>
      </c>
      <c r="S190" s="8" t="n">
        <f aca="false">(R190/P190)*100</f>
        <v>20.8514788223227</v>
      </c>
      <c r="T190" s="8" t="n">
        <f aca="false">Y190+AD190</f>
        <v>82.3289559968389</v>
      </c>
      <c r="U190" s="7" t="s">
        <v>51</v>
      </c>
      <c r="V190" s="7" t="s">
        <v>52</v>
      </c>
      <c r="W190" s="7" t="s">
        <v>1150</v>
      </c>
      <c r="X190" s="7" t="n">
        <v>122729</v>
      </c>
      <c r="Y190" s="8" t="n">
        <f aca="false">(X190/P190)*100</f>
        <v>51.5902174095808</v>
      </c>
      <c r="Z190" s="7" t="s">
        <v>54</v>
      </c>
      <c r="AA190" s="7" t="s">
        <v>67</v>
      </c>
      <c r="AB190" s="7" t="s">
        <v>1151</v>
      </c>
      <c r="AC190" s="7" t="n">
        <v>73125</v>
      </c>
      <c r="AD190" s="8" t="n">
        <f aca="false">(AC190/P190)*100</f>
        <v>30.7387385872581</v>
      </c>
      <c r="AE190" s="7" t="s">
        <v>57</v>
      </c>
      <c r="AF190" s="7" t="s">
        <v>57</v>
      </c>
      <c r="AG190" s="7" t="s">
        <v>1152</v>
      </c>
      <c r="AH190" s="7" t="n">
        <v>17668</v>
      </c>
      <c r="AI190" s="8" t="n">
        <f aca="false">(AH190/P190)*100</f>
        <v>7.42689960149984</v>
      </c>
      <c r="AJ190" s="7" t="s">
        <v>70</v>
      </c>
      <c r="AK190" s="7" t="s">
        <v>71</v>
      </c>
      <c r="AL190" s="7" t="s">
        <v>1153</v>
      </c>
      <c r="AM190" s="7" t="n">
        <v>11993</v>
      </c>
      <c r="AN190" s="8" t="n">
        <f aca="false">(AM190/P190)*100</f>
        <v>5.04136330771947</v>
      </c>
      <c r="AO190" s="7" t="s">
        <v>59</v>
      </c>
      <c r="AP190" s="7" t="s">
        <v>73</v>
      </c>
      <c r="AQ190" s="7" t="s">
        <v>1154</v>
      </c>
      <c r="AR190" s="7" t="n">
        <v>6729</v>
      </c>
      <c r="AS190" s="8" t="n">
        <f aca="false">(AR190/P190)*100</f>
        <v>2.82859448825518</v>
      </c>
    </row>
    <row r="191" customFormat="false" ht="12.8" hidden="false" customHeight="true" outlineLevel="0" collapsed="false">
      <c r="A191" s="6" t="n">
        <v>190</v>
      </c>
      <c r="B191" s="7" t="s">
        <v>1155</v>
      </c>
      <c r="C191" s="7" t="s">
        <v>1142</v>
      </c>
      <c r="D191" s="7" t="s">
        <v>191</v>
      </c>
      <c r="E191" s="7" t="s">
        <v>1143</v>
      </c>
      <c r="F191" s="7" t="s">
        <v>49</v>
      </c>
      <c r="G191" s="7" t="s">
        <v>64</v>
      </c>
      <c r="H191" s="7" t="s">
        <v>50</v>
      </c>
      <c r="I191" s="7" t="s">
        <v>50</v>
      </c>
      <c r="J191" s="7" t="s">
        <v>50</v>
      </c>
      <c r="K191" s="7" t="s">
        <v>50</v>
      </c>
      <c r="L191" s="7" t="s">
        <v>50</v>
      </c>
      <c r="M191" s="7" t="s">
        <v>50</v>
      </c>
      <c r="N191" s="7" t="s">
        <v>50</v>
      </c>
      <c r="O191" s="7" t="n">
        <v>218730</v>
      </c>
      <c r="P191" s="7" t="n">
        <v>175361</v>
      </c>
      <c r="Q191" s="8" t="n">
        <f aca="false">(P191/O191)*100</f>
        <v>80.1723586156449</v>
      </c>
      <c r="R191" s="7" t="n">
        <f aca="false">X191-AC191</f>
        <v>17045</v>
      </c>
      <c r="S191" s="8" t="n">
        <f aca="false">(R191/P191)*100</f>
        <v>9.71994913350175</v>
      </c>
      <c r="T191" s="8" t="n">
        <f aca="false">Y191+AD191</f>
        <v>86.3561453230764</v>
      </c>
      <c r="U191" s="7" t="s">
        <v>51</v>
      </c>
      <c r="V191" s="7" t="s">
        <v>52</v>
      </c>
      <c r="W191" s="7" t="s">
        <v>1156</v>
      </c>
      <c r="X191" s="7" t="n">
        <v>84240</v>
      </c>
      <c r="Y191" s="8" t="n">
        <f aca="false">(X191/P191)*100</f>
        <v>48.0380472282891</v>
      </c>
      <c r="Z191" s="7" t="s">
        <v>54</v>
      </c>
      <c r="AA191" s="7" t="s">
        <v>67</v>
      </c>
      <c r="AB191" s="7" t="s">
        <v>1157</v>
      </c>
      <c r="AC191" s="7" t="n">
        <v>67195</v>
      </c>
      <c r="AD191" s="8" t="n">
        <f aca="false">(AC191/P191)*100</f>
        <v>38.3180980947873</v>
      </c>
      <c r="AE191" s="7" t="s">
        <v>57</v>
      </c>
      <c r="AF191" s="7" t="s">
        <v>57</v>
      </c>
      <c r="AG191" s="7" t="s">
        <v>1158</v>
      </c>
      <c r="AH191" s="7" t="n">
        <v>13936</v>
      </c>
      <c r="AI191" s="8" t="n">
        <f aca="false">(AH191/P191)*100</f>
        <v>7.94703497356881</v>
      </c>
      <c r="AJ191" s="7" t="s">
        <v>59</v>
      </c>
      <c r="AK191" s="7" t="s">
        <v>60</v>
      </c>
      <c r="AL191" s="7" t="s">
        <v>1159</v>
      </c>
      <c r="AM191" s="7" t="n">
        <v>3582</v>
      </c>
      <c r="AN191" s="8" t="n">
        <f aca="false">(AM191/P191)*100</f>
        <v>2.04264346120289</v>
      </c>
      <c r="AO191" s="7" t="s">
        <v>70</v>
      </c>
      <c r="AP191" s="7" t="s">
        <v>71</v>
      </c>
      <c r="AQ191" s="7" t="s">
        <v>1160</v>
      </c>
      <c r="AR191" s="7" t="n">
        <v>3031</v>
      </c>
      <c r="AS191" s="8" t="n">
        <f aca="false">(AR191/P191)*100</f>
        <v>1.72843448657341</v>
      </c>
    </row>
    <row r="192" customFormat="false" ht="12.8" hidden="false" customHeight="true" outlineLevel="0" collapsed="false">
      <c r="A192" s="6" t="n">
        <v>191</v>
      </c>
      <c r="B192" s="7" t="s">
        <v>1161</v>
      </c>
      <c r="C192" s="7" t="s">
        <v>1142</v>
      </c>
      <c r="D192" s="7" t="s">
        <v>191</v>
      </c>
      <c r="E192" s="7" t="s">
        <v>1143</v>
      </c>
      <c r="F192" s="7" t="s">
        <v>87</v>
      </c>
      <c r="G192" s="7" t="s">
        <v>50</v>
      </c>
      <c r="H192" s="7" t="s">
        <v>50</v>
      </c>
      <c r="I192" s="7" t="s">
        <v>50</v>
      </c>
      <c r="J192" s="7" t="s">
        <v>50</v>
      </c>
      <c r="K192" s="7" t="s">
        <v>50</v>
      </c>
      <c r="L192" s="7" t="s">
        <v>50</v>
      </c>
      <c r="M192" s="7" t="s">
        <v>50</v>
      </c>
      <c r="N192" s="7" t="s">
        <v>50</v>
      </c>
      <c r="O192" s="7" t="n">
        <v>243596</v>
      </c>
      <c r="P192" s="7" t="n">
        <v>156556</v>
      </c>
      <c r="Q192" s="8" t="n">
        <f aca="false">(P192/O192)*100</f>
        <v>64.2687072037308</v>
      </c>
      <c r="R192" s="7" t="n">
        <f aca="false">X192-AC192</f>
        <v>22916</v>
      </c>
      <c r="S192" s="8" t="n">
        <f aca="false">(R192/P192)*100</f>
        <v>14.637573775518</v>
      </c>
      <c r="T192" s="8" t="n">
        <f aca="false">Y192+AD192</f>
        <v>78.6325659827793</v>
      </c>
      <c r="U192" s="7" t="s">
        <v>51</v>
      </c>
      <c r="V192" s="7" t="s">
        <v>52</v>
      </c>
      <c r="W192" s="7" t="s">
        <v>1162</v>
      </c>
      <c r="X192" s="7" t="n">
        <v>73010</v>
      </c>
      <c r="Y192" s="8" t="n">
        <f aca="false">(X192/P192)*100</f>
        <v>46.6350698791487</v>
      </c>
      <c r="Z192" s="7" t="s">
        <v>54</v>
      </c>
      <c r="AA192" s="7" t="s">
        <v>170</v>
      </c>
      <c r="AB192" s="7" t="s">
        <v>757</v>
      </c>
      <c r="AC192" s="7" t="n">
        <v>50094</v>
      </c>
      <c r="AD192" s="8" t="n">
        <f aca="false">(AC192/P192)*100</f>
        <v>31.9974961036307</v>
      </c>
      <c r="AE192" s="7" t="s">
        <v>57</v>
      </c>
      <c r="AF192" s="7" t="s">
        <v>57</v>
      </c>
      <c r="AG192" s="7" t="s">
        <v>1163</v>
      </c>
      <c r="AH192" s="7" t="n">
        <v>15311</v>
      </c>
      <c r="AI192" s="8" t="n">
        <f aca="false">(AH192/P192)*100</f>
        <v>9.77988706916375</v>
      </c>
      <c r="AJ192" s="7" t="s">
        <v>70</v>
      </c>
      <c r="AK192" s="7" t="s">
        <v>71</v>
      </c>
      <c r="AL192" s="7" t="s">
        <v>1164</v>
      </c>
      <c r="AM192" s="7" t="n">
        <v>12102</v>
      </c>
      <c r="AN192" s="8" t="n">
        <f aca="false">(AM192/P192)*100</f>
        <v>7.73014129129513</v>
      </c>
      <c r="AO192" s="7" t="s">
        <v>59</v>
      </c>
      <c r="AP192" s="7" t="s">
        <v>73</v>
      </c>
      <c r="AQ192" s="7" t="s">
        <v>1165</v>
      </c>
      <c r="AR192" s="7" t="n">
        <v>3280</v>
      </c>
      <c r="AS192" s="8" t="n">
        <f aca="false">(AR192/P192)*100</f>
        <v>2.09509696210941</v>
      </c>
    </row>
    <row r="193" customFormat="false" ht="12.8" hidden="false" customHeight="true" outlineLevel="0" collapsed="false">
      <c r="A193" s="6" t="n">
        <v>192</v>
      </c>
      <c r="B193" s="7" t="s">
        <v>1166</v>
      </c>
      <c r="C193" s="7" t="s">
        <v>1142</v>
      </c>
      <c r="D193" s="7" t="s">
        <v>191</v>
      </c>
      <c r="E193" s="7" t="s">
        <v>1143</v>
      </c>
      <c r="F193" s="7" t="s">
        <v>87</v>
      </c>
      <c r="G193" s="7" t="s">
        <v>50</v>
      </c>
      <c r="H193" s="7" t="s">
        <v>50</v>
      </c>
      <c r="I193" s="7" t="s">
        <v>50</v>
      </c>
      <c r="J193" s="7" t="s">
        <v>50</v>
      </c>
      <c r="K193" s="7" t="s">
        <v>50</v>
      </c>
      <c r="L193" s="7" t="s">
        <v>50</v>
      </c>
      <c r="M193" s="7" t="s">
        <v>50</v>
      </c>
      <c r="N193" s="7" t="s">
        <v>50</v>
      </c>
      <c r="O193" s="7" t="n">
        <v>230133</v>
      </c>
      <c r="P193" s="7" t="n">
        <v>147833</v>
      </c>
      <c r="Q193" s="8" t="n">
        <f aca="false">(P193/O193)*100</f>
        <v>64.2380710284922</v>
      </c>
      <c r="R193" s="7" t="n">
        <f aca="false">X193-AC193</f>
        <v>6515</v>
      </c>
      <c r="S193" s="8" t="n">
        <f aca="false">(R193/P193)*100</f>
        <v>4.40699979030392</v>
      </c>
      <c r="T193" s="8" t="n">
        <f aca="false">Y193+AD193</f>
        <v>80.5699674632863</v>
      </c>
      <c r="U193" s="7" t="s">
        <v>51</v>
      </c>
      <c r="V193" s="7" t="s">
        <v>270</v>
      </c>
      <c r="W193" s="7" t="s">
        <v>1167</v>
      </c>
      <c r="X193" s="7" t="n">
        <v>62812</v>
      </c>
      <c r="Y193" s="8" t="n">
        <f aca="false">(X193/P193)*100</f>
        <v>42.4884836267951</v>
      </c>
      <c r="Z193" s="7" t="s">
        <v>54</v>
      </c>
      <c r="AA193" s="7" t="s">
        <v>67</v>
      </c>
      <c r="AB193" s="7" t="s">
        <v>1168</v>
      </c>
      <c r="AC193" s="7" t="n">
        <v>56297</v>
      </c>
      <c r="AD193" s="8" t="n">
        <f aca="false">(AC193/P193)*100</f>
        <v>38.0814838364912</v>
      </c>
      <c r="AE193" s="7" t="s">
        <v>70</v>
      </c>
      <c r="AF193" s="7" t="s">
        <v>71</v>
      </c>
      <c r="AG193" s="7" t="s">
        <v>1169</v>
      </c>
      <c r="AH193" s="7" t="n">
        <v>12821</v>
      </c>
      <c r="AI193" s="8" t="n">
        <f aca="false">(AH193/P193)*100</f>
        <v>8.67262383906164</v>
      </c>
      <c r="AJ193" s="7" t="s">
        <v>57</v>
      </c>
      <c r="AK193" s="7" t="s">
        <v>57</v>
      </c>
      <c r="AL193" s="7" t="s">
        <v>1170</v>
      </c>
      <c r="AM193" s="7" t="n">
        <v>10483</v>
      </c>
      <c r="AN193" s="8" t="n">
        <f aca="false">(AM193/P193)*100</f>
        <v>7.0911095628175</v>
      </c>
      <c r="AO193" s="7" t="s">
        <v>59</v>
      </c>
      <c r="AP193" s="7" t="s">
        <v>73</v>
      </c>
      <c r="AQ193" s="7" t="s">
        <v>1171</v>
      </c>
      <c r="AR193" s="7" t="n">
        <v>2672</v>
      </c>
      <c r="AS193" s="8" t="n">
        <f aca="false">(AR193/P193)*100</f>
        <v>1.80744488713616</v>
      </c>
    </row>
    <row r="194" customFormat="false" ht="12.8" hidden="false" customHeight="true" outlineLevel="0" collapsed="false">
      <c r="A194" s="6" t="n">
        <v>193</v>
      </c>
      <c r="B194" s="7" t="s">
        <v>1172</v>
      </c>
      <c r="C194" s="7" t="s">
        <v>1142</v>
      </c>
      <c r="D194" s="7" t="s">
        <v>191</v>
      </c>
      <c r="E194" s="7" t="s">
        <v>1143</v>
      </c>
      <c r="F194" s="7" t="s">
        <v>87</v>
      </c>
      <c r="G194" s="7" t="s">
        <v>50</v>
      </c>
      <c r="H194" s="7" t="s">
        <v>50</v>
      </c>
      <c r="I194" s="7" t="s">
        <v>50</v>
      </c>
      <c r="J194" s="7" t="s">
        <v>50</v>
      </c>
      <c r="K194" s="7" t="s">
        <v>50</v>
      </c>
      <c r="L194" s="7" t="s">
        <v>50</v>
      </c>
      <c r="M194" s="7" t="s">
        <v>50</v>
      </c>
      <c r="N194" s="7" t="s">
        <v>50</v>
      </c>
      <c r="O194" s="7" t="n">
        <v>241913</v>
      </c>
      <c r="P194" s="7" t="n">
        <v>149430</v>
      </c>
      <c r="Q194" s="8" t="n">
        <f aca="false">(P194/O194)*100</f>
        <v>61.7701405050576</v>
      </c>
      <c r="R194" s="7" t="n">
        <f aca="false">X194-AC194</f>
        <v>34176</v>
      </c>
      <c r="S194" s="8" t="n">
        <f aca="false">(R194/P194)*100</f>
        <v>22.8709094559325</v>
      </c>
      <c r="T194" s="8" t="n">
        <f aca="false">Y194+AD194</f>
        <v>75.1080773606371</v>
      </c>
      <c r="U194" s="7" t="s">
        <v>51</v>
      </c>
      <c r="V194" s="7" t="s">
        <v>52</v>
      </c>
      <c r="W194" s="7" t="s">
        <v>1173</v>
      </c>
      <c r="X194" s="7" t="n">
        <v>73205</v>
      </c>
      <c r="Y194" s="8" t="n">
        <f aca="false">(X194/P194)*100</f>
        <v>48.9894934082848</v>
      </c>
      <c r="Z194" s="7" t="s">
        <v>54</v>
      </c>
      <c r="AA194" s="7" t="s">
        <v>67</v>
      </c>
      <c r="AB194" s="7" t="s">
        <v>1174</v>
      </c>
      <c r="AC194" s="7" t="n">
        <v>39029</v>
      </c>
      <c r="AD194" s="8" t="n">
        <f aca="false">(AC194/P194)*100</f>
        <v>26.1185839523523</v>
      </c>
      <c r="AE194" s="7" t="s">
        <v>70</v>
      </c>
      <c r="AF194" s="7" t="s">
        <v>71</v>
      </c>
      <c r="AG194" s="7" t="s">
        <v>1175</v>
      </c>
      <c r="AH194" s="7" t="n">
        <v>14495</v>
      </c>
      <c r="AI194" s="8" t="n">
        <f aca="false">(AH194/P194)*100</f>
        <v>9.70019407080238</v>
      </c>
      <c r="AJ194" s="7" t="s">
        <v>57</v>
      </c>
      <c r="AK194" s="7" t="s">
        <v>57</v>
      </c>
      <c r="AL194" s="7" t="s">
        <v>1176</v>
      </c>
      <c r="AM194" s="7" t="n">
        <v>11215</v>
      </c>
      <c r="AN194" s="8" t="n">
        <f aca="false">(AM194/P194)*100</f>
        <v>7.50518637489125</v>
      </c>
      <c r="AO194" s="7" t="s">
        <v>196</v>
      </c>
      <c r="AP194" s="7" t="s">
        <v>196</v>
      </c>
      <c r="AQ194" s="7" t="s">
        <v>1177</v>
      </c>
      <c r="AR194" s="7" t="n">
        <v>4907</v>
      </c>
      <c r="AS194" s="8" t="n">
        <f aca="false">(AR194/P194)*100</f>
        <v>3.28381181824266</v>
      </c>
    </row>
    <row r="195" customFormat="false" ht="12.8" hidden="false" customHeight="true" outlineLevel="0" collapsed="false">
      <c r="A195" s="6" t="n">
        <v>194</v>
      </c>
      <c r="B195" s="7" t="s">
        <v>1178</v>
      </c>
      <c r="C195" s="7" t="s">
        <v>1142</v>
      </c>
      <c r="D195" s="7" t="s">
        <v>191</v>
      </c>
      <c r="E195" s="7" t="s">
        <v>1143</v>
      </c>
      <c r="F195" s="7" t="s">
        <v>87</v>
      </c>
      <c r="G195" s="7" t="s">
        <v>50</v>
      </c>
      <c r="H195" s="7" t="s">
        <v>50</v>
      </c>
      <c r="I195" s="7" t="s">
        <v>50</v>
      </c>
      <c r="J195" s="7" t="s">
        <v>67</v>
      </c>
      <c r="K195" s="7" t="s">
        <v>50</v>
      </c>
      <c r="L195" s="7" t="s">
        <v>67</v>
      </c>
      <c r="M195" s="7" t="s">
        <v>50</v>
      </c>
      <c r="N195" s="7" t="s">
        <v>227</v>
      </c>
      <c r="O195" s="7" t="n">
        <v>307141</v>
      </c>
      <c r="P195" s="7" t="n">
        <v>201694</v>
      </c>
      <c r="Q195" s="8" t="n">
        <f aca="false">(P195/O195)*100</f>
        <v>65.6682110170899</v>
      </c>
      <c r="R195" s="7" t="n">
        <f aca="false">X195-AC195</f>
        <v>9121</v>
      </c>
      <c r="S195" s="8" t="n">
        <f aca="false">(R195/P195)*100</f>
        <v>4.52219699148215</v>
      </c>
      <c r="T195" s="8" t="n">
        <f aca="false">Y195+AD195</f>
        <v>78.6562812974109</v>
      </c>
      <c r="U195" s="7" t="s">
        <v>54</v>
      </c>
      <c r="V195" s="7" t="s">
        <v>67</v>
      </c>
      <c r="W195" s="7" t="s">
        <v>1179</v>
      </c>
      <c r="X195" s="7" t="n">
        <v>83883</v>
      </c>
      <c r="Y195" s="8" t="n">
        <f aca="false">(X195/P195)*100</f>
        <v>41.5892391444465</v>
      </c>
      <c r="Z195" s="7" t="s">
        <v>51</v>
      </c>
      <c r="AA195" s="7" t="s">
        <v>52</v>
      </c>
      <c r="AB195" s="7" t="s">
        <v>1180</v>
      </c>
      <c r="AC195" s="7" t="n">
        <v>74762</v>
      </c>
      <c r="AD195" s="8" t="n">
        <f aca="false">(AC195/P195)*100</f>
        <v>37.0670421529644</v>
      </c>
      <c r="AE195" s="7" t="s">
        <v>57</v>
      </c>
      <c r="AF195" s="7" t="s">
        <v>57</v>
      </c>
      <c r="AG195" s="7" t="s">
        <v>1181</v>
      </c>
      <c r="AH195" s="7" t="n">
        <v>18224</v>
      </c>
      <c r="AI195" s="8" t="n">
        <f aca="false">(AH195/P195)*100</f>
        <v>9.03546957271907</v>
      </c>
      <c r="AJ195" s="7" t="s">
        <v>70</v>
      </c>
      <c r="AK195" s="7" t="s">
        <v>71</v>
      </c>
      <c r="AL195" s="7" t="s">
        <v>1182</v>
      </c>
      <c r="AM195" s="7" t="n">
        <v>15849</v>
      </c>
      <c r="AN195" s="8" t="n">
        <f aca="false">(AM195/P195)*100</f>
        <v>7.85794322091882</v>
      </c>
      <c r="AO195" s="7" t="s">
        <v>59</v>
      </c>
      <c r="AP195" s="7" t="s">
        <v>60</v>
      </c>
      <c r="AQ195" s="7" t="s">
        <v>1183</v>
      </c>
      <c r="AR195" s="7" t="n">
        <v>3417</v>
      </c>
      <c r="AS195" s="8" t="n">
        <f aca="false">(AR195/P195)*100</f>
        <v>1.69415054488483</v>
      </c>
    </row>
    <row r="196" customFormat="false" ht="12.8" hidden="false" customHeight="true" outlineLevel="0" collapsed="false">
      <c r="A196" s="6" t="n">
        <v>195</v>
      </c>
      <c r="B196" s="7" t="s">
        <v>1184</v>
      </c>
      <c r="C196" s="7" t="s">
        <v>1142</v>
      </c>
      <c r="D196" s="7" t="s">
        <v>191</v>
      </c>
      <c r="E196" s="7" t="s">
        <v>1143</v>
      </c>
      <c r="F196" s="7" t="s">
        <v>76</v>
      </c>
      <c r="G196" s="7" t="s">
        <v>50</v>
      </c>
      <c r="H196" s="7" t="s">
        <v>50</v>
      </c>
      <c r="I196" s="7" t="s">
        <v>50</v>
      </c>
      <c r="J196" s="7" t="s">
        <v>50</v>
      </c>
      <c r="K196" s="7" t="s">
        <v>50</v>
      </c>
      <c r="L196" s="7" t="s">
        <v>50</v>
      </c>
      <c r="M196" s="7" t="s">
        <v>50</v>
      </c>
      <c r="N196" s="7" t="s">
        <v>50</v>
      </c>
      <c r="O196" s="7" t="n">
        <v>321501</v>
      </c>
      <c r="P196" s="7" t="n">
        <v>235849</v>
      </c>
      <c r="Q196" s="8" t="n">
        <f aca="false">(P196/O196)*100</f>
        <v>73.3587142808265</v>
      </c>
      <c r="R196" s="7" t="n">
        <f aca="false">X196-AC196</f>
        <v>29489</v>
      </c>
      <c r="S196" s="8" t="n">
        <f aca="false">(R196/P196)*100</f>
        <v>12.5033390008014</v>
      </c>
      <c r="T196" s="8" t="n">
        <f aca="false">Y196+AD196</f>
        <v>75.4198661007679</v>
      </c>
      <c r="U196" s="7" t="s">
        <v>54</v>
      </c>
      <c r="V196" s="7" t="s">
        <v>67</v>
      </c>
      <c r="W196" s="7" t="s">
        <v>1185</v>
      </c>
      <c r="X196" s="7" t="n">
        <v>103683</v>
      </c>
      <c r="Y196" s="8" t="n">
        <f aca="false">(X196/P196)*100</f>
        <v>43.9616025507846</v>
      </c>
      <c r="Z196" s="7" t="s">
        <v>51</v>
      </c>
      <c r="AA196" s="7" t="s">
        <v>421</v>
      </c>
      <c r="AB196" s="7" t="s">
        <v>1186</v>
      </c>
      <c r="AC196" s="7" t="n">
        <v>74194</v>
      </c>
      <c r="AD196" s="8" t="n">
        <f aca="false">(AC196/P196)*100</f>
        <v>31.4582635499833</v>
      </c>
      <c r="AE196" s="7" t="s">
        <v>57</v>
      </c>
      <c r="AF196" s="7" t="s">
        <v>57</v>
      </c>
      <c r="AG196" s="7" t="s">
        <v>1187</v>
      </c>
      <c r="AH196" s="7" t="n">
        <v>22722</v>
      </c>
      <c r="AI196" s="8" t="n">
        <f aca="false">(AH196/P196)*100</f>
        <v>9.63413031219127</v>
      </c>
      <c r="AJ196" s="7" t="s">
        <v>70</v>
      </c>
      <c r="AK196" s="7" t="s">
        <v>71</v>
      </c>
      <c r="AL196" s="7" t="s">
        <v>1188</v>
      </c>
      <c r="AM196" s="7" t="n">
        <v>16750</v>
      </c>
      <c r="AN196" s="8" t="n">
        <f aca="false">(AM196/P196)*100</f>
        <v>7.10200170448041</v>
      </c>
      <c r="AO196" s="7" t="s">
        <v>59</v>
      </c>
      <c r="AP196" s="7" t="s">
        <v>73</v>
      </c>
      <c r="AQ196" s="7" t="s">
        <v>1189</v>
      </c>
      <c r="AR196" s="7" t="n">
        <v>10190</v>
      </c>
      <c r="AS196" s="8" t="n">
        <f aca="false">(AR196/P196)*100</f>
        <v>4.32056103693465</v>
      </c>
    </row>
    <row r="197" customFormat="false" ht="12.8" hidden="false" customHeight="true" outlineLevel="0" collapsed="false">
      <c r="A197" s="6" t="n">
        <v>196</v>
      </c>
      <c r="B197" s="7" t="s">
        <v>1190</v>
      </c>
      <c r="C197" s="7" t="s">
        <v>1142</v>
      </c>
      <c r="D197" s="7" t="s">
        <v>191</v>
      </c>
      <c r="E197" s="7" t="s">
        <v>1143</v>
      </c>
      <c r="F197" s="7" t="s">
        <v>76</v>
      </c>
      <c r="G197" s="7" t="s">
        <v>50</v>
      </c>
      <c r="H197" s="7" t="s">
        <v>525</v>
      </c>
      <c r="I197" s="7" t="s">
        <v>50</v>
      </c>
      <c r="J197" s="7" t="s">
        <v>50</v>
      </c>
      <c r="K197" s="7" t="s">
        <v>50</v>
      </c>
      <c r="L197" s="7" t="s">
        <v>50</v>
      </c>
      <c r="M197" s="7" t="s">
        <v>50</v>
      </c>
      <c r="N197" s="7" t="s">
        <v>50</v>
      </c>
      <c r="O197" s="7" t="n">
        <v>279598</v>
      </c>
      <c r="P197" s="7" t="n">
        <v>220495</v>
      </c>
      <c r="Q197" s="8" t="n">
        <f aca="false">(P197/O197)*100</f>
        <v>78.8614367770871</v>
      </c>
      <c r="R197" s="7" t="n">
        <f aca="false">X197-AC197</f>
        <v>14087</v>
      </c>
      <c r="S197" s="8" t="n">
        <f aca="false">(R197/P197)*100</f>
        <v>6.38880700242636</v>
      </c>
      <c r="T197" s="8" t="n">
        <f aca="false">Y197+AD197</f>
        <v>84.6227805619175</v>
      </c>
      <c r="U197" s="7" t="s">
        <v>54</v>
      </c>
      <c r="V197" s="7" t="s">
        <v>67</v>
      </c>
      <c r="W197" s="7" t="s">
        <v>1191</v>
      </c>
      <c r="X197" s="7" t="n">
        <v>100338</v>
      </c>
      <c r="Y197" s="8" t="n">
        <f aca="false">(X197/P197)*100</f>
        <v>45.5057937821719</v>
      </c>
      <c r="Z197" s="7" t="s">
        <v>51</v>
      </c>
      <c r="AA197" s="7" t="s">
        <v>52</v>
      </c>
      <c r="AB197" s="7" t="s">
        <v>1192</v>
      </c>
      <c r="AC197" s="7" t="n">
        <v>86251</v>
      </c>
      <c r="AD197" s="8" t="n">
        <f aca="false">(AC197/P197)*100</f>
        <v>39.1169867797456</v>
      </c>
      <c r="AE197" s="7" t="s">
        <v>59</v>
      </c>
      <c r="AF197" s="7" t="s">
        <v>73</v>
      </c>
      <c r="AG197" s="7" t="s">
        <v>1193</v>
      </c>
      <c r="AH197" s="7" t="n">
        <v>13780</v>
      </c>
      <c r="AI197" s="8" t="n">
        <f aca="false">(AH197/P197)*100</f>
        <v>6.24957482029071</v>
      </c>
      <c r="AJ197" s="7" t="s">
        <v>57</v>
      </c>
      <c r="AK197" s="7" t="s">
        <v>57</v>
      </c>
      <c r="AL197" s="7" t="s">
        <v>1194</v>
      </c>
      <c r="AM197" s="7" t="n">
        <v>11593</v>
      </c>
      <c r="AN197" s="8" t="n">
        <f aca="false">(AM197/P197)*100</f>
        <v>5.25771559445792</v>
      </c>
      <c r="AO197" s="7" t="s">
        <v>70</v>
      </c>
      <c r="AP197" s="7" t="s">
        <v>71</v>
      </c>
      <c r="AQ197" s="7" t="s">
        <v>1195</v>
      </c>
      <c r="AR197" s="7" t="n">
        <v>2775</v>
      </c>
      <c r="AS197" s="8" t="n">
        <f aca="false">(AR197/P197)*100</f>
        <v>1.25853193949976</v>
      </c>
    </row>
    <row r="198" customFormat="false" ht="12.8" hidden="false" customHeight="true" outlineLevel="0" collapsed="false">
      <c r="A198" s="6" t="n">
        <v>197</v>
      </c>
      <c r="B198" s="7" t="s">
        <v>1196</v>
      </c>
      <c r="C198" s="7" t="s">
        <v>1142</v>
      </c>
      <c r="D198" s="7" t="s">
        <v>191</v>
      </c>
      <c r="E198" s="7" t="s">
        <v>1143</v>
      </c>
      <c r="F198" s="7" t="s">
        <v>76</v>
      </c>
      <c r="G198" s="7" t="s">
        <v>50</v>
      </c>
      <c r="H198" s="7" t="s">
        <v>50</v>
      </c>
      <c r="I198" s="7" t="s">
        <v>50</v>
      </c>
      <c r="J198" s="7" t="s">
        <v>50</v>
      </c>
      <c r="K198" s="28" t="s">
        <v>1197</v>
      </c>
      <c r="L198" s="7" t="s">
        <v>50</v>
      </c>
      <c r="M198" s="28" t="s">
        <v>1197</v>
      </c>
      <c r="N198" s="7" t="s">
        <v>50</v>
      </c>
      <c r="O198" s="7" t="n">
        <v>286453</v>
      </c>
      <c r="P198" s="7" t="n">
        <v>212513</v>
      </c>
      <c r="Q198" s="8" t="n">
        <f aca="false">(P198/O198)*100</f>
        <v>74.1877376044238</v>
      </c>
      <c r="R198" s="7" t="n">
        <f aca="false">X198-AC198</f>
        <v>7477</v>
      </c>
      <c r="S198" s="8" t="n">
        <f aca="false">(R198/P198)*100</f>
        <v>3.51837299365215</v>
      </c>
      <c r="T198" s="8" t="n">
        <f aca="false">Y198+AD198</f>
        <v>63.5410539590519</v>
      </c>
      <c r="U198" s="7" t="s">
        <v>54</v>
      </c>
      <c r="V198" s="7" t="s">
        <v>67</v>
      </c>
      <c r="W198" s="7" t="s">
        <v>1198</v>
      </c>
      <c r="X198" s="7" t="n">
        <v>71255</v>
      </c>
      <c r="Y198" s="8" t="n">
        <f aca="false">(X198/P198)*100</f>
        <v>33.529713476352</v>
      </c>
      <c r="Z198" s="7" t="s">
        <v>51</v>
      </c>
      <c r="AA198" s="28" t="s">
        <v>1197</v>
      </c>
      <c r="AB198" s="7" t="s">
        <v>1199</v>
      </c>
      <c r="AC198" s="7" t="n">
        <v>63778</v>
      </c>
      <c r="AD198" s="8" t="n">
        <f aca="false">(AC198/P198)*100</f>
        <v>30.0113404826999</v>
      </c>
      <c r="AE198" s="7" t="s">
        <v>59</v>
      </c>
      <c r="AF198" s="7" t="s">
        <v>73</v>
      </c>
      <c r="AG198" s="7" t="s">
        <v>1200</v>
      </c>
      <c r="AH198" s="7" t="n">
        <v>55491</v>
      </c>
      <c r="AI198" s="8" t="n">
        <f aca="false">(AH198/P198)*100</f>
        <v>26.1118143360642</v>
      </c>
      <c r="AJ198" s="7" t="s">
        <v>57</v>
      </c>
      <c r="AK198" s="7" t="s">
        <v>57</v>
      </c>
      <c r="AL198" s="7" t="s">
        <v>1201</v>
      </c>
      <c r="AM198" s="7" t="n">
        <v>15357</v>
      </c>
      <c r="AN198" s="8" t="n">
        <f aca="false">(AM198/P198)*100</f>
        <v>7.22638144489984</v>
      </c>
      <c r="AO198" s="7" t="s">
        <v>196</v>
      </c>
      <c r="AP198" s="7" t="s">
        <v>196</v>
      </c>
      <c r="AQ198" s="7" t="s">
        <v>258</v>
      </c>
      <c r="AR198" s="7" t="n">
        <v>1247</v>
      </c>
      <c r="AS198" s="8" t="n">
        <f aca="false">(AR198/P198)*100</f>
        <v>0.586787631815465</v>
      </c>
    </row>
    <row r="199" customFormat="false" ht="12.8" hidden="false" customHeight="true" outlineLevel="0" collapsed="false">
      <c r="A199" s="6" t="n">
        <v>198</v>
      </c>
      <c r="B199" s="7" t="s">
        <v>1202</v>
      </c>
      <c r="C199" s="7" t="s">
        <v>1203</v>
      </c>
      <c r="D199" s="7" t="s">
        <v>191</v>
      </c>
      <c r="E199" s="7" t="s">
        <v>1143</v>
      </c>
      <c r="F199" s="7" t="s">
        <v>76</v>
      </c>
      <c r="G199" s="7" t="s">
        <v>50</v>
      </c>
      <c r="H199" s="7" t="s">
        <v>525</v>
      </c>
      <c r="I199" s="7" t="s">
        <v>50</v>
      </c>
      <c r="J199" s="7" t="s">
        <v>50</v>
      </c>
      <c r="K199" s="7" t="s">
        <v>67</v>
      </c>
      <c r="L199" s="7" t="s">
        <v>50</v>
      </c>
      <c r="M199" s="7" t="s">
        <v>67</v>
      </c>
      <c r="N199" s="7" t="s">
        <v>227</v>
      </c>
      <c r="O199" s="7" t="n">
        <v>278344</v>
      </c>
      <c r="P199" s="7" t="n">
        <v>209540</v>
      </c>
      <c r="Q199" s="8" t="n">
        <f aca="false">(P199/O199)*100</f>
        <v>75.280947316989</v>
      </c>
      <c r="R199" s="7" t="n">
        <f aca="false">X199-AC199</f>
        <v>14538</v>
      </c>
      <c r="S199" s="8" t="n">
        <f aca="false">(R199/P199)*100</f>
        <v>6.93805478667558</v>
      </c>
      <c r="T199" s="8" t="n">
        <f aca="false">Y199+AD199</f>
        <v>88.0710126944736</v>
      </c>
      <c r="U199" s="7" t="s">
        <v>51</v>
      </c>
      <c r="V199" s="7" t="s">
        <v>52</v>
      </c>
      <c r="W199" s="7" t="s">
        <v>1204</v>
      </c>
      <c r="X199" s="7" t="n">
        <v>99541</v>
      </c>
      <c r="Y199" s="8" t="n">
        <f aca="false">(X199/P199)*100</f>
        <v>47.5045337405746</v>
      </c>
      <c r="Z199" s="7" t="s">
        <v>54</v>
      </c>
      <c r="AA199" s="7" t="s">
        <v>67</v>
      </c>
      <c r="AB199" s="7" t="s">
        <v>1205</v>
      </c>
      <c r="AC199" s="7" t="n">
        <v>85003</v>
      </c>
      <c r="AD199" s="8" t="n">
        <f aca="false">(AC199/P199)*100</f>
        <v>40.566478953899</v>
      </c>
      <c r="AE199" s="7" t="s">
        <v>59</v>
      </c>
      <c r="AF199" s="7" t="s">
        <v>73</v>
      </c>
      <c r="AG199" s="7" t="s">
        <v>1206</v>
      </c>
      <c r="AH199" s="7" t="n">
        <v>11896</v>
      </c>
      <c r="AI199" s="8" t="n">
        <f aca="false">(AH199/P199)*100</f>
        <v>5.67719767108905</v>
      </c>
      <c r="AJ199" s="7" t="s">
        <v>57</v>
      </c>
      <c r="AK199" s="7" t="s">
        <v>57</v>
      </c>
      <c r="AL199" s="7" t="s">
        <v>1207</v>
      </c>
      <c r="AM199" s="7" t="n">
        <v>11216</v>
      </c>
      <c r="AN199" s="8" t="n">
        <f aca="false">(AM199/P199)*100</f>
        <v>5.35267729311826</v>
      </c>
      <c r="AO199" s="7" t="s">
        <v>70</v>
      </c>
      <c r="AP199" s="7" t="s">
        <v>71</v>
      </c>
      <c r="AQ199" s="7" t="s">
        <v>164</v>
      </c>
      <c r="AR199" s="7" t="n">
        <v>3010</v>
      </c>
      <c r="AS199" s="8" t="n">
        <f aca="false">(AR199/P199)*100</f>
        <v>1.43647990837072</v>
      </c>
    </row>
    <row r="200" customFormat="false" ht="12.8" hidden="false" customHeight="true" outlineLevel="0" collapsed="false">
      <c r="A200" s="6" t="n">
        <v>199</v>
      </c>
      <c r="B200" s="7" t="s">
        <v>1208</v>
      </c>
      <c r="C200" s="7" t="s">
        <v>1203</v>
      </c>
      <c r="D200" s="7" t="s">
        <v>191</v>
      </c>
      <c r="E200" s="7" t="s">
        <v>1143</v>
      </c>
      <c r="F200" s="7" t="s">
        <v>76</v>
      </c>
      <c r="G200" s="7" t="s">
        <v>64</v>
      </c>
      <c r="H200" s="7" t="s">
        <v>50</v>
      </c>
      <c r="I200" s="7" t="s">
        <v>50</v>
      </c>
      <c r="J200" s="7" t="s">
        <v>50</v>
      </c>
      <c r="K200" s="7" t="s">
        <v>50</v>
      </c>
      <c r="L200" s="7" t="s">
        <v>50</v>
      </c>
      <c r="M200" s="7" t="s">
        <v>50</v>
      </c>
      <c r="N200" s="7" t="s">
        <v>50</v>
      </c>
      <c r="O200" s="7" t="n">
        <v>285471</v>
      </c>
      <c r="P200" s="7" t="n">
        <v>201797</v>
      </c>
      <c r="Q200" s="8" t="n">
        <f aca="false">(P200/O200)*100</f>
        <v>70.6891418042463</v>
      </c>
      <c r="R200" s="7" t="n">
        <f aca="false">X200-AC200</f>
        <v>21321</v>
      </c>
      <c r="S200" s="8" t="n">
        <f aca="false">(R200/P200)*100</f>
        <v>10.5655683682116</v>
      </c>
      <c r="T200" s="8" t="n">
        <f aca="false">Y200+AD200</f>
        <v>80.8639375213705</v>
      </c>
      <c r="U200" s="7" t="s">
        <v>51</v>
      </c>
      <c r="V200" s="7" t="s">
        <v>52</v>
      </c>
      <c r="W200" s="7" t="s">
        <v>1209</v>
      </c>
      <c r="X200" s="7" t="n">
        <v>92251</v>
      </c>
      <c r="Y200" s="8" t="n">
        <f aca="false">(X200/P200)*100</f>
        <v>45.7147529447911</v>
      </c>
      <c r="Z200" s="7" t="s">
        <v>54</v>
      </c>
      <c r="AA200" s="7" t="s">
        <v>67</v>
      </c>
      <c r="AB200" s="7" t="s">
        <v>1210</v>
      </c>
      <c r="AC200" s="7" t="n">
        <v>70930</v>
      </c>
      <c r="AD200" s="8" t="n">
        <f aca="false">(AC200/P200)*100</f>
        <v>35.1491845765794</v>
      </c>
      <c r="AE200" s="7" t="s">
        <v>59</v>
      </c>
      <c r="AF200" s="7" t="s">
        <v>73</v>
      </c>
      <c r="AG200" s="7" t="s">
        <v>1211</v>
      </c>
      <c r="AH200" s="7" t="n">
        <v>16424</v>
      </c>
      <c r="AI200" s="8" t="n">
        <f aca="false">(AH200/P200)*100</f>
        <v>8.13887223298662</v>
      </c>
      <c r="AJ200" s="7" t="s">
        <v>57</v>
      </c>
      <c r="AK200" s="7" t="s">
        <v>57</v>
      </c>
      <c r="AL200" s="7" t="s">
        <v>1212</v>
      </c>
      <c r="AM200" s="7" t="n">
        <v>11794</v>
      </c>
      <c r="AN200" s="8" t="n">
        <f aca="false">(AM200/P200)*100</f>
        <v>5.84448728177327</v>
      </c>
      <c r="AO200" s="7" t="s">
        <v>70</v>
      </c>
      <c r="AP200" s="7" t="s">
        <v>71</v>
      </c>
      <c r="AQ200" s="7" t="s">
        <v>1213</v>
      </c>
      <c r="AR200" s="7" t="n">
        <v>5680</v>
      </c>
      <c r="AS200" s="8" t="n">
        <f aca="false">(AR200/P200)*100</f>
        <v>2.81470983215806</v>
      </c>
    </row>
    <row r="201" customFormat="false" ht="12.8" hidden="false" customHeight="true" outlineLevel="0" collapsed="false">
      <c r="A201" s="6" t="n">
        <v>200</v>
      </c>
      <c r="B201" s="7" t="s">
        <v>1214</v>
      </c>
      <c r="C201" s="7" t="s">
        <v>1203</v>
      </c>
      <c r="D201" s="7" t="s">
        <v>191</v>
      </c>
      <c r="E201" s="7" t="s">
        <v>1143</v>
      </c>
      <c r="F201" s="7" t="s">
        <v>76</v>
      </c>
      <c r="G201" s="7" t="s">
        <v>50</v>
      </c>
      <c r="H201" s="7" t="s">
        <v>50</v>
      </c>
      <c r="I201" s="7" t="s">
        <v>50</v>
      </c>
      <c r="J201" s="7" t="s">
        <v>67</v>
      </c>
      <c r="K201" s="7" t="s">
        <v>50</v>
      </c>
      <c r="L201" s="7" t="s">
        <v>67</v>
      </c>
      <c r="M201" s="7" t="s">
        <v>50</v>
      </c>
      <c r="N201" s="7" t="s">
        <v>125</v>
      </c>
      <c r="O201" s="7" t="n">
        <v>278815</v>
      </c>
      <c r="P201" s="7" t="n">
        <v>214795</v>
      </c>
      <c r="Q201" s="8" t="n">
        <f aca="false">(P201/O201)*100</f>
        <v>77.0385380987393</v>
      </c>
      <c r="R201" s="7" t="n">
        <f aca="false">X201-AC201</f>
        <v>11021</v>
      </c>
      <c r="S201" s="8" t="n">
        <f aca="false">(R201/P201)*100</f>
        <v>5.13093880211364</v>
      </c>
      <c r="T201" s="8" t="n">
        <f aca="false">Y201+AD201</f>
        <v>88.0276542750064</v>
      </c>
      <c r="U201" s="7" t="s">
        <v>54</v>
      </c>
      <c r="V201" s="7" t="s">
        <v>67</v>
      </c>
      <c r="W201" s="7" t="s">
        <v>1215</v>
      </c>
      <c r="X201" s="7" t="n">
        <v>100050</v>
      </c>
      <c r="Y201" s="8" t="n">
        <f aca="false">(X201/P201)*100</f>
        <v>46.57929653856</v>
      </c>
      <c r="Z201" s="7" t="s">
        <v>51</v>
      </c>
      <c r="AA201" s="7" t="s">
        <v>52</v>
      </c>
      <c r="AB201" s="7" t="s">
        <v>1216</v>
      </c>
      <c r="AC201" s="7" t="n">
        <v>89029</v>
      </c>
      <c r="AD201" s="8" t="n">
        <f aca="false">(AC201/P201)*100</f>
        <v>41.4483577364464</v>
      </c>
      <c r="AE201" s="7" t="s">
        <v>57</v>
      </c>
      <c r="AF201" s="7" t="s">
        <v>57</v>
      </c>
      <c r="AG201" s="7" t="s">
        <v>1217</v>
      </c>
      <c r="AH201" s="7" t="n">
        <v>11114</v>
      </c>
      <c r="AI201" s="8" t="n">
        <f aca="false">(AH201/P201)*100</f>
        <v>5.17423589934589</v>
      </c>
      <c r="AJ201" s="7" t="s">
        <v>59</v>
      </c>
      <c r="AK201" s="7" t="s">
        <v>73</v>
      </c>
      <c r="AL201" s="7" t="s">
        <v>1218</v>
      </c>
      <c r="AM201" s="7" t="n">
        <v>5649</v>
      </c>
      <c r="AN201" s="8" t="n">
        <f aca="false">(AM201/P201)*100</f>
        <v>2.6299494867199</v>
      </c>
      <c r="AO201" s="7" t="s">
        <v>70</v>
      </c>
      <c r="AP201" s="7" t="s">
        <v>71</v>
      </c>
      <c r="AQ201" s="7" t="s">
        <v>1219</v>
      </c>
      <c r="AR201" s="7" t="n">
        <v>4128</v>
      </c>
      <c r="AS201" s="8" t="n">
        <f aca="false">(AR201/P201)*100</f>
        <v>1.92183244488931</v>
      </c>
    </row>
    <row r="202" customFormat="false" ht="12.8" hidden="false" customHeight="true" outlineLevel="0" collapsed="false">
      <c r="A202" s="6" t="n">
        <v>201</v>
      </c>
      <c r="B202" s="7" t="s">
        <v>1220</v>
      </c>
      <c r="C202" s="7" t="s">
        <v>1203</v>
      </c>
      <c r="D202" s="7" t="s">
        <v>191</v>
      </c>
      <c r="E202" s="7" t="s">
        <v>1143</v>
      </c>
      <c r="F202" s="7" t="s">
        <v>76</v>
      </c>
      <c r="G202" s="7" t="s">
        <v>50</v>
      </c>
      <c r="H202" s="7" t="s">
        <v>525</v>
      </c>
      <c r="I202" s="7" t="s">
        <v>50</v>
      </c>
      <c r="J202" s="7" t="s">
        <v>52</v>
      </c>
      <c r="K202" s="7" t="s">
        <v>50</v>
      </c>
      <c r="L202" s="7" t="s">
        <v>50</v>
      </c>
      <c r="M202" s="7" t="s">
        <v>52</v>
      </c>
      <c r="N202" s="7" t="s">
        <v>50</v>
      </c>
      <c r="O202" s="7" t="n">
        <v>288262</v>
      </c>
      <c r="P202" s="7" t="n">
        <v>202275</v>
      </c>
      <c r="Q202" s="8" t="n">
        <f aca="false">(P202/O202)*100</f>
        <v>70.1705393010525</v>
      </c>
      <c r="R202" s="7" t="n">
        <f aca="false">X202-AC202</f>
        <v>42413</v>
      </c>
      <c r="S202" s="8" t="n">
        <f aca="false">(R202/P202)*100</f>
        <v>20.9679891237177</v>
      </c>
      <c r="T202" s="8" t="n">
        <f aca="false">Y202+AD202</f>
        <v>82.6533185020393</v>
      </c>
      <c r="U202" s="7" t="s">
        <v>51</v>
      </c>
      <c r="V202" s="7" t="s">
        <v>52</v>
      </c>
      <c r="W202" s="7" t="s">
        <v>1221</v>
      </c>
      <c r="X202" s="7" t="n">
        <v>104800</v>
      </c>
      <c r="Y202" s="8" t="n">
        <f aca="false">(X202/P202)*100</f>
        <v>51.8106538128785</v>
      </c>
      <c r="Z202" s="7" t="s">
        <v>54</v>
      </c>
      <c r="AA202" s="7" t="s">
        <v>67</v>
      </c>
      <c r="AB202" s="7" t="s">
        <v>1222</v>
      </c>
      <c r="AC202" s="7" t="n">
        <v>62387</v>
      </c>
      <c r="AD202" s="8" t="n">
        <f aca="false">(AC202/P202)*100</f>
        <v>30.8426646891608</v>
      </c>
      <c r="AE202" s="7" t="s">
        <v>59</v>
      </c>
      <c r="AF202" s="7" t="s">
        <v>73</v>
      </c>
      <c r="AG202" s="7" t="s">
        <v>1223</v>
      </c>
      <c r="AH202" s="7" t="n">
        <v>14536</v>
      </c>
      <c r="AI202" s="8" t="n">
        <f aca="false">(AH202/P202)*100</f>
        <v>7.18625633419849</v>
      </c>
      <c r="AJ202" s="7" t="s">
        <v>57</v>
      </c>
      <c r="AK202" s="7" t="s">
        <v>57</v>
      </c>
      <c r="AL202" s="7" t="s">
        <v>1224</v>
      </c>
      <c r="AM202" s="7" t="n">
        <v>12347</v>
      </c>
      <c r="AN202" s="8" t="n">
        <f aca="false">(AM202/P202)*100</f>
        <v>6.10406624644667</v>
      </c>
      <c r="AO202" s="7" t="s">
        <v>70</v>
      </c>
      <c r="AP202" s="7" t="s">
        <v>71</v>
      </c>
      <c r="AQ202" s="7" t="s">
        <v>1225</v>
      </c>
      <c r="AR202" s="7" t="n">
        <v>4647</v>
      </c>
      <c r="AS202" s="8" t="n">
        <f aca="false">(AR202/P202)*100</f>
        <v>2.2973674453096</v>
      </c>
    </row>
    <row r="203" customFormat="false" ht="12.8" hidden="false" customHeight="true" outlineLevel="0" collapsed="false">
      <c r="A203" s="6" t="n">
        <v>202</v>
      </c>
      <c r="B203" s="7" t="s">
        <v>1226</v>
      </c>
      <c r="C203" s="7" t="s">
        <v>1227</v>
      </c>
      <c r="D203" s="7" t="s">
        <v>191</v>
      </c>
      <c r="E203" s="7" t="s">
        <v>1143</v>
      </c>
      <c r="F203" s="7" t="s">
        <v>87</v>
      </c>
      <c r="G203" s="7" t="s">
        <v>50</v>
      </c>
      <c r="H203" s="7" t="s">
        <v>50</v>
      </c>
      <c r="I203" s="7" t="s">
        <v>50</v>
      </c>
      <c r="J203" s="7" t="s">
        <v>50</v>
      </c>
      <c r="K203" s="7" t="s">
        <v>50</v>
      </c>
      <c r="L203" s="7" t="s">
        <v>50</v>
      </c>
      <c r="M203" s="7" t="s">
        <v>50</v>
      </c>
      <c r="N203" s="7" t="s">
        <v>50</v>
      </c>
      <c r="O203" s="7" t="n">
        <v>239461</v>
      </c>
      <c r="P203" s="7" t="n">
        <v>178708</v>
      </c>
      <c r="Q203" s="8" t="n">
        <f aca="false">(P203/O203)*100</f>
        <v>74.6292715724064</v>
      </c>
      <c r="R203" s="7" t="n">
        <f aca="false">X203-AC203</f>
        <v>3898</v>
      </c>
      <c r="S203" s="8" t="n">
        <f aca="false">(R203/P203)*100</f>
        <v>2.18121180920832</v>
      </c>
      <c r="T203" s="8" t="n">
        <f aca="false">Y203+AD203</f>
        <v>80.8122747722542</v>
      </c>
      <c r="U203" s="7" t="s">
        <v>51</v>
      </c>
      <c r="V203" s="7" t="s">
        <v>52</v>
      </c>
      <c r="W203" s="7" t="s">
        <v>1228</v>
      </c>
      <c r="X203" s="7" t="n">
        <v>74158</v>
      </c>
      <c r="Y203" s="8" t="n">
        <f aca="false">(X203/P203)*100</f>
        <v>41.4967432907312</v>
      </c>
      <c r="Z203" s="7" t="s">
        <v>54</v>
      </c>
      <c r="AA203" s="7" t="s">
        <v>67</v>
      </c>
      <c r="AB203" s="7" t="s">
        <v>1229</v>
      </c>
      <c r="AC203" s="7" t="n">
        <v>70260</v>
      </c>
      <c r="AD203" s="8" t="n">
        <f aca="false">(AC203/P203)*100</f>
        <v>39.3155314815229</v>
      </c>
      <c r="AE203" s="7" t="s">
        <v>57</v>
      </c>
      <c r="AF203" s="7" t="s">
        <v>57</v>
      </c>
      <c r="AG203" s="7" t="s">
        <v>1230</v>
      </c>
      <c r="AH203" s="7" t="n">
        <v>15601</v>
      </c>
      <c r="AI203" s="8" t="n">
        <f aca="false">(AH203/P203)*100</f>
        <v>8.72988338518701</v>
      </c>
      <c r="AJ203" s="7" t="s">
        <v>59</v>
      </c>
      <c r="AK203" s="7" t="s">
        <v>73</v>
      </c>
      <c r="AL203" s="7" t="s">
        <v>1231</v>
      </c>
      <c r="AM203" s="7" t="n">
        <v>7664</v>
      </c>
      <c r="AN203" s="8" t="n">
        <f aca="false">(AM203/P203)*100</f>
        <v>4.28856010922846</v>
      </c>
      <c r="AO203" s="7" t="s">
        <v>70</v>
      </c>
      <c r="AP203" s="7" t="s">
        <v>71</v>
      </c>
      <c r="AQ203" s="7" t="s">
        <v>1232</v>
      </c>
      <c r="AR203" s="7" t="n">
        <v>4057</v>
      </c>
      <c r="AS203" s="8" t="n">
        <f aca="false">(AR203/P203)*100</f>
        <v>2.27018376345771</v>
      </c>
    </row>
    <row r="204" customFormat="false" ht="12.8" hidden="false" customHeight="true" outlineLevel="0" collapsed="false">
      <c r="A204" s="6" t="n">
        <v>203</v>
      </c>
      <c r="B204" s="7" t="s">
        <v>1233</v>
      </c>
      <c r="C204" s="7" t="s">
        <v>1227</v>
      </c>
      <c r="D204" s="7" t="s">
        <v>191</v>
      </c>
      <c r="E204" s="7" t="s">
        <v>1143</v>
      </c>
      <c r="F204" s="7" t="s">
        <v>76</v>
      </c>
      <c r="G204" s="7" t="s">
        <v>64</v>
      </c>
      <c r="H204" s="7" t="s">
        <v>50</v>
      </c>
      <c r="I204" s="7" t="s">
        <v>50</v>
      </c>
      <c r="J204" s="7" t="s">
        <v>50</v>
      </c>
      <c r="K204" s="7" t="s">
        <v>67</v>
      </c>
      <c r="L204" s="7" t="s">
        <v>50</v>
      </c>
      <c r="M204" s="7" t="s">
        <v>50</v>
      </c>
      <c r="N204" s="7" t="s">
        <v>50</v>
      </c>
      <c r="O204" s="7" t="n">
        <v>250640</v>
      </c>
      <c r="P204" s="7" t="n">
        <v>185039</v>
      </c>
      <c r="Q204" s="8" t="n">
        <f aca="false">(P204/O204)*100</f>
        <v>73.8266038940313</v>
      </c>
      <c r="R204" s="7" t="n">
        <f aca="false">X204-AC204</f>
        <v>12738</v>
      </c>
      <c r="S204" s="8" t="n">
        <f aca="false">(R204/P204)*100</f>
        <v>6.8839541934403</v>
      </c>
      <c r="T204" s="8" t="n">
        <f aca="false">Y204+AD204</f>
        <v>69.2891768762261</v>
      </c>
      <c r="U204" s="7" t="s">
        <v>54</v>
      </c>
      <c r="V204" s="7" t="s">
        <v>67</v>
      </c>
      <c r="W204" s="7" t="s">
        <v>1234</v>
      </c>
      <c r="X204" s="7" t="n">
        <v>70475</v>
      </c>
      <c r="Y204" s="8" t="n">
        <f aca="false">(X204/P204)*100</f>
        <v>38.0865655348332</v>
      </c>
      <c r="Z204" s="7" t="s">
        <v>51</v>
      </c>
      <c r="AA204" s="7" t="s">
        <v>65</v>
      </c>
      <c r="AB204" s="7" t="s">
        <v>1235</v>
      </c>
      <c r="AC204" s="7" t="n">
        <v>57737</v>
      </c>
      <c r="AD204" s="8" t="n">
        <f aca="false">(AC204/P204)*100</f>
        <v>31.2026113413929</v>
      </c>
      <c r="AE204" s="7" t="s">
        <v>59</v>
      </c>
      <c r="AF204" s="7" t="s">
        <v>73</v>
      </c>
      <c r="AG204" s="7" t="s">
        <v>1236</v>
      </c>
      <c r="AH204" s="7" t="n">
        <v>23682</v>
      </c>
      <c r="AI204" s="8" t="n">
        <f aca="false">(AH204/P204)*100</f>
        <v>12.7983830435746</v>
      </c>
      <c r="AJ204" s="7" t="s">
        <v>57</v>
      </c>
      <c r="AK204" s="7" t="s">
        <v>57</v>
      </c>
      <c r="AL204" s="7" t="s">
        <v>1237</v>
      </c>
      <c r="AM204" s="7" t="n">
        <v>20348</v>
      </c>
      <c r="AN204" s="8" t="n">
        <f aca="false">(AM204/P204)*100</f>
        <v>10.9966007166057</v>
      </c>
      <c r="AO204" s="28" t="s">
        <v>1058</v>
      </c>
      <c r="AP204" s="28" t="s">
        <v>1058</v>
      </c>
      <c r="AQ204" s="7" t="s">
        <v>1238</v>
      </c>
      <c r="AR204" s="7" t="n">
        <v>4985</v>
      </c>
      <c r="AS204" s="8" t="n">
        <f aca="false">(AR204/P204)*100</f>
        <v>2.69402666464907</v>
      </c>
    </row>
    <row r="205" customFormat="false" ht="12.8" hidden="false" customHeight="true" outlineLevel="0" collapsed="false">
      <c r="A205" s="6" t="n">
        <v>204</v>
      </c>
      <c r="B205" s="7" t="s">
        <v>1239</v>
      </c>
      <c r="C205" s="7" t="s">
        <v>1227</v>
      </c>
      <c r="D205" s="7" t="s">
        <v>191</v>
      </c>
      <c r="E205" s="7" t="s">
        <v>1143</v>
      </c>
      <c r="F205" s="7" t="s">
        <v>76</v>
      </c>
      <c r="G205" s="7" t="s">
        <v>50</v>
      </c>
      <c r="H205" s="7" t="s">
        <v>525</v>
      </c>
      <c r="I205" s="7" t="s">
        <v>50</v>
      </c>
      <c r="J205" s="7" t="s">
        <v>50</v>
      </c>
      <c r="K205" s="7" t="s">
        <v>52</v>
      </c>
      <c r="L205" s="7" t="s">
        <v>50</v>
      </c>
      <c r="M205" s="7" t="s">
        <v>50</v>
      </c>
      <c r="N205" s="7" t="s">
        <v>333</v>
      </c>
      <c r="O205" s="7" t="n">
        <v>253363</v>
      </c>
      <c r="P205" s="7" t="n">
        <v>191783</v>
      </c>
      <c r="Q205" s="8" t="n">
        <f aca="false">(P205/O205)*100</f>
        <v>75.6949515122571</v>
      </c>
      <c r="R205" s="7" t="n">
        <f aca="false">X205-AC205</f>
        <v>11179</v>
      </c>
      <c r="S205" s="8" t="n">
        <f aca="false">(R205/P205)*100</f>
        <v>5.82898379939828</v>
      </c>
      <c r="T205" s="8" t="n">
        <f aca="false">Y205+AD205</f>
        <v>71.5230234170912</v>
      </c>
      <c r="U205" s="7" t="s">
        <v>51</v>
      </c>
      <c r="V205" s="7" t="s">
        <v>270</v>
      </c>
      <c r="W205" s="7" t="s">
        <v>1240</v>
      </c>
      <c r="X205" s="7" t="n">
        <v>74174</v>
      </c>
      <c r="Y205" s="8" t="n">
        <f aca="false">(X205/P205)*100</f>
        <v>38.6760036082447</v>
      </c>
      <c r="Z205" s="7" t="s">
        <v>54</v>
      </c>
      <c r="AA205" s="7" t="s">
        <v>67</v>
      </c>
      <c r="AB205" s="7" t="s">
        <v>1241</v>
      </c>
      <c r="AC205" s="7" t="n">
        <v>62995</v>
      </c>
      <c r="AD205" s="8" t="n">
        <f aca="false">(AC205/P205)*100</f>
        <v>32.8470198088465</v>
      </c>
      <c r="AE205" s="7" t="s">
        <v>59</v>
      </c>
      <c r="AF205" s="7" t="s">
        <v>73</v>
      </c>
      <c r="AG205" s="7" t="s">
        <v>1242</v>
      </c>
      <c r="AH205" s="7" t="n">
        <v>32916</v>
      </c>
      <c r="AI205" s="8" t="n">
        <f aca="false">(AH205/P205)*100</f>
        <v>17.1631479328199</v>
      </c>
      <c r="AJ205" s="7" t="s">
        <v>57</v>
      </c>
      <c r="AK205" s="7" t="s">
        <v>57</v>
      </c>
      <c r="AL205" s="7" t="s">
        <v>1243</v>
      </c>
      <c r="AM205" s="7" t="n">
        <v>12626</v>
      </c>
      <c r="AN205" s="8" t="n">
        <f aca="false">(AM205/P205)*100</f>
        <v>6.58348237330733</v>
      </c>
      <c r="AO205" s="7" t="s">
        <v>70</v>
      </c>
      <c r="AP205" s="13" t="s">
        <v>178</v>
      </c>
      <c r="AQ205" s="7" t="s">
        <v>1244</v>
      </c>
      <c r="AR205" s="7" t="n">
        <v>1751</v>
      </c>
      <c r="AS205" s="8" t="n">
        <f aca="false">(AR205/P205)*100</f>
        <v>0.913011059374397</v>
      </c>
    </row>
    <row r="206" customFormat="false" ht="12.8" hidden="false" customHeight="true" outlineLevel="0" collapsed="false">
      <c r="A206" s="6" t="n">
        <v>205</v>
      </c>
      <c r="B206" s="7" t="s">
        <v>1245</v>
      </c>
      <c r="C206" s="7" t="s">
        <v>1227</v>
      </c>
      <c r="D206" s="7" t="s">
        <v>191</v>
      </c>
      <c r="E206" s="7" t="s">
        <v>1143</v>
      </c>
      <c r="F206" s="7" t="s">
        <v>76</v>
      </c>
      <c r="G206" s="7" t="s">
        <v>50</v>
      </c>
      <c r="H206" s="7" t="s">
        <v>50</v>
      </c>
      <c r="I206" s="7" t="s">
        <v>50</v>
      </c>
      <c r="J206" s="7" t="s">
        <v>50</v>
      </c>
      <c r="K206" s="7" t="s">
        <v>50</v>
      </c>
      <c r="L206" s="7" t="s">
        <v>50</v>
      </c>
      <c r="M206" s="7" t="s">
        <v>50</v>
      </c>
      <c r="N206" s="7" t="s">
        <v>50</v>
      </c>
      <c r="O206" s="7" t="n">
        <v>261809</v>
      </c>
      <c r="P206" s="7" t="n">
        <v>185047</v>
      </c>
      <c r="Q206" s="8" t="n">
        <f aca="false">(P206/O206)*100</f>
        <v>70.6801523247864</v>
      </c>
      <c r="R206" s="7" t="n">
        <f aca="false">X206-AC206</f>
        <v>17319</v>
      </c>
      <c r="S206" s="8" t="n">
        <f aca="false">(R206/P206)*100</f>
        <v>9.35924386777413</v>
      </c>
      <c r="T206" s="8" t="n">
        <f aca="false">Y206+AD206</f>
        <v>75.9671867147265</v>
      </c>
      <c r="U206" s="7" t="s">
        <v>51</v>
      </c>
      <c r="V206" s="7" t="s">
        <v>65</v>
      </c>
      <c r="W206" s="7" t="s">
        <v>1246</v>
      </c>
      <c r="X206" s="7" t="n">
        <v>78947</v>
      </c>
      <c r="Y206" s="8" t="n">
        <f aca="false">(X206/P206)*100</f>
        <v>42.6632152912503</v>
      </c>
      <c r="Z206" s="7" t="s">
        <v>54</v>
      </c>
      <c r="AA206" s="7" t="s">
        <v>67</v>
      </c>
      <c r="AB206" s="7" t="s">
        <v>1247</v>
      </c>
      <c r="AC206" s="7" t="n">
        <v>61628</v>
      </c>
      <c r="AD206" s="8" t="n">
        <f aca="false">(AC206/P206)*100</f>
        <v>33.3039714234762</v>
      </c>
      <c r="AE206" s="7" t="s">
        <v>57</v>
      </c>
      <c r="AF206" s="7" t="s">
        <v>57</v>
      </c>
      <c r="AG206" s="7" t="s">
        <v>1248</v>
      </c>
      <c r="AH206" s="7" t="n">
        <v>20865</v>
      </c>
      <c r="AI206" s="8" t="n">
        <f aca="false">(AH206/P206)*100</f>
        <v>11.2755137883889</v>
      </c>
      <c r="AJ206" s="7" t="s">
        <v>59</v>
      </c>
      <c r="AK206" s="7" t="s">
        <v>73</v>
      </c>
      <c r="AL206" s="7" t="s">
        <v>1249</v>
      </c>
      <c r="AM206" s="7" t="n">
        <v>9893</v>
      </c>
      <c r="AN206" s="8" t="n">
        <f aca="false">(AM206/P206)*100</f>
        <v>5.34620934141056</v>
      </c>
      <c r="AO206" s="7" t="s">
        <v>70</v>
      </c>
      <c r="AP206" s="7" t="s">
        <v>71</v>
      </c>
      <c r="AQ206" s="7" t="s">
        <v>1250</v>
      </c>
      <c r="AR206" s="7" t="n">
        <v>6090</v>
      </c>
      <c r="AS206" s="8" t="n">
        <f aca="false">(AR206/P206)*100</f>
        <v>3.29105578582738</v>
      </c>
    </row>
    <row r="207" customFormat="false" ht="12.8" hidden="false" customHeight="true" outlineLevel="0" collapsed="false">
      <c r="A207" s="6" t="n">
        <v>206</v>
      </c>
      <c r="B207" s="7" t="s">
        <v>1227</v>
      </c>
      <c r="C207" s="7" t="s">
        <v>1227</v>
      </c>
      <c r="D207" s="7" t="s">
        <v>191</v>
      </c>
      <c r="E207" s="7" t="s">
        <v>1143</v>
      </c>
      <c r="F207" s="7" t="s">
        <v>76</v>
      </c>
      <c r="G207" s="7" t="s">
        <v>50</v>
      </c>
      <c r="H207" s="7" t="s">
        <v>50</v>
      </c>
      <c r="I207" s="7" t="s">
        <v>50</v>
      </c>
      <c r="J207" s="7" t="s">
        <v>52</v>
      </c>
      <c r="K207" s="7" t="s">
        <v>50</v>
      </c>
      <c r="L207" s="7" t="s">
        <v>50</v>
      </c>
      <c r="M207" s="7" t="s">
        <v>50</v>
      </c>
      <c r="N207" s="7" t="s">
        <v>333</v>
      </c>
      <c r="O207" s="7" t="n">
        <v>224099</v>
      </c>
      <c r="P207" s="7" t="n">
        <v>161717</v>
      </c>
      <c r="Q207" s="8" t="n">
        <f aca="false">(P207/O207)*100</f>
        <v>72.1631957304584</v>
      </c>
      <c r="R207" s="7" t="n">
        <f aca="false">X207-AC207</f>
        <v>21339</v>
      </c>
      <c r="S207" s="8" t="n">
        <f aca="false">(R207/P207)*100</f>
        <v>13.1952732242127</v>
      </c>
      <c r="T207" s="8" t="n">
        <f aca="false">Y207+AD207</f>
        <v>77.4532052907239</v>
      </c>
      <c r="U207" s="7" t="s">
        <v>51</v>
      </c>
      <c r="V207" s="7" t="s">
        <v>52</v>
      </c>
      <c r="W207" s="7" t="s">
        <v>1251</v>
      </c>
      <c r="X207" s="7" t="n">
        <v>73297</v>
      </c>
      <c r="Y207" s="8" t="n">
        <f aca="false">(X207/P207)*100</f>
        <v>45.3242392574683</v>
      </c>
      <c r="Z207" s="7" t="s">
        <v>54</v>
      </c>
      <c r="AA207" s="7" t="s">
        <v>170</v>
      </c>
      <c r="AB207" s="7" t="s">
        <v>1252</v>
      </c>
      <c r="AC207" s="7" t="n">
        <v>51958</v>
      </c>
      <c r="AD207" s="8" t="n">
        <f aca="false">(AC207/P207)*100</f>
        <v>32.1289660332556</v>
      </c>
      <c r="AE207" s="7" t="s">
        <v>57</v>
      </c>
      <c r="AF207" s="7" t="s">
        <v>57</v>
      </c>
      <c r="AG207" s="7" t="s">
        <v>1253</v>
      </c>
      <c r="AH207" s="7" t="n">
        <v>14311</v>
      </c>
      <c r="AI207" s="8" t="n">
        <f aca="false">(AH207/P207)*100</f>
        <v>8.84940977139076</v>
      </c>
      <c r="AJ207" s="7" t="s">
        <v>59</v>
      </c>
      <c r="AK207" s="7" t="s">
        <v>73</v>
      </c>
      <c r="AL207" s="7" t="s">
        <v>1254</v>
      </c>
      <c r="AM207" s="7" t="n">
        <v>10783</v>
      </c>
      <c r="AN207" s="8" t="n">
        <f aca="false">(AM207/P207)*100</f>
        <v>6.66782094646821</v>
      </c>
      <c r="AO207" s="7" t="s">
        <v>70</v>
      </c>
      <c r="AP207" s="20" t="s">
        <v>1255</v>
      </c>
      <c r="AQ207" s="7" t="s">
        <v>1256</v>
      </c>
      <c r="AR207" s="7" t="n">
        <v>5054</v>
      </c>
      <c r="AS207" s="8" t="n">
        <f aca="false">(AR207/P207)*100</f>
        <v>3.12521256268667</v>
      </c>
    </row>
    <row r="208" customFormat="false" ht="12.8" hidden="false" customHeight="true" outlineLevel="0" collapsed="false">
      <c r="A208" s="6" t="n">
        <v>207</v>
      </c>
      <c r="B208" s="7" t="s">
        <v>1257</v>
      </c>
      <c r="C208" s="7" t="s">
        <v>1227</v>
      </c>
      <c r="D208" s="7" t="s">
        <v>191</v>
      </c>
      <c r="E208" s="7" t="s">
        <v>1143</v>
      </c>
      <c r="F208" s="7" t="s">
        <v>76</v>
      </c>
      <c r="G208" s="7" t="s">
        <v>50</v>
      </c>
      <c r="H208" s="7" t="s">
        <v>50</v>
      </c>
      <c r="I208" s="7" t="s">
        <v>50</v>
      </c>
      <c r="J208" s="7" t="s">
        <v>50</v>
      </c>
      <c r="K208" s="7" t="s">
        <v>50</v>
      </c>
      <c r="L208" s="7" t="s">
        <v>50</v>
      </c>
      <c r="M208" s="7" t="s">
        <v>50</v>
      </c>
      <c r="N208" s="7" t="s">
        <v>227</v>
      </c>
      <c r="O208" s="7" t="n">
        <v>223820</v>
      </c>
      <c r="P208" s="7" t="n">
        <v>171201</v>
      </c>
      <c r="Q208" s="8" t="n">
        <f aca="false">(P208/O208)*100</f>
        <v>76.4904834241801</v>
      </c>
      <c r="R208" s="7" t="n">
        <f aca="false">X208-AC208</f>
        <v>39034</v>
      </c>
      <c r="S208" s="8" t="n">
        <f aca="false">(R208/P208)*100</f>
        <v>22.8001004667029</v>
      </c>
      <c r="T208" s="8" t="n">
        <f aca="false">Y208+AD208</f>
        <v>83.5544184905462</v>
      </c>
      <c r="U208" s="7" t="s">
        <v>51</v>
      </c>
      <c r="V208" s="7" t="s">
        <v>52</v>
      </c>
      <c r="W208" s="7" t="s">
        <v>1258</v>
      </c>
      <c r="X208" s="7" t="n">
        <v>91040</v>
      </c>
      <c r="Y208" s="8" t="n">
        <f aca="false">(X208/P208)*100</f>
        <v>53.1772594786245</v>
      </c>
      <c r="Z208" s="7" t="s">
        <v>54</v>
      </c>
      <c r="AA208" s="7" t="s">
        <v>67</v>
      </c>
      <c r="AB208" s="7" t="s">
        <v>1259</v>
      </c>
      <c r="AC208" s="7" t="n">
        <v>52006</v>
      </c>
      <c r="AD208" s="8" t="n">
        <f aca="false">(AC208/P208)*100</f>
        <v>30.3771590119217</v>
      </c>
      <c r="AE208" s="7" t="s">
        <v>57</v>
      </c>
      <c r="AF208" s="7" t="s">
        <v>57</v>
      </c>
      <c r="AG208" s="7" t="s">
        <v>1260</v>
      </c>
      <c r="AH208" s="7" t="n">
        <v>12392</v>
      </c>
      <c r="AI208" s="8" t="n">
        <f aca="false">(AH208/P208)*100</f>
        <v>7.23827547736287</v>
      </c>
      <c r="AJ208" s="7" t="s">
        <v>70</v>
      </c>
      <c r="AK208" s="7" t="s">
        <v>71</v>
      </c>
      <c r="AL208" s="7" t="s">
        <v>1261</v>
      </c>
      <c r="AM208" s="7" t="n">
        <v>7638</v>
      </c>
      <c r="AN208" s="8" t="n">
        <f aca="false">(AM208/P208)*100</f>
        <v>4.46142253841975</v>
      </c>
      <c r="AO208" s="7" t="s">
        <v>59</v>
      </c>
      <c r="AP208" s="7" t="s">
        <v>60</v>
      </c>
      <c r="AQ208" s="7" t="s">
        <v>417</v>
      </c>
      <c r="AR208" s="7" t="n">
        <v>2532</v>
      </c>
      <c r="AS208" s="8" t="n">
        <f aca="false">(AR208/P208)*100</f>
        <v>1.47896332381236</v>
      </c>
    </row>
    <row r="209" customFormat="false" ht="12.8" hidden="false" customHeight="true" outlineLevel="0" collapsed="false">
      <c r="A209" s="6" t="n">
        <v>208</v>
      </c>
      <c r="B209" s="7" t="s">
        <v>1262</v>
      </c>
      <c r="C209" s="7" t="s">
        <v>1227</v>
      </c>
      <c r="D209" s="7" t="s">
        <v>191</v>
      </c>
      <c r="E209" s="7" t="s">
        <v>1143</v>
      </c>
      <c r="F209" s="7" t="s">
        <v>49</v>
      </c>
      <c r="G209" s="7" t="s">
        <v>50</v>
      </c>
      <c r="H209" s="7" t="s">
        <v>50</v>
      </c>
      <c r="I209" s="7" t="s">
        <v>50</v>
      </c>
      <c r="J209" s="7" t="s">
        <v>52</v>
      </c>
      <c r="K209" s="7" t="s">
        <v>50</v>
      </c>
      <c r="L209" s="7" t="s">
        <v>52</v>
      </c>
      <c r="M209" s="7" t="s">
        <v>50</v>
      </c>
      <c r="N209" s="7" t="s">
        <v>50</v>
      </c>
      <c r="O209" s="7" t="n">
        <v>221421</v>
      </c>
      <c r="P209" s="7" t="n">
        <v>172811</v>
      </c>
      <c r="Q209" s="8" t="n">
        <f aca="false">(P209/O209)*100</f>
        <v>78.0463461008667</v>
      </c>
      <c r="R209" s="7" t="n">
        <f aca="false">X209-AC209</f>
        <v>60992</v>
      </c>
      <c r="S209" s="8" t="n">
        <f aca="false">(R209/P209)*100</f>
        <v>35.2940495686039</v>
      </c>
      <c r="T209" s="8" t="n">
        <f aca="false">Y209+AD209</f>
        <v>83.014391444989</v>
      </c>
      <c r="U209" s="7" t="s">
        <v>51</v>
      </c>
      <c r="V209" s="7" t="s">
        <v>52</v>
      </c>
      <c r="W209" s="7" t="s">
        <v>1263</v>
      </c>
      <c r="X209" s="7" t="n">
        <v>102225</v>
      </c>
      <c r="Y209" s="8" t="n">
        <f aca="false">(X209/P209)*100</f>
        <v>59.1542205067964</v>
      </c>
      <c r="Z209" s="7" t="s">
        <v>54</v>
      </c>
      <c r="AA209" s="7" t="s">
        <v>67</v>
      </c>
      <c r="AB209" s="7" t="s">
        <v>1264</v>
      </c>
      <c r="AC209" s="7" t="n">
        <v>41233</v>
      </c>
      <c r="AD209" s="8" t="n">
        <f aca="false">(AC209/P209)*100</f>
        <v>23.8601709381926</v>
      </c>
      <c r="AE209" s="7" t="s">
        <v>57</v>
      </c>
      <c r="AF209" s="7" t="s">
        <v>57</v>
      </c>
      <c r="AG209" s="7" t="s">
        <v>1265</v>
      </c>
      <c r="AH209" s="7" t="n">
        <v>13787</v>
      </c>
      <c r="AI209" s="8" t="n">
        <f aca="false">(AH209/P209)*100</f>
        <v>7.97808009906777</v>
      </c>
      <c r="AJ209" s="7" t="s">
        <v>59</v>
      </c>
      <c r="AK209" s="7" t="s">
        <v>73</v>
      </c>
      <c r="AL209" s="7" t="s">
        <v>1266</v>
      </c>
      <c r="AM209" s="7" t="n">
        <v>6441</v>
      </c>
      <c r="AN209" s="8" t="n">
        <f aca="false">(AM209/P209)*100</f>
        <v>3.72719329209367</v>
      </c>
      <c r="AO209" s="7" t="s">
        <v>196</v>
      </c>
      <c r="AP209" s="7" t="s">
        <v>196</v>
      </c>
      <c r="AQ209" s="7" t="s">
        <v>1267</v>
      </c>
      <c r="AR209" s="7" t="n">
        <v>2492</v>
      </c>
      <c r="AS209" s="8" t="n">
        <f aca="false">(AR209/P209)*100</f>
        <v>1.44203783323978</v>
      </c>
    </row>
    <row r="210" customFormat="false" ht="12.8" hidden="false" customHeight="true" outlineLevel="0" collapsed="false">
      <c r="A210" s="6" t="n">
        <v>209</v>
      </c>
      <c r="B210" s="7" t="s">
        <v>1268</v>
      </c>
      <c r="C210" s="7" t="s">
        <v>1269</v>
      </c>
      <c r="D210" s="7" t="s">
        <v>191</v>
      </c>
      <c r="E210" s="7" t="s">
        <v>1084</v>
      </c>
      <c r="F210" s="7" t="s">
        <v>76</v>
      </c>
      <c r="G210" s="7" t="s">
        <v>64</v>
      </c>
      <c r="H210" s="7" t="s">
        <v>50</v>
      </c>
      <c r="I210" s="7" t="s">
        <v>50</v>
      </c>
      <c r="J210" s="7" t="s">
        <v>50</v>
      </c>
      <c r="K210" s="7" t="s">
        <v>50</v>
      </c>
      <c r="L210" s="7" t="s">
        <v>50</v>
      </c>
      <c r="M210" s="7" t="s">
        <v>67</v>
      </c>
      <c r="N210" s="7" t="s">
        <v>50</v>
      </c>
      <c r="O210" s="7" t="n">
        <v>256158</v>
      </c>
      <c r="P210" s="7" t="n">
        <v>182158</v>
      </c>
      <c r="Q210" s="8" t="n">
        <f aca="false">(P210/O210)*100</f>
        <v>71.1115795719829</v>
      </c>
      <c r="R210" s="7" t="n">
        <f aca="false">X210-AC210</f>
        <v>13285</v>
      </c>
      <c r="S210" s="8" t="n">
        <f aca="false">(R210/P210)*100</f>
        <v>7.29311916028942</v>
      </c>
      <c r="T210" s="8" t="n">
        <f aca="false">Y210+AD210</f>
        <v>85.8831344217657</v>
      </c>
      <c r="U210" s="7" t="s">
        <v>51</v>
      </c>
      <c r="V210" s="7" t="s">
        <v>52</v>
      </c>
      <c r="W210" s="7" t="s">
        <v>1270</v>
      </c>
      <c r="X210" s="7" t="n">
        <v>84864</v>
      </c>
      <c r="Y210" s="8" t="n">
        <f aca="false">(X210/P210)*100</f>
        <v>46.5881267910276</v>
      </c>
      <c r="Z210" s="7" t="s">
        <v>54</v>
      </c>
      <c r="AA210" s="7" t="s">
        <v>67</v>
      </c>
      <c r="AB210" s="7" t="s">
        <v>1271</v>
      </c>
      <c r="AC210" s="7" t="n">
        <v>71579</v>
      </c>
      <c r="AD210" s="8" t="n">
        <f aca="false">(AC210/P210)*100</f>
        <v>39.2950076307382</v>
      </c>
      <c r="AE210" s="7" t="s">
        <v>57</v>
      </c>
      <c r="AF210" s="7" t="s">
        <v>57</v>
      </c>
      <c r="AG210" s="7" t="s">
        <v>1272</v>
      </c>
      <c r="AH210" s="7" t="n">
        <v>16430</v>
      </c>
      <c r="AI210" s="8" t="n">
        <f aca="false">(AH210/P210)*100</f>
        <v>9.01964228856268</v>
      </c>
      <c r="AJ210" s="7" t="s">
        <v>70</v>
      </c>
      <c r="AK210" s="7" t="s">
        <v>71</v>
      </c>
      <c r="AL210" s="7" t="s">
        <v>1273</v>
      </c>
      <c r="AM210" s="7" t="n">
        <v>3488</v>
      </c>
      <c r="AN210" s="8" t="n">
        <f aca="false">(AM210/P210)*100</f>
        <v>1.91482119917874</v>
      </c>
      <c r="AO210" s="7" t="s">
        <v>59</v>
      </c>
      <c r="AP210" s="7" t="s">
        <v>60</v>
      </c>
      <c r="AQ210" s="7" t="s">
        <v>1274</v>
      </c>
      <c r="AR210" s="7" t="n">
        <v>2009</v>
      </c>
      <c r="AS210" s="8" t="n">
        <f aca="false">(AR210/P210)*100</f>
        <v>1.1028887010178</v>
      </c>
    </row>
    <row r="211" customFormat="false" ht="12.8" hidden="false" customHeight="true" outlineLevel="0" collapsed="false">
      <c r="A211" s="6" t="n">
        <v>210</v>
      </c>
      <c r="B211" s="7" t="s">
        <v>1275</v>
      </c>
      <c r="C211" s="7" t="s">
        <v>1269</v>
      </c>
      <c r="D211" s="7" t="s">
        <v>191</v>
      </c>
      <c r="E211" s="7" t="s">
        <v>1084</v>
      </c>
      <c r="F211" s="7" t="s">
        <v>49</v>
      </c>
      <c r="G211" s="7" t="s">
        <v>50</v>
      </c>
      <c r="H211" s="7" t="s">
        <v>50</v>
      </c>
      <c r="I211" s="7" t="s">
        <v>50</v>
      </c>
      <c r="J211" s="7" t="s">
        <v>50</v>
      </c>
      <c r="K211" s="7" t="s">
        <v>65</v>
      </c>
      <c r="L211" s="7" t="s">
        <v>50</v>
      </c>
      <c r="M211" s="7" t="s">
        <v>65</v>
      </c>
      <c r="N211" s="7" t="s">
        <v>50</v>
      </c>
      <c r="O211" s="7" t="n">
        <v>291236</v>
      </c>
      <c r="P211" s="7" t="n">
        <v>201815</v>
      </c>
      <c r="Q211" s="8" t="n">
        <f aca="false">(P211/O211)*100</f>
        <v>69.2960348308588</v>
      </c>
      <c r="R211" s="7" t="n">
        <f aca="false">X211-AC211</f>
        <v>13852</v>
      </c>
      <c r="S211" s="8" t="n">
        <f aca="false">(R211/P211)*100</f>
        <v>6.86371181527637</v>
      </c>
      <c r="T211" s="8" t="n">
        <f aca="false">Y211+AD211</f>
        <v>71.7865371751357</v>
      </c>
      <c r="U211" s="7" t="s">
        <v>51</v>
      </c>
      <c r="V211" s="7" t="s">
        <v>65</v>
      </c>
      <c r="W211" s="7" t="s">
        <v>1276</v>
      </c>
      <c r="X211" s="7" t="n">
        <v>79364</v>
      </c>
      <c r="Y211" s="8" t="n">
        <f aca="false">(X211/P211)*100</f>
        <v>39.325124495206</v>
      </c>
      <c r="Z211" s="7" t="s">
        <v>54</v>
      </c>
      <c r="AA211" s="7" t="s">
        <v>67</v>
      </c>
      <c r="AB211" s="7" t="s">
        <v>1277</v>
      </c>
      <c r="AC211" s="7" t="n">
        <v>65512</v>
      </c>
      <c r="AD211" s="8" t="n">
        <f aca="false">(AC211/P211)*100</f>
        <v>32.4614126799296</v>
      </c>
      <c r="AE211" s="7" t="s">
        <v>59</v>
      </c>
      <c r="AF211" s="7" t="s">
        <v>73</v>
      </c>
      <c r="AG211" s="7" t="s">
        <v>1278</v>
      </c>
      <c r="AH211" s="7" t="n">
        <v>33426</v>
      </c>
      <c r="AI211" s="8" t="n">
        <f aca="false">(AH211/P211)*100</f>
        <v>16.5626935559795</v>
      </c>
      <c r="AJ211" s="7" t="s">
        <v>57</v>
      </c>
      <c r="AK211" s="7" t="s">
        <v>57</v>
      </c>
      <c r="AL211" s="7" t="s">
        <v>1279</v>
      </c>
      <c r="AM211" s="7" t="n">
        <v>16501</v>
      </c>
      <c r="AN211" s="8" t="n">
        <f aca="false">(AM211/P211)*100</f>
        <v>8.17630007680301</v>
      </c>
      <c r="AO211" s="7" t="s">
        <v>70</v>
      </c>
      <c r="AP211" s="7" t="s">
        <v>71</v>
      </c>
      <c r="AQ211" s="7" t="s">
        <v>1280</v>
      </c>
      <c r="AR211" s="7" t="n">
        <v>2208</v>
      </c>
      <c r="AS211" s="8" t="n">
        <f aca="false">(AR211/P211)*100</f>
        <v>1.09407130292595</v>
      </c>
    </row>
    <row r="212" customFormat="false" ht="12.8" hidden="false" customHeight="true" outlineLevel="0" collapsed="false">
      <c r="A212" s="6" t="n">
        <v>211</v>
      </c>
      <c r="B212" s="7" t="s">
        <v>1269</v>
      </c>
      <c r="C212" s="7" t="s">
        <v>1269</v>
      </c>
      <c r="D212" s="7" t="s">
        <v>191</v>
      </c>
      <c r="E212" s="7" t="s">
        <v>1084</v>
      </c>
      <c r="F212" s="7" t="s">
        <v>76</v>
      </c>
      <c r="G212" s="7" t="s">
        <v>50</v>
      </c>
      <c r="H212" s="7" t="s">
        <v>50</v>
      </c>
      <c r="I212" s="7" t="s">
        <v>50</v>
      </c>
      <c r="J212" s="7" t="s">
        <v>50</v>
      </c>
      <c r="K212" s="7" t="s">
        <v>67</v>
      </c>
      <c r="L212" s="7" t="s">
        <v>50</v>
      </c>
      <c r="M212" s="7" t="s">
        <v>50</v>
      </c>
      <c r="N212" s="7" t="s">
        <v>50</v>
      </c>
      <c r="O212" s="7" t="n">
        <v>308443</v>
      </c>
      <c r="P212" s="7" t="n">
        <v>214098</v>
      </c>
      <c r="Q212" s="8" t="n">
        <f aca="false">(P212/O212)*100</f>
        <v>69.4125008510487</v>
      </c>
      <c r="R212" s="7" t="n">
        <f aca="false">X212-AC212</f>
        <v>50312</v>
      </c>
      <c r="S212" s="8" t="n">
        <f aca="false">(R212/P212)*100</f>
        <v>23.4995189119002</v>
      </c>
      <c r="T212" s="8" t="n">
        <f aca="false">Y212+AD212</f>
        <v>80.2613756317201</v>
      </c>
      <c r="U212" s="7" t="s">
        <v>51</v>
      </c>
      <c r="V212" s="7" t="s">
        <v>52</v>
      </c>
      <c r="W212" s="7" t="s">
        <v>1281</v>
      </c>
      <c r="X212" s="7" t="n">
        <v>111075</v>
      </c>
      <c r="Y212" s="8" t="n">
        <f aca="false">(X212/P212)*100</f>
        <v>51.8804472718101</v>
      </c>
      <c r="Z212" s="7" t="s">
        <v>54</v>
      </c>
      <c r="AA212" s="7" t="s">
        <v>170</v>
      </c>
      <c r="AB212" s="7" t="s">
        <v>1282</v>
      </c>
      <c r="AC212" s="7" t="n">
        <v>60763</v>
      </c>
      <c r="AD212" s="8" t="n">
        <f aca="false">(AC212/P212)*100</f>
        <v>28.3809283599099</v>
      </c>
      <c r="AE212" s="7" t="s">
        <v>57</v>
      </c>
      <c r="AF212" s="7" t="s">
        <v>57</v>
      </c>
      <c r="AG212" s="7" t="s">
        <v>1283</v>
      </c>
      <c r="AH212" s="7" t="n">
        <v>17062</v>
      </c>
      <c r="AI212" s="8" t="n">
        <f aca="false">(AH212/P212)*100</f>
        <v>7.96924772767611</v>
      </c>
      <c r="AJ212" s="7" t="s">
        <v>196</v>
      </c>
      <c r="AK212" s="7" t="s">
        <v>196</v>
      </c>
      <c r="AL212" s="7" t="s">
        <v>1284</v>
      </c>
      <c r="AM212" s="7" t="n">
        <v>10845</v>
      </c>
      <c r="AN212" s="8" t="n">
        <f aca="false">(AM212/P212)*100</f>
        <v>5.06543732309503</v>
      </c>
      <c r="AO212" s="7" t="s">
        <v>59</v>
      </c>
      <c r="AP212" s="7" t="s">
        <v>73</v>
      </c>
      <c r="AQ212" s="7" t="s">
        <v>1285</v>
      </c>
      <c r="AR212" s="7" t="n">
        <v>6776</v>
      </c>
      <c r="AS212" s="8" t="n">
        <f aca="false">(AR212/P212)*100</f>
        <v>3.16490579080608</v>
      </c>
    </row>
    <row r="213" customFormat="false" ht="12.8" hidden="false" customHeight="true" outlineLevel="0" collapsed="false">
      <c r="A213" s="6" t="n">
        <v>212</v>
      </c>
      <c r="B213" s="7" t="s">
        <v>1286</v>
      </c>
      <c r="C213" s="7" t="s">
        <v>1269</v>
      </c>
      <c r="D213" s="7" t="s">
        <v>191</v>
      </c>
      <c r="E213" s="7" t="s">
        <v>1084</v>
      </c>
      <c r="F213" s="7" t="s">
        <v>49</v>
      </c>
      <c r="G213" s="7" t="s">
        <v>50</v>
      </c>
      <c r="H213" s="7" t="s">
        <v>525</v>
      </c>
      <c r="I213" s="7" t="s">
        <v>50</v>
      </c>
      <c r="J213" s="7" t="s">
        <v>50</v>
      </c>
      <c r="K213" s="7" t="s">
        <v>50</v>
      </c>
      <c r="L213" s="7" t="s">
        <v>50</v>
      </c>
      <c r="M213" s="7" t="s">
        <v>50</v>
      </c>
      <c r="N213" s="7" t="s">
        <v>50</v>
      </c>
      <c r="O213" s="7" t="n">
        <v>310954</v>
      </c>
      <c r="P213" s="7" t="n">
        <v>221196</v>
      </c>
      <c r="Q213" s="8" t="n">
        <f aca="false">(P213/O213)*100</f>
        <v>71.1346372775395</v>
      </c>
      <c r="R213" s="7" t="n">
        <f aca="false">X213-AC213</f>
        <v>20721</v>
      </c>
      <c r="S213" s="8" t="n">
        <f aca="false">(R213/P213)*100</f>
        <v>9.36771008517333</v>
      </c>
      <c r="T213" s="8" t="n">
        <f aca="false">Y213+AD213</f>
        <v>82.7686757445885</v>
      </c>
      <c r="U213" s="7" t="s">
        <v>51</v>
      </c>
      <c r="V213" s="7" t="s">
        <v>52</v>
      </c>
      <c r="W213" s="7" t="s">
        <v>1287</v>
      </c>
      <c r="X213" s="7" t="n">
        <v>101901</v>
      </c>
      <c r="Y213" s="8" t="n">
        <f aca="false">(X213/P213)*100</f>
        <v>46.0681929148809</v>
      </c>
      <c r="Z213" s="7" t="s">
        <v>54</v>
      </c>
      <c r="AA213" s="7" t="s">
        <v>67</v>
      </c>
      <c r="AB213" s="7" t="s">
        <v>1288</v>
      </c>
      <c r="AC213" s="7" t="n">
        <v>81180</v>
      </c>
      <c r="AD213" s="8" t="n">
        <f aca="false">(AC213/P213)*100</f>
        <v>36.7004828297076</v>
      </c>
      <c r="AE213" s="7" t="s">
        <v>59</v>
      </c>
      <c r="AF213" s="7" t="s">
        <v>73</v>
      </c>
      <c r="AG213" s="7" t="s">
        <v>1210</v>
      </c>
      <c r="AH213" s="7" t="n">
        <v>19699</v>
      </c>
      <c r="AI213" s="8" t="n">
        <f aca="false">(AH213/P213)*100</f>
        <v>8.90567641367837</v>
      </c>
      <c r="AJ213" s="7" t="s">
        <v>57</v>
      </c>
      <c r="AK213" s="7" t="s">
        <v>57</v>
      </c>
      <c r="AL213" s="7" t="s">
        <v>1289</v>
      </c>
      <c r="AM213" s="7" t="n">
        <v>11234</v>
      </c>
      <c r="AN213" s="8" t="n">
        <f aca="false">(AM213/P213)*100</f>
        <v>5.07875368451509</v>
      </c>
      <c r="AO213" s="7" t="s">
        <v>70</v>
      </c>
      <c r="AP213" s="7" t="s">
        <v>71</v>
      </c>
      <c r="AQ213" s="7" t="s">
        <v>1290</v>
      </c>
      <c r="AR213" s="7" t="n">
        <v>943</v>
      </c>
      <c r="AS213" s="8" t="n">
        <f aca="false">(AR213/P213)*100</f>
        <v>0.426318739941048</v>
      </c>
    </row>
    <row r="214" customFormat="false" ht="12.8" hidden="false" customHeight="true" outlineLevel="0" collapsed="false">
      <c r="A214" s="6" t="n">
        <v>213</v>
      </c>
      <c r="B214" s="7" t="s">
        <v>1291</v>
      </c>
      <c r="C214" s="7" t="s">
        <v>1292</v>
      </c>
      <c r="D214" s="7" t="s">
        <v>191</v>
      </c>
      <c r="E214" s="7" t="s">
        <v>1143</v>
      </c>
      <c r="F214" s="7" t="s">
        <v>49</v>
      </c>
      <c r="G214" s="7" t="s">
        <v>50</v>
      </c>
      <c r="H214" s="7" t="s">
        <v>50</v>
      </c>
      <c r="I214" s="7" t="s">
        <v>50</v>
      </c>
      <c r="J214" s="7" t="s">
        <v>50</v>
      </c>
      <c r="K214" s="7" t="s">
        <v>50</v>
      </c>
      <c r="L214" s="7" t="s">
        <v>50</v>
      </c>
      <c r="M214" s="7" t="s">
        <v>67</v>
      </c>
      <c r="N214" s="7" t="s">
        <v>50</v>
      </c>
      <c r="O214" s="7" t="n">
        <v>216923</v>
      </c>
      <c r="P214" s="7" t="n">
        <v>167169</v>
      </c>
      <c r="Q214" s="8" t="n">
        <f aca="false">(P214/O214)*100</f>
        <v>77.0637507318265</v>
      </c>
      <c r="R214" s="7" t="n">
        <f aca="false">X214-AC214</f>
        <v>38549</v>
      </c>
      <c r="S214" s="8" t="n">
        <f aca="false">(R214/P214)*100</f>
        <v>23.0598974690284</v>
      </c>
      <c r="T214" s="8" t="n">
        <f aca="false">Y214+AD214</f>
        <v>85.0319138117713</v>
      </c>
      <c r="U214" s="7" t="s">
        <v>51</v>
      </c>
      <c r="V214" s="7" t="s">
        <v>52</v>
      </c>
      <c r="W214" s="7" t="s">
        <v>1293</v>
      </c>
      <c r="X214" s="7" t="n">
        <v>90348</v>
      </c>
      <c r="Y214" s="8" t="n">
        <f aca="false">(X214/P214)*100</f>
        <v>54.0459056403998</v>
      </c>
      <c r="Z214" s="7" t="s">
        <v>54</v>
      </c>
      <c r="AA214" s="7" t="s">
        <v>67</v>
      </c>
      <c r="AB214" s="7" t="s">
        <v>1294</v>
      </c>
      <c r="AC214" s="7" t="n">
        <v>51799</v>
      </c>
      <c r="AD214" s="8" t="n">
        <f aca="false">(AC214/P214)*100</f>
        <v>30.9860081713715</v>
      </c>
      <c r="AE214" s="7" t="s">
        <v>57</v>
      </c>
      <c r="AF214" s="7" t="s">
        <v>57</v>
      </c>
      <c r="AG214" s="7" t="s">
        <v>1295</v>
      </c>
      <c r="AH214" s="7" t="n">
        <v>11828</v>
      </c>
      <c r="AI214" s="8" t="n">
        <f aca="false">(AH214/P214)*100</f>
        <v>7.07547451979733</v>
      </c>
      <c r="AJ214" s="7" t="s">
        <v>59</v>
      </c>
      <c r="AK214" s="7" t="s">
        <v>73</v>
      </c>
      <c r="AL214" s="7" t="s">
        <v>1296</v>
      </c>
      <c r="AM214" s="7" t="n">
        <v>6657</v>
      </c>
      <c r="AN214" s="8" t="n">
        <f aca="false">(AM214/P214)*100</f>
        <v>3.98219765626402</v>
      </c>
      <c r="AO214" s="7" t="s">
        <v>70</v>
      </c>
      <c r="AP214" s="7" t="s">
        <v>71</v>
      </c>
      <c r="AQ214" s="7" t="s">
        <v>1297</v>
      </c>
      <c r="AR214" s="7" t="n">
        <v>1520</v>
      </c>
      <c r="AS214" s="8" t="n">
        <f aca="false">(AR214/P214)*100</f>
        <v>0.909259491891439</v>
      </c>
    </row>
    <row r="215" customFormat="false" ht="12.8" hidden="false" customHeight="true" outlineLevel="0" collapsed="false">
      <c r="A215" s="6" t="n">
        <v>214</v>
      </c>
      <c r="B215" s="7" t="s">
        <v>1298</v>
      </c>
      <c r="C215" s="7" t="s">
        <v>1292</v>
      </c>
      <c r="D215" s="7" t="s">
        <v>191</v>
      </c>
      <c r="E215" s="7" t="s">
        <v>1143</v>
      </c>
      <c r="F215" s="7" t="s">
        <v>87</v>
      </c>
      <c r="G215" s="7" t="s">
        <v>50</v>
      </c>
      <c r="H215" s="7" t="s">
        <v>50</v>
      </c>
      <c r="I215" s="7" t="s">
        <v>50</v>
      </c>
      <c r="J215" s="7" t="s">
        <v>50</v>
      </c>
      <c r="K215" s="7" t="s">
        <v>50</v>
      </c>
      <c r="L215" s="7" t="s">
        <v>50</v>
      </c>
      <c r="M215" s="7" t="s">
        <v>50</v>
      </c>
      <c r="N215" s="7" t="s">
        <v>50</v>
      </c>
      <c r="O215" s="7" t="n">
        <v>285497</v>
      </c>
      <c r="P215" s="7" t="n">
        <v>188407</v>
      </c>
      <c r="Q215" s="8" t="n">
        <f aca="false">(P215/O215)*100</f>
        <v>65.9926374007433</v>
      </c>
      <c r="R215" s="7" t="n">
        <f aca="false">X215-AC215</f>
        <v>50310</v>
      </c>
      <c r="S215" s="8" t="n">
        <f aca="false">(R215/P215)*100</f>
        <v>26.7028295127039</v>
      </c>
      <c r="T215" s="8" t="n">
        <f aca="false">Y215+AD215</f>
        <v>71.2914063702516</v>
      </c>
      <c r="U215" s="7" t="s">
        <v>51</v>
      </c>
      <c r="V215" s="7" t="s">
        <v>52</v>
      </c>
      <c r="W215" s="7" t="s">
        <v>1299</v>
      </c>
      <c r="X215" s="7" t="n">
        <v>92314</v>
      </c>
      <c r="Y215" s="8" t="n">
        <f aca="false">(X215/P215)*100</f>
        <v>48.9971179414778</v>
      </c>
      <c r="Z215" s="7" t="s">
        <v>54</v>
      </c>
      <c r="AA215" s="7" t="s">
        <v>67</v>
      </c>
      <c r="AB215" s="7" t="s">
        <v>1300</v>
      </c>
      <c r="AC215" s="7" t="n">
        <v>42004</v>
      </c>
      <c r="AD215" s="8" t="n">
        <f aca="false">(AC215/P215)*100</f>
        <v>22.2942884287739</v>
      </c>
      <c r="AE215" s="7" t="s">
        <v>57</v>
      </c>
      <c r="AF215" s="7" t="s">
        <v>57</v>
      </c>
      <c r="AG215" s="7" t="s">
        <v>1301</v>
      </c>
      <c r="AH215" s="7" t="n">
        <v>30937</v>
      </c>
      <c r="AI215" s="8" t="n">
        <f aca="false">(AH215/P215)*100</f>
        <v>16.4203028549895</v>
      </c>
      <c r="AJ215" s="7" t="s">
        <v>70</v>
      </c>
      <c r="AK215" s="7" t="s">
        <v>71</v>
      </c>
      <c r="AL215" s="7" t="s">
        <v>1302</v>
      </c>
      <c r="AM215" s="7" t="n">
        <v>10534</v>
      </c>
      <c r="AN215" s="8" t="n">
        <f aca="false">(AM215/P215)*100</f>
        <v>5.59108737998057</v>
      </c>
      <c r="AO215" s="7" t="s">
        <v>59</v>
      </c>
      <c r="AP215" s="7" t="s">
        <v>60</v>
      </c>
      <c r="AQ215" s="7" t="s">
        <v>1303</v>
      </c>
      <c r="AR215" s="7" t="n">
        <v>4040</v>
      </c>
      <c r="AS215" s="8" t="n">
        <f aca="false">(AR215/P215)*100</f>
        <v>2.14429400181522</v>
      </c>
    </row>
    <row r="216" customFormat="false" ht="12.8" hidden="false" customHeight="true" outlineLevel="0" collapsed="false">
      <c r="A216" s="6" t="n">
        <v>215</v>
      </c>
      <c r="B216" s="7" t="s">
        <v>1304</v>
      </c>
      <c r="C216" s="7" t="s">
        <v>1292</v>
      </c>
      <c r="D216" s="7" t="s">
        <v>191</v>
      </c>
      <c r="E216" s="7" t="s">
        <v>1143</v>
      </c>
      <c r="F216" s="7" t="s">
        <v>49</v>
      </c>
      <c r="G216" s="7" t="s">
        <v>50</v>
      </c>
      <c r="H216" s="7" t="s">
        <v>50</v>
      </c>
      <c r="I216" s="7" t="s">
        <v>50</v>
      </c>
      <c r="J216" s="7" t="s">
        <v>52</v>
      </c>
      <c r="K216" s="7" t="s">
        <v>50</v>
      </c>
      <c r="L216" s="7" t="s">
        <v>52</v>
      </c>
      <c r="M216" s="7" t="s">
        <v>50</v>
      </c>
      <c r="N216" s="7" t="s">
        <v>50</v>
      </c>
      <c r="O216" s="7" t="n">
        <v>245144</v>
      </c>
      <c r="P216" s="7" t="n">
        <v>174536</v>
      </c>
      <c r="Q216" s="8" t="n">
        <f aca="false">(P216/O216)*100</f>
        <v>71.1973370753516</v>
      </c>
      <c r="R216" s="7" t="n">
        <f aca="false">X216-AC216</f>
        <v>25263</v>
      </c>
      <c r="S216" s="8" t="n">
        <f aca="false">(R216/P216)*100</f>
        <v>14.4743777787964</v>
      </c>
      <c r="T216" s="8" t="n">
        <f aca="false">Y216+AD216</f>
        <v>86.6783929962873</v>
      </c>
      <c r="U216" s="7" t="s">
        <v>51</v>
      </c>
      <c r="V216" s="7" t="s">
        <v>52</v>
      </c>
      <c r="W216" s="7" t="s">
        <v>1305</v>
      </c>
      <c r="X216" s="7" t="n">
        <v>88274</v>
      </c>
      <c r="Y216" s="8" t="n">
        <f aca="false">(X216/P216)*100</f>
        <v>50.5763853875418</v>
      </c>
      <c r="Z216" s="7" t="s">
        <v>54</v>
      </c>
      <c r="AA216" s="7" t="s">
        <v>67</v>
      </c>
      <c r="AB216" s="7" t="s">
        <v>1306</v>
      </c>
      <c r="AC216" s="7" t="n">
        <v>63011</v>
      </c>
      <c r="AD216" s="8" t="n">
        <f aca="false">(AC216/P216)*100</f>
        <v>36.1020076087455</v>
      </c>
      <c r="AE216" s="7" t="s">
        <v>57</v>
      </c>
      <c r="AF216" s="7" t="s">
        <v>57</v>
      </c>
      <c r="AG216" s="7" t="s">
        <v>1307</v>
      </c>
      <c r="AH216" s="7" t="n">
        <v>15063</v>
      </c>
      <c r="AI216" s="8" t="n">
        <f aca="false">(AH216/P216)*100</f>
        <v>8.63031122519137</v>
      </c>
      <c r="AJ216" s="7" t="s">
        <v>59</v>
      </c>
      <c r="AK216" s="7" t="s">
        <v>73</v>
      </c>
      <c r="AL216" s="7" t="s">
        <v>1308</v>
      </c>
      <c r="AM216" s="7" t="n">
        <v>3766</v>
      </c>
      <c r="AN216" s="8" t="n">
        <f aca="false">(AM216/P216)*100</f>
        <v>2.15772104322318</v>
      </c>
      <c r="AO216" s="7" t="s">
        <v>70</v>
      </c>
      <c r="AP216" s="7" t="s">
        <v>71</v>
      </c>
      <c r="AQ216" s="7" t="s">
        <v>1309</v>
      </c>
      <c r="AR216" s="7" t="n">
        <v>1965</v>
      </c>
      <c r="AS216" s="8" t="n">
        <f aca="false">(AR216/P216)*100</f>
        <v>1.12584223312096</v>
      </c>
    </row>
    <row r="217" customFormat="false" ht="12.8" hidden="false" customHeight="true" outlineLevel="0" collapsed="false">
      <c r="A217" s="6" t="n">
        <v>216</v>
      </c>
      <c r="B217" s="7" t="s">
        <v>1310</v>
      </c>
      <c r="C217" s="7" t="s">
        <v>1292</v>
      </c>
      <c r="D217" s="7" t="s">
        <v>191</v>
      </c>
      <c r="E217" s="7" t="s">
        <v>1143</v>
      </c>
      <c r="F217" s="7" t="s">
        <v>49</v>
      </c>
      <c r="G217" s="7" t="s">
        <v>50</v>
      </c>
      <c r="H217" s="7" t="s">
        <v>50</v>
      </c>
      <c r="I217" s="7" t="s">
        <v>50</v>
      </c>
      <c r="J217" s="7" t="s">
        <v>50</v>
      </c>
      <c r="K217" s="7" t="s">
        <v>65</v>
      </c>
      <c r="L217" s="7" t="s">
        <v>50</v>
      </c>
      <c r="M217" s="7" t="s">
        <v>65</v>
      </c>
      <c r="N217" s="7" t="s">
        <v>50</v>
      </c>
      <c r="O217" s="7" t="n">
        <v>224689</v>
      </c>
      <c r="P217" s="7" t="n">
        <v>164386</v>
      </c>
      <c r="Q217" s="8" t="n">
        <f aca="false">(P217/O217)*100</f>
        <v>73.1615699923005</v>
      </c>
      <c r="R217" s="7" t="n">
        <f aca="false">X217-AC217</f>
        <v>17372</v>
      </c>
      <c r="S217" s="8" t="n">
        <f aca="false">(R217/P217)*100</f>
        <v>10.5678099108197</v>
      </c>
      <c r="T217" s="8" t="n">
        <f aca="false">Y217+AD217</f>
        <v>82.9231199737204</v>
      </c>
      <c r="U217" s="7" t="s">
        <v>51</v>
      </c>
      <c r="V217" s="7" t="s">
        <v>65</v>
      </c>
      <c r="W217" s="7" t="s">
        <v>1311</v>
      </c>
      <c r="X217" s="7" t="n">
        <v>76843</v>
      </c>
      <c r="Y217" s="8" t="n">
        <f aca="false">(X217/P217)*100</f>
        <v>46.74546494227</v>
      </c>
      <c r="Z217" s="7" t="s">
        <v>54</v>
      </c>
      <c r="AA217" s="7" t="s">
        <v>67</v>
      </c>
      <c r="AB217" s="7" t="s">
        <v>1312</v>
      </c>
      <c r="AC217" s="7" t="n">
        <v>59471</v>
      </c>
      <c r="AD217" s="8" t="n">
        <f aca="false">(AC217/P217)*100</f>
        <v>36.1776550314504</v>
      </c>
      <c r="AE217" s="7" t="s">
        <v>57</v>
      </c>
      <c r="AF217" s="7" t="s">
        <v>57</v>
      </c>
      <c r="AG217" s="7" t="s">
        <v>1313</v>
      </c>
      <c r="AH217" s="7" t="n">
        <v>12706</v>
      </c>
      <c r="AI217" s="8" t="n">
        <f aca="false">(AH217/P217)*100</f>
        <v>7.72936868103123</v>
      </c>
      <c r="AJ217" s="7" t="s">
        <v>59</v>
      </c>
      <c r="AK217" s="7" t="s">
        <v>73</v>
      </c>
      <c r="AL217" s="7" t="s">
        <v>1314</v>
      </c>
      <c r="AM217" s="7" t="n">
        <v>10203</v>
      </c>
      <c r="AN217" s="8" t="n">
        <f aca="false">(AM217/P217)*100</f>
        <v>6.20673293346149</v>
      </c>
      <c r="AO217" s="7" t="s">
        <v>70</v>
      </c>
      <c r="AP217" s="7" t="s">
        <v>71</v>
      </c>
      <c r="AQ217" s="7" t="s">
        <v>1315</v>
      </c>
      <c r="AR217" s="7" t="n">
        <v>1355</v>
      </c>
      <c r="AS217" s="8" t="n">
        <f aca="false">(AR217/P217)*100</f>
        <v>0.824279439854976</v>
      </c>
    </row>
    <row r="218" customFormat="false" ht="12.8" hidden="false" customHeight="true" outlineLevel="0" collapsed="false">
      <c r="A218" s="6" t="n">
        <v>217</v>
      </c>
      <c r="B218" s="7" t="s">
        <v>1316</v>
      </c>
      <c r="C218" s="7" t="s">
        <v>1292</v>
      </c>
      <c r="D218" s="7" t="s">
        <v>191</v>
      </c>
      <c r="E218" s="7" t="s">
        <v>1143</v>
      </c>
      <c r="F218" s="7" t="s">
        <v>49</v>
      </c>
      <c r="G218" s="7" t="s">
        <v>64</v>
      </c>
      <c r="H218" s="7" t="s">
        <v>50</v>
      </c>
      <c r="I218" s="7" t="s">
        <v>50</v>
      </c>
      <c r="J218" s="7" t="s">
        <v>50</v>
      </c>
      <c r="K218" s="7" t="s">
        <v>50</v>
      </c>
      <c r="L218" s="7" t="s">
        <v>50</v>
      </c>
      <c r="M218" s="7" t="s">
        <v>50</v>
      </c>
      <c r="N218" s="7" t="s">
        <v>50</v>
      </c>
      <c r="O218" s="7" t="n">
        <v>251597</v>
      </c>
      <c r="P218" s="7" t="n">
        <v>177840</v>
      </c>
      <c r="Q218" s="8" t="n">
        <f aca="false">(P218/O218)*100</f>
        <v>70.6844676208381</v>
      </c>
      <c r="R218" s="7" t="n">
        <f aca="false">X218-AC218</f>
        <v>8510</v>
      </c>
      <c r="S218" s="8" t="n">
        <f aca="false">(R218/P218)*100</f>
        <v>4.78520017993702</v>
      </c>
      <c r="T218" s="8" t="n">
        <f aca="false">Y218+AD218</f>
        <v>77.4347728295097</v>
      </c>
      <c r="U218" s="7" t="s">
        <v>51</v>
      </c>
      <c r="V218" s="7" t="s">
        <v>52</v>
      </c>
      <c r="W218" s="7" t="s">
        <v>1317</v>
      </c>
      <c r="X218" s="7" t="n">
        <v>73110</v>
      </c>
      <c r="Y218" s="8" t="n">
        <f aca="false">(X218/P218)*100</f>
        <v>41.1099865047233</v>
      </c>
      <c r="Z218" s="7" t="s">
        <v>54</v>
      </c>
      <c r="AA218" s="7" t="s">
        <v>67</v>
      </c>
      <c r="AB218" s="7" t="s">
        <v>1318</v>
      </c>
      <c r="AC218" s="7" t="n">
        <v>64600</v>
      </c>
      <c r="AD218" s="8" t="n">
        <f aca="false">(AC218/P218)*100</f>
        <v>36.3247863247863</v>
      </c>
      <c r="AE218" s="7" t="s">
        <v>57</v>
      </c>
      <c r="AF218" s="7" t="s">
        <v>57</v>
      </c>
      <c r="AG218" s="7" t="s">
        <v>1319</v>
      </c>
      <c r="AH218" s="7" t="n">
        <v>22413</v>
      </c>
      <c r="AI218" s="8" t="n">
        <f aca="false">(AH218/P218)*100</f>
        <v>12.6029014844804</v>
      </c>
      <c r="AJ218" s="28" t="s">
        <v>1058</v>
      </c>
      <c r="AK218" s="28" t="s">
        <v>1058</v>
      </c>
      <c r="AL218" s="7" t="s">
        <v>1320</v>
      </c>
      <c r="AM218" s="7" t="n">
        <v>6544</v>
      </c>
      <c r="AN218" s="8" t="n">
        <f aca="false">(AM218/P218)*100</f>
        <v>3.67971210076473</v>
      </c>
      <c r="AO218" s="7" t="s">
        <v>59</v>
      </c>
      <c r="AP218" s="7" t="s">
        <v>60</v>
      </c>
      <c r="AQ218" s="7" t="s">
        <v>1321</v>
      </c>
      <c r="AR218" s="7" t="n">
        <v>5327</v>
      </c>
      <c r="AS218" s="8" t="n">
        <f aca="false">(AR218/P218)*100</f>
        <v>2.99538911381017</v>
      </c>
    </row>
    <row r="219" customFormat="false" ht="12.8" hidden="false" customHeight="true" outlineLevel="0" collapsed="false">
      <c r="A219" s="6" t="n">
        <v>218</v>
      </c>
      <c r="B219" s="7" t="s">
        <v>1322</v>
      </c>
      <c r="C219" s="7" t="s">
        <v>1292</v>
      </c>
      <c r="D219" s="7" t="s">
        <v>191</v>
      </c>
      <c r="E219" s="7" t="s">
        <v>1143</v>
      </c>
      <c r="F219" s="7" t="s">
        <v>49</v>
      </c>
      <c r="G219" s="7" t="s">
        <v>50</v>
      </c>
      <c r="H219" s="7" t="s">
        <v>525</v>
      </c>
      <c r="I219" s="7" t="s">
        <v>73</v>
      </c>
      <c r="J219" s="7" t="s">
        <v>67</v>
      </c>
      <c r="K219" s="7" t="s">
        <v>391</v>
      </c>
      <c r="L219" s="7" t="s">
        <v>67</v>
      </c>
      <c r="M219" s="7" t="s">
        <v>391</v>
      </c>
      <c r="N219" s="7" t="s">
        <v>50</v>
      </c>
      <c r="O219" s="7" t="n">
        <v>266625</v>
      </c>
      <c r="P219" s="7" t="n">
        <v>180928</v>
      </c>
      <c r="Q219" s="8" t="n">
        <f aca="false">(P219/O219)*100</f>
        <v>67.8586029067042</v>
      </c>
      <c r="R219" s="7" t="n">
        <f aca="false">X219-AC219</f>
        <v>12403</v>
      </c>
      <c r="S219" s="8" t="n">
        <f aca="false">(R219/P219)*100</f>
        <v>6.85521312345242</v>
      </c>
      <c r="T219" s="8" t="n">
        <f aca="false">Y219+AI219</f>
        <v>58.5514679872657</v>
      </c>
      <c r="U219" s="7" t="s">
        <v>54</v>
      </c>
      <c r="V219" s="7" t="s">
        <v>67</v>
      </c>
      <c r="W219" s="7" t="s">
        <v>1323</v>
      </c>
      <c r="X219" s="7" t="n">
        <v>68556</v>
      </c>
      <c r="Y219" s="8" t="n">
        <f aca="false">(X219/P219)*100</f>
        <v>37.891315882561</v>
      </c>
      <c r="Z219" s="10" t="s">
        <v>1324</v>
      </c>
      <c r="AA219" s="7" t="s">
        <v>73</v>
      </c>
      <c r="AB219" s="7" t="s">
        <v>1325</v>
      </c>
      <c r="AC219" s="7" t="n">
        <v>56153</v>
      </c>
      <c r="AD219" s="8" t="n">
        <f aca="false">(AC219/P219)*100</f>
        <v>31.0361027591086</v>
      </c>
      <c r="AE219" s="7" t="s">
        <v>51</v>
      </c>
      <c r="AF219" s="7" t="s">
        <v>421</v>
      </c>
      <c r="AG219" s="7" t="s">
        <v>1326</v>
      </c>
      <c r="AH219" s="7" t="n">
        <v>37380</v>
      </c>
      <c r="AI219" s="8" t="n">
        <f aca="false">(AH219/P219)*100</f>
        <v>20.6601521047046</v>
      </c>
      <c r="AJ219" s="7" t="s">
        <v>57</v>
      </c>
      <c r="AK219" s="7" t="s">
        <v>57</v>
      </c>
      <c r="AL219" s="7" t="s">
        <v>1327</v>
      </c>
      <c r="AM219" s="7" t="n">
        <v>9213</v>
      </c>
      <c r="AN219" s="8" t="n">
        <f aca="false">(AM219/P219)*100</f>
        <v>5.09208082773258</v>
      </c>
      <c r="AO219" s="7" t="s">
        <v>70</v>
      </c>
      <c r="AP219" s="7" t="s">
        <v>71</v>
      </c>
      <c r="AQ219" s="7" t="s">
        <v>1328</v>
      </c>
      <c r="AR219" s="7" t="n">
        <v>3667</v>
      </c>
      <c r="AS219" s="8" t="n">
        <f aca="false">(AR219/P219)*100</f>
        <v>2.0267730810046</v>
      </c>
    </row>
    <row r="220" customFormat="false" ht="12.8" hidden="false" customHeight="true" outlineLevel="0" collapsed="false">
      <c r="A220" s="6" t="n">
        <v>219</v>
      </c>
      <c r="B220" s="7" t="s">
        <v>1329</v>
      </c>
      <c r="C220" s="7" t="s">
        <v>1330</v>
      </c>
      <c r="D220" s="7" t="s">
        <v>191</v>
      </c>
      <c r="E220" s="7" t="s">
        <v>1143</v>
      </c>
      <c r="F220" s="7" t="s">
        <v>49</v>
      </c>
      <c r="G220" s="7" t="s">
        <v>64</v>
      </c>
      <c r="H220" s="7" t="s">
        <v>525</v>
      </c>
      <c r="I220" s="7" t="s">
        <v>50</v>
      </c>
      <c r="J220" s="7" t="s">
        <v>50</v>
      </c>
      <c r="K220" s="7" t="s">
        <v>67</v>
      </c>
      <c r="L220" s="7" t="s">
        <v>50</v>
      </c>
      <c r="M220" s="7" t="s">
        <v>67</v>
      </c>
      <c r="N220" s="7" t="s">
        <v>50</v>
      </c>
      <c r="O220" s="7" t="n">
        <v>254243</v>
      </c>
      <c r="P220" s="7" t="n">
        <v>183338</v>
      </c>
      <c r="Q220" s="8" t="n">
        <f aca="false">(P220/O220)*100</f>
        <v>72.1113265655298</v>
      </c>
      <c r="R220" s="7" t="n">
        <f aca="false">X220-AC220</f>
        <v>5297</v>
      </c>
      <c r="S220" s="8" t="n">
        <f aca="false">(R220/P220)*100</f>
        <v>2.88919918402077</v>
      </c>
      <c r="T220" s="8" t="n">
        <f aca="false">Y220+AD220</f>
        <v>74.9419105695491</v>
      </c>
      <c r="U220" s="7" t="s">
        <v>51</v>
      </c>
      <c r="V220" s="7" t="s">
        <v>52</v>
      </c>
      <c r="W220" s="7" t="s">
        <v>1331</v>
      </c>
      <c r="X220" s="7" t="n">
        <v>71347</v>
      </c>
      <c r="Y220" s="8" t="n">
        <f aca="false">(X220/P220)*100</f>
        <v>38.915554876785</v>
      </c>
      <c r="Z220" s="7" t="s">
        <v>54</v>
      </c>
      <c r="AA220" s="7" t="s">
        <v>67</v>
      </c>
      <c r="AB220" s="7" t="s">
        <v>1332</v>
      </c>
      <c r="AC220" s="7" t="n">
        <v>66050</v>
      </c>
      <c r="AD220" s="8" t="n">
        <f aca="false">(AC220/P220)*100</f>
        <v>36.0263556927642</v>
      </c>
      <c r="AE220" s="7" t="s">
        <v>59</v>
      </c>
      <c r="AF220" s="7" t="s">
        <v>73</v>
      </c>
      <c r="AG220" s="7" t="s">
        <v>1333</v>
      </c>
      <c r="AH220" s="7" t="n">
        <v>22682</v>
      </c>
      <c r="AI220" s="8" t="n">
        <f aca="false">(AH220/P220)*100</f>
        <v>12.3716850843797</v>
      </c>
      <c r="AJ220" s="7" t="s">
        <v>57</v>
      </c>
      <c r="AK220" s="7" t="s">
        <v>57</v>
      </c>
      <c r="AL220" s="7" t="s">
        <v>1334</v>
      </c>
      <c r="AM220" s="7" t="n">
        <v>13851</v>
      </c>
      <c r="AN220" s="8" t="n">
        <f aca="false">(AM220/P220)*100</f>
        <v>7.55489860258103</v>
      </c>
      <c r="AO220" s="7" t="s">
        <v>70</v>
      </c>
      <c r="AP220" s="7" t="s">
        <v>71</v>
      </c>
      <c r="AQ220" s="7" t="s">
        <v>1335</v>
      </c>
      <c r="AR220" s="7" t="n">
        <v>2338</v>
      </c>
      <c r="AS220" s="8" t="n">
        <f aca="false">(AR220/P220)*100</f>
        <v>1.2752402666114</v>
      </c>
    </row>
    <row r="221" customFormat="false" ht="12.8" hidden="false" customHeight="true" outlineLevel="0" collapsed="false">
      <c r="A221" s="6" t="n">
        <v>220</v>
      </c>
      <c r="B221" s="7" t="s">
        <v>1336</v>
      </c>
      <c r="C221" s="7" t="s">
        <v>1330</v>
      </c>
      <c r="D221" s="7" t="s">
        <v>191</v>
      </c>
      <c r="E221" s="7" t="s">
        <v>1143</v>
      </c>
      <c r="F221" s="7" t="s">
        <v>49</v>
      </c>
      <c r="G221" s="7" t="s">
        <v>64</v>
      </c>
      <c r="H221" s="7" t="s">
        <v>50</v>
      </c>
      <c r="I221" s="7" t="s">
        <v>50</v>
      </c>
      <c r="J221" s="7" t="s">
        <v>50</v>
      </c>
      <c r="K221" s="29" t="s">
        <v>1337</v>
      </c>
      <c r="L221" s="7" t="s">
        <v>50</v>
      </c>
      <c r="M221" s="7" t="s">
        <v>50</v>
      </c>
      <c r="N221" s="7" t="s">
        <v>50</v>
      </c>
      <c r="O221" s="7" t="n">
        <v>241748</v>
      </c>
      <c r="P221" s="7" t="n">
        <v>175881</v>
      </c>
      <c r="Q221" s="8" t="n">
        <f aca="false">(P221/O221)*100</f>
        <v>72.7538593907706</v>
      </c>
      <c r="R221" s="7" t="n">
        <f aca="false">X221-AC221</f>
        <v>2367</v>
      </c>
      <c r="S221" s="8" t="n">
        <f aca="false">(R221/P221)*100</f>
        <v>1.34579630545653</v>
      </c>
      <c r="T221" s="8" t="n">
        <f aca="false">Y221+AD221</f>
        <v>76.8093199379126</v>
      </c>
      <c r="U221" s="7" t="s">
        <v>51</v>
      </c>
      <c r="V221" s="7" t="s">
        <v>270</v>
      </c>
      <c r="W221" s="7" t="s">
        <v>1338</v>
      </c>
      <c r="X221" s="7" t="n">
        <v>68730</v>
      </c>
      <c r="Y221" s="8" t="n">
        <f aca="false">(X221/P221)*100</f>
        <v>39.0775581216846</v>
      </c>
      <c r="Z221" s="7" t="s">
        <v>54</v>
      </c>
      <c r="AA221" s="7" t="s">
        <v>67</v>
      </c>
      <c r="AB221" s="7" t="s">
        <v>1339</v>
      </c>
      <c r="AC221" s="7" t="n">
        <v>66363</v>
      </c>
      <c r="AD221" s="8" t="n">
        <f aca="false">(AC221/P221)*100</f>
        <v>37.731761816228</v>
      </c>
      <c r="AE221" s="7" t="s">
        <v>57</v>
      </c>
      <c r="AF221" s="7" t="s">
        <v>57</v>
      </c>
      <c r="AG221" s="7" t="s">
        <v>1340</v>
      </c>
      <c r="AH221" s="7" t="n">
        <v>16731</v>
      </c>
      <c r="AI221" s="8" t="n">
        <f aca="false">(AH221/P221)*100</f>
        <v>9.5126818701281</v>
      </c>
      <c r="AJ221" s="7" t="s">
        <v>59</v>
      </c>
      <c r="AK221" s="7" t="s">
        <v>73</v>
      </c>
      <c r="AL221" s="7" t="s">
        <v>1341</v>
      </c>
      <c r="AM221" s="7" t="n">
        <v>13376</v>
      </c>
      <c r="AN221" s="8" t="n">
        <f aca="false">(AM221/P221)*100</f>
        <v>7.60514211313331</v>
      </c>
      <c r="AO221" s="28" t="s">
        <v>1058</v>
      </c>
      <c r="AP221" s="28" t="s">
        <v>1058</v>
      </c>
      <c r="AQ221" s="7" t="s">
        <v>1342</v>
      </c>
      <c r="AR221" s="7" t="n">
        <v>3651</v>
      </c>
      <c r="AS221" s="8" t="n">
        <f aca="false">(AR221/P221)*100</f>
        <v>2.07583536595766</v>
      </c>
    </row>
    <row r="222" customFormat="false" ht="12.8" hidden="false" customHeight="true" outlineLevel="0" collapsed="false">
      <c r="A222" s="6" t="n">
        <v>221</v>
      </c>
      <c r="B222" s="7" t="s">
        <v>1343</v>
      </c>
      <c r="C222" s="7" t="s">
        <v>1330</v>
      </c>
      <c r="D222" s="7" t="s">
        <v>191</v>
      </c>
      <c r="E222" s="7" t="s">
        <v>1143</v>
      </c>
      <c r="F222" s="7" t="s">
        <v>49</v>
      </c>
      <c r="G222" s="7" t="s">
        <v>50</v>
      </c>
      <c r="H222" s="7" t="s">
        <v>50</v>
      </c>
      <c r="I222" s="17" t="s">
        <v>341</v>
      </c>
      <c r="J222" s="7" t="s">
        <v>50</v>
      </c>
      <c r="K222" s="7" t="s">
        <v>50</v>
      </c>
      <c r="L222" s="7" t="s">
        <v>50</v>
      </c>
      <c r="M222" s="7" t="s">
        <v>50</v>
      </c>
      <c r="N222" s="7" t="s">
        <v>50</v>
      </c>
      <c r="O222" s="7" t="n">
        <v>290432</v>
      </c>
      <c r="P222" s="7" t="n">
        <v>205374</v>
      </c>
      <c r="Q222" s="8" t="n">
        <f aca="false">(P222/O222)*100</f>
        <v>70.713282282944</v>
      </c>
      <c r="R222" s="7" t="n">
        <f aca="false">X222-AC222</f>
        <v>24349</v>
      </c>
      <c r="S222" s="8" t="n">
        <f aca="false">(R222/P222)*100</f>
        <v>11.8559311305229</v>
      </c>
      <c r="T222" s="8" t="n">
        <f aca="false">Y222+AD222</f>
        <v>74.3029789554666</v>
      </c>
      <c r="U222" s="7" t="s">
        <v>54</v>
      </c>
      <c r="V222" s="7" t="s">
        <v>67</v>
      </c>
      <c r="W222" s="7" t="s">
        <v>1344</v>
      </c>
      <c r="X222" s="7" t="n">
        <v>88474</v>
      </c>
      <c r="Y222" s="8" t="n">
        <f aca="false">(X222/P222)*100</f>
        <v>43.0794550429947</v>
      </c>
      <c r="Z222" s="7" t="s">
        <v>51</v>
      </c>
      <c r="AA222" s="17" t="s">
        <v>341</v>
      </c>
      <c r="AB222" s="7" t="s">
        <v>1345</v>
      </c>
      <c r="AC222" s="7" t="n">
        <v>64125</v>
      </c>
      <c r="AD222" s="8" t="n">
        <f aca="false">(AC222/P222)*100</f>
        <v>31.2235239124719</v>
      </c>
      <c r="AE222" s="7" t="s">
        <v>59</v>
      </c>
      <c r="AF222" s="7" t="s">
        <v>73</v>
      </c>
      <c r="AG222" s="7" t="s">
        <v>1346</v>
      </c>
      <c r="AH222" s="7" t="n">
        <v>34216</v>
      </c>
      <c r="AI222" s="8" t="n">
        <f aca="false">(AH222/P222)*100</f>
        <v>16.6603367514875</v>
      </c>
      <c r="AJ222" s="7" t="s">
        <v>57</v>
      </c>
      <c r="AK222" s="7" t="s">
        <v>57</v>
      </c>
      <c r="AL222" s="7" t="s">
        <v>1347</v>
      </c>
      <c r="AM222" s="7" t="n">
        <v>10136</v>
      </c>
      <c r="AN222" s="8" t="n">
        <f aca="false">(AM222/P222)*100</f>
        <v>4.93538617351758</v>
      </c>
      <c r="AO222" s="7" t="s">
        <v>70</v>
      </c>
      <c r="AP222" s="7" t="s">
        <v>71</v>
      </c>
      <c r="AQ222" s="7" t="s">
        <v>1348</v>
      </c>
      <c r="AR222" s="7" t="n">
        <v>1778</v>
      </c>
      <c r="AS222" s="8" t="n">
        <f aca="false">(AR222/P222)*100</f>
        <v>0.86573762988499</v>
      </c>
    </row>
    <row r="223" customFormat="false" ht="12.8" hidden="false" customHeight="true" outlineLevel="0" collapsed="false">
      <c r="A223" s="6" t="n">
        <v>222</v>
      </c>
      <c r="B223" s="7" t="s">
        <v>1330</v>
      </c>
      <c r="C223" s="7" t="s">
        <v>1330</v>
      </c>
      <c r="D223" s="7" t="s">
        <v>191</v>
      </c>
      <c r="E223" s="7" t="s">
        <v>1143</v>
      </c>
      <c r="F223" s="7" t="s">
        <v>49</v>
      </c>
      <c r="G223" s="7" t="s">
        <v>50</v>
      </c>
      <c r="H223" s="7" t="s">
        <v>50</v>
      </c>
      <c r="I223" s="7" t="s">
        <v>50</v>
      </c>
      <c r="J223" s="7" t="s">
        <v>50</v>
      </c>
      <c r="K223" s="7" t="s">
        <v>50</v>
      </c>
      <c r="L223" s="7" t="s">
        <v>50</v>
      </c>
      <c r="M223" s="7" t="s">
        <v>50</v>
      </c>
      <c r="N223" s="7" t="s">
        <v>50</v>
      </c>
      <c r="O223" s="7" t="n">
        <v>292538</v>
      </c>
      <c r="P223" s="7" t="n">
        <v>214108</v>
      </c>
      <c r="Q223" s="8" t="n">
        <f aca="false">(P223/O223)*100</f>
        <v>73.1898078198388</v>
      </c>
      <c r="R223" s="7" t="n">
        <f aca="false">X223-AC223</f>
        <v>370</v>
      </c>
      <c r="S223" s="8" t="n">
        <f aca="false">(R223/P223)*100</f>
        <v>0.17280998374652</v>
      </c>
      <c r="T223" s="8" t="n">
        <f aca="false">Y223+AD223</f>
        <v>83.2570478450128</v>
      </c>
      <c r="U223" s="7" t="s">
        <v>51</v>
      </c>
      <c r="V223" s="7" t="s">
        <v>65</v>
      </c>
      <c r="W223" s="7" t="s">
        <v>1349</v>
      </c>
      <c r="X223" s="7" t="n">
        <v>89315</v>
      </c>
      <c r="Y223" s="8" t="n">
        <f aca="false">(X223/P223)*100</f>
        <v>41.7149289143797</v>
      </c>
      <c r="Z223" s="7" t="s">
        <v>54</v>
      </c>
      <c r="AA223" s="7" t="s">
        <v>67</v>
      </c>
      <c r="AB223" s="7" t="s">
        <v>1350</v>
      </c>
      <c r="AC223" s="7" t="n">
        <v>88945</v>
      </c>
      <c r="AD223" s="8" t="n">
        <f aca="false">(AC223/P223)*100</f>
        <v>41.5421189306331</v>
      </c>
      <c r="AE223" s="7" t="s">
        <v>57</v>
      </c>
      <c r="AF223" s="7" t="s">
        <v>57</v>
      </c>
      <c r="AG223" s="7" t="s">
        <v>1351</v>
      </c>
      <c r="AH223" s="7" t="n">
        <v>15336</v>
      </c>
      <c r="AI223" s="8" t="n">
        <f aca="false">(AH223/P223)*100</f>
        <v>7.16274029928821</v>
      </c>
      <c r="AJ223" s="7" t="s">
        <v>59</v>
      </c>
      <c r="AK223" s="7" t="s">
        <v>73</v>
      </c>
      <c r="AL223" s="7" t="s">
        <v>1352</v>
      </c>
      <c r="AM223" s="7" t="n">
        <v>9944</v>
      </c>
      <c r="AN223" s="8" t="n">
        <f aca="false">(AM223/P223)*100</f>
        <v>4.64438507669027</v>
      </c>
      <c r="AO223" s="7" t="s">
        <v>70</v>
      </c>
      <c r="AP223" s="7" t="s">
        <v>71</v>
      </c>
      <c r="AQ223" s="7" t="s">
        <v>1353</v>
      </c>
      <c r="AR223" s="7" t="n">
        <v>2188</v>
      </c>
      <c r="AS223" s="8" t="n">
        <f aca="false">(AR223/P223)*100</f>
        <v>1.0219141741551</v>
      </c>
    </row>
    <row r="224" customFormat="false" ht="12.8" hidden="false" customHeight="true" outlineLevel="0" collapsed="false">
      <c r="A224" s="6" t="n">
        <v>223</v>
      </c>
      <c r="B224" s="7" t="s">
        <v>1354</v>
      </c>
      <c r="C224" s="7" t="s">
        <v>1330</v>
      </c>
      <c r="D224" s="7" t="s">
        <v>191</v>
      </c>
      <c r="E224" s="7" t="s">
        <v>1143</v>
      </c>
      <c r="F224" s="7" t="s">
        <v>49</v>
      </c>
      <c r="G224" s="7" t="s">
        <v>50</v>
      </c>
      <c r="H224" s="7" t="s">
        <v>50</v>
      </c>
      <c r="I224" s="7" t="s">
        <v>50</v>
      </c>
      <c r="J224" s="7" t="s">
        <v>50</v>
      </c>
      <c r="K224" s="7" t="s">
        <v>50</v>
      </c>
      <c r="L224" s="7" t="s">
        <v>50</v>
      </c>
      <c r="M224" s="7" t="s">
        <v>50</v>
      </c>
      <c r="N224" s="7" t="s">
        <v>50</v>
      </c>
      <c r="O224" s="7" t="n">
        <v>260688</v>
      </c>
      <c r="P224" s="7" t="n">
        <v>203478</v>
      </c>
      <c r="Q224" s="8" t="n">
        <f aca="false">(P224/O224)*100</f>
        <v>78.0542257411158</v>
      </c>
      <c r="R224" s="7" t="n">
        <f aca="false">X224-AC224</f>
        <v>3539</v>
      </c>
      <c r="S224" s="8" t="n">
        <f aca="false">(R224/P224)*100</f>
        <v>1.73925436656543</v>
      </c>
      <c r="T224" s="8" t="n">
        <f aca="false">Y224+AD224</f>
        <v>71.1462664268373</v>
      </c>
      <c r="U224" s="7" t="s">
        <v>54</v>
      </c>
      <c r="V224" s="7" t="s">
        <v>67</v>
      </c>
      <c r="W224" s="7" t="s">
        <v>1355</v>
      </c>
      <c r="X224" s="7" t="n">
        <v>74153</v>
      </c>
      <c r="Y224" s="8" t="n">
        <f aca="false">(X224/P224)*100</f>
        <v>36.4427603967014</v>
      </c>
      <c r="Z224" s="7" t="s">
        <v>51</v>
      </c>
      <c r="AA224" s="7" t="s">
        <v>52</v>
      </c>
      <c r="AB224" s="7" t="s">
        <v>1356</v>
      </c>
      <c r="AC224" s="7" t="n">
        <v>70614</v>
      </c>
      <c r="AD224" s="8" t="n">
        <f aca="false">(AC224/P224)*100</f>
        <v>34.7035060301359</v>
      </c>
      <c r="AE224" s="7" t="s">
        <v>196</v>
      </c>
      <c r="AF224" s="7" t="s">
        <v>196</v>
      </c>
      <c r="AG224" s="7" t="s">
        <v>1357</v>
      </c>
      <c r="AH224" s="7" t="n">
        <v>37727</v>
      </c>
      <c r="AI224" s="8" t="n">
        <f aca="false">(AH224/P224)*100</f>
        <v>18.5410707791506</v>
      </c>
      <c r="AJ224" s="7" t="s">
        <v>57</v>
      </c>
      <c r="AK224" s="7" t="s">
        <v>57</v>
      </c>
      <c r="AL224" s="7" t="s">
        <v>1358</v>
      </c>
      <c r="AM224" s="7" t="n">
        <v>12519</v>
      </c>
      <c r="AN224" s="8" t="n">
        <f aca="false">(AM224/P224)*100</f>
        <v>6.15250788783063</v>
      </c>
      <c r="AO224" s="7" t="s">
        <v>59</v>
      </c>
      <c r="AP224" s="7" t="s">
        <v>60</v>
      </c>
      <c r="AQ224" s="7" t="s">
        <v>1359</v>
      </c>
      <c r="AR224" s="7" t="n">
        <v>2816</v>
      </c>
      <c r="AS224" s="8" t="n">
        <f aca="false">(AR224/P224)*100</f>
        <v>1.38393339820521</v>
      </c>
    </row>
    <row r="225" customFormat="false" ht="12.8" hidden="false" customHeight="true" outlineLevel="0" collapsed="false">
      <c r="A225" s="6" t="n">
        <v>224</v>
      </c>
      <c r="B225" s="7" t="s">
        <v>1360</v>
      </c>
      <c r="C225" s="7" t="s">
        <v>1360</v>
      </c>
      <c r="D225" s="7" t="s">
        <v>191</v>
      </c>
      <c r="E225" s="7" t="s">
        <v>1361</v>
      </c>
      <c r="F225" s="7" t="s">
        <v>87</v>
      </c>
      <c r="G225" s="7" t="s">
        <v>50</v>
      </c>
      <c r="H225" s="7" t="s">
        <v>50</v>
      </c>
      <c r="I225" s="7" t="s">
        <v>50</v>
      </c>
      <c r="J225" s="7" t="s">
        <v>50</v>
      </c>
      <c r="K225" s="7" t="s">
        <v>50</v>
      </c>
      <c r="L225" s="7" t="s">
        <v>50</v>
      </c>
      <c r="M225" s="7" t="s">
        <v>50</v>
      </c>
      <c r="N225" s="7" t="s">
        <v>50</v>
      </c>
      <c r="O225" s="7" t="n">
        <v>292411</v>
      </c>
      <c r="P225" s="7" t="n">
        <v>197587</v>
      </c>
      <c r="Q225" s="8" t="n">
        <f aca="false">(P225/O225)*100</f>
        <v>67.5716713803516</v>
      </c>
      <c r="R225" s="7" t="n">
        <f aca="false">X225-AC225</f>
        <v>23107</v>
      </c>
      <c r="S225" s="8" t="n">
        <f aca="false">(R225/P225)*100</f>
        <v>11.6945952922004</v>
      </c>
      <c r="T225" s="8" t="n">
        <f aca="false">Y225+AD225</f>
        <v>81.7143840434846</v>
      </c>
      <c r="U225" s="7" t="s">
        <v>54</v>
      </c>
      <c r="V225" s="7" t="s">
        <v>170</v>
      </c>
      <c r="W225" s="7" t="s">
        <v>1362</v>
      </c>
      <c r="X225" s="7" t="n">
        <v>92282</v>
      </c>
      <c r="Y225" s="8" t="n">
        <f aca="false">(X225/P225)*100</f>
        <v>46.7044896678425</v>
      </c>
      <c r="Z225" s="7" t="s">
        <v>51</v>
      </c>
      <c r="AA225" s="7" t="s">
        <v>52</v>
      </c>
      <c r="AB225" s="7" t="s">
        <v>1363</v>
      </c>
      <c r="AC225" s="7" t="n">
        <v>69175</v>
      </c>
      <c r="AD225" s="8" t="n">
        <f aca="false">(AC225/P225)*100</f>
        <v>35.0098943756421</v>
      </c>
      <c r="AE225" s="7" t="s">
        <v>57</v>
      </c>
      <c r="AF225" s="7" t="s">
        <v>57</v>
      </c>
      <c r="AG225" s="7" t="s">
        <v>1364</v>
      </c>
      <c r="AH225" s="7" t="n">
        <v>19162</v>
      </c>
      <c r="AI225" s="8" t="n">
        <f aca="false">(AH225/P225)*100</f>
        <v>9.69800644779262</v>
      </c>
      <c r="AJ225" s="7" t="s">
        <v>59</v>
      </c>
      <c r="AK225" s="7" t="s">
        <v>73</v>
      </c>
      <c r="AL225" s="7" t="s">
        <v>1365</v>
      </c>
      <c r="AM225" s="7" t="n">
        <v>8911</v>
      </c>
      <c r="AN225" s="8" t="n">
        <f aca="false">(AM225/P225)*100</f>
        <v>4.50991208935811</v>
      </c>
      <c r="AO225" s="7" t="s">
        <v>62</v>
      </c>
      <c r="AP225" s="7" t="s">
        <v>62</v>
      </c>
      <c r="AQ225" s="7" t="s">
        <v>62</v>
      </c>
      <c r="AR225" s="7" t="n">
        <v>2091</v>
      </c>
      <c r="AS225" s="8" t="n">
        <f aca="false">(AR225/P225)*100</f>
        <v>1.05826800346177</v>
      </c>
    </row>
    <row r="226" customFormat="false" ht="12.8" hidden="false" customHeight="true" outlineLevel="0" collapsed="false">
      <c r="A226" s="6" t="n">
        <v>225</v>
      </c>
      <c r="B226" s="7" t="s">
        <v>1366</v>
      </c>
      <c r="C226" s="7" t="s">
        <v>1360</v>
      </c>
      <c r="D226" s="7" t="s">
        <v>191</v>
      </c>
      <c r="E226" s="7" t="s">
        <v>1361</v>
      </c>
      <c r="F226" s="7" t="s">
        <v>76</v>
      </c>
      <c r="G226" s="7" t="s">
        <v>50</v>
      </c>
      <c r="H226" s="7" t="s">
        <v>50</v>
      </c>
      <c r="I226" s="7" t="s">
        <v>50</v>
      </c>
      <c r="J226" s="7" t="s">
        <v>50</v>
      </c>
      <c r="K226" s="7" t="s">
        <v>50</v>
      </c>
      <c r="L226" s="7" t="s">
        <v>67</v>
      </c>
      <c r="M226" s="7" t="s">
        <v>50</v>
      </c>
      <c r="N226" s="7" t="s">
        <v>50</v>
      </c>
      <c r="O226" s="7" t="n">
        <v>245003</v>
      </c>
      <c r="P226" s="7" t="n">
        <v>177681</v>
      </c>
      <c r="Q226" s="8" t="n">
        <f aca="false">(P226/O226)*100</f>
        <v>72.5219691187455</v>
      </c>
      <c r="R226" s="7" t="n">
        <f aca="false">X226-AC226</f>
        <v>16915</v>
      </c>
      <c r="S226" s="8" t="n">
        <f aca="false">(R226/P226)*100</f>
        <v>9.51986987916547</v>
      </c>
      <c r="T226" s="8" t="n">
        <f aca="false">Y226+AD226</f>
        <v>86.3947186249515</v>
      </c>
      <c r="U226" s="7" t="s">
        <v>54</v>
      </c>
      <c r="V226" s="7" t="s">
        <v>67</v>
      </c>
      <c r="W226" s="7" t="s">
        <v>1367</v>
      </c>
      <c r="X226" s="7" t="n">
        <v>85211</v>
      </c>
      <c r="Y226" s="8" t="n">
        <f aca="false">(X226/P226)*100</f>
        <v>47.9572942520585</v>
      </c>
      <c r="Z226" s="7" t="s">
        <v>51</v>
      </c>
      <c r="AA226" s="7" t="s">
        <v>52</v>
      </c>
      <c r="AB226" s="7" t="s">
        <v>1368</v>
      </c>
      <c r="AC226" s="7" t="n">
        <v>68296</v>
      </c>
      <c r="AD226" s="8" t="n">
        <f aca="false">(AC226/P226)*100</f>
        <v>38.437424372893</v>
      </c>
      <c r="AE226" s="7" t="s">
        <v>57</v>
      </c>
      <c r="AF226" s="7" t="s">
        <v>57</v>
      </c>
      <c r="AG226" s="7" t="s">
        <v>1369</v>
      </c>
      <c r="AH226" s="7" t="n">
        <v>13735</v>
      </c>
      <c r="AI226" s="8" t="n">
        <f aca="false">(AH226/P226)*100</f>
        <v>7.73014559800992</v>
      </c>
      <c r="AJ226" s="7" t="s">
        <v>59</v>
      </c>
      <c r="AK226" s="7" t="s">
        <v>73</v>
      </c>
      <c r="AL226" s="7" t="s">
        <v>1370</v>
      </c>
      <c r="AM226" s="7" t="n">
        <v>4194</v>
      </c>
      <c r="AN226" s="8" t="n">
        <f aca="false">(AM226/P226)*100</f>
        <v>2.36040994816553</v>
      </c>
      <c r="AO226" s="7" t="s">
        <v>70</v>
      </c>
      <c r="AP226" s="7" t="s">
        <v>71</v>
      </c>
      <c r="AQ226" s="7" t="s">
        <v>1371</v>
      </c>
      <c r="AR226" s="7" t="n">
        <v>2807</v>
      </c>
      <c r="AS226" s="8" t="n">
        <f aca="false">(AR226/P226)*100</f>
        <v>1.5797975022653</v>
      </c>
    </row>
    <row r="227" customFormat="false" ht="12.8" hidden="false" customHeight="true" outlineLevel="0" collapsed="false">
      <c r="A227" s="6" t="n">
        <v>226</v>
      </c>
      <c r="B227" s="7" t="s">
        <v>1372</v>
      </c>
      <c r="C227" s="7" t="s">
        <v>1360</v>
      </c>
      <c r="D227" s="7" t="s">
        <v>191</v>
      </c>
      <c r="E227" s="7" t="s">
        <v>1361</v>
      </c>
      <c r="F227" s="7" t="s">
        <v>76</v>
      </c>
      <c r="G227" s="7" t="s">
        <v>50</v>
      </c>
      <c r="H227" s="7" t="s">
        <v>50</v>
      </c>
      <c r="I227" s="7" t="s">
        <v>50</v>
      </c>
      <c r="J227" s="7" t="s">
        <v>50</v>
      </c>
      <c r="K227" s="7" t="s">
        <v>52</v>
      </c>
      <c r="L227" s="7" t="s">
        <v>52</v>
      </c>
      <c r="M227" s="7" t="s">
        <v>50</v>
      </c>
      <c r="N227" s="7" t="s">
        <v>50</v>
      </c>
      <c r="O227" s="7" t="n">
        <v>273557</v>
      </c>
      <c r="P227" s="7" t="n">
        <v>161091</v>
      </c>
      <c r="Q227" s="8" t="n">
        <f aca="false">(P227/O227)*100</f>
        <v>58.8875444605695</v>
      </c>
      <c r="R227" s="7" t="n">
        <f aca="false">X227-AC227</f>
        <v>52141</v>
      </c>
      <c r="S227" s="8" t="n">
        <f aca="false">(R227/P227)*100</f>
        <v>32.3674196572124</v>
      </c>
      <c r="T227" s="8" t="n">
        <f aca="false">Y227+AD227</f>
        <v>78.2743914930071</v>
      </c>
      <c r="U227" s="7" t="s">
        <v>51</v>
      </c>
      <c r="V227" s="7" t="s">
        <v>52</v>
      </c>
      <c r="W227" s="7" t="s">
        <v>1373</v>
      </c>
      <c r="X227" s="7" t="n">
        <v>89117</v>
      </c>
      <c r="Y227" s="8" t="n">
        <f aca="false">(X227/P227)*100</f>
        <v>55.3209055751097</v>
      </c>
      <c r="Z227" s="7" t="s">
        <v>54</v>
      </c>
      <c r="AA227" s="7" t="s">
        <v>67</v>
      </c>
      <c r="AB227" s="7" t="s">
        <v>1374</v>
      </c>
      <c r="AC227" s="7" t="n">
        <v>36976</v>
      </c>
      <c r="AD227" s="8" t="n">
        <f aca="false">(AC227/P227)*100</f>
        <v>22.9534859178973</v>
      </c>
      <c r="AE227" s="7" t="s">
        <v>59</v>
      </c>
      <c r="AF227" s="25" t="s">
        <v>351</v>
      </c>
      <c r="AG227" s="7" t="s">
        <v>1375</v>
      </c>
      <c r="AH227" s="7" t="n">
        <v>12241</v>
      </c>
      <c r="AI227" s="8" t="n">
        <f aca="false">(AH227/P227)*100</f>
        <v>7.59881061015203</v>
      </c>
      <c r="AJ227" s="7" t="s">
        <v>57</v>
      </c>
      <c r="AK227" s="7" t="s">
        <v>57</v>
      </c>
      <c r="AL227" s="7" t="s">
        <v>1376</v>
      </c>
      <c r="AM227" s="7" t="n">
        <v>11665</v>
      </c>
      <c r="AN227" s="8" t="n">
        <f aca="false">(AM227/P227)*100</f>
        <v>7.24124873518694</v>
      </c>
      <c r="AO227" s="7" t="s">
        <v>70</v>
      </c>
      <c r="AP227" s="7" t="s">
        <v>71</v>
      </c>
      <c r="AQ227" s="7" t="s">
        <v>1377</v>
      </c>
      <c r="AR227" s="7" t="n">
        <v>8107</v>
      </c>
      <c r="AS227" s="8" t="n">
        <f aca="false">(AR227/P227)*100</f>
        <v>5.03255923670472</v>
      </c>
    </row>
    <row r="228" customFormat="false" ht="12.8" hidden="false" customHeight="true" outlineLevel="0" collapsed="false">
      <c r="A228" s="6" t="n">
        <v>227</v>
      </c>
      <c r="B228" s="7" t="s">
        <v>1378</v>
      </c>
      <c r="C228" s="7" t="s">
        <v>1360</v>
      </c>
      <c r="D228" s="7" t="s">
        <v>191</v>
      </c>
      <c r="E228" s="7" t="s">
        <v>1361</v>
      </c>
      <c r="F228" s="7" t="s">
        <v>49</v>
      </c>
      <c r="G228" s="7" t="s">
        <v>50</v>
      </c>
      <c r="H228" s="7" t="s">
        <v>50</v>
      </c>
      <c r="I228" s="7" t="s">
        <v>50</v>
      </c>
      <c r="J228" s="7" t="s">
        <v>50</v>
      </c>
      <c r="K228" s="7" t="s">
        <v>67</v>
      </c>
      <c r="L228" s="7" t="s">
        <v>50</v>
      </c>
      <c r="M228" s="7" t="s">
        <v>50</v>
      </c>
      <c r="N228" s="7" t="s">
        <v>50</v>
      </c>
      <c r="O228" s="7" t="n">
        <v>277865</v>
      </c>
      <c r="P228" s="7" t="n">
        <v>192522</v>
      </c>
      <c r="Q228" s="8" t="n">
        <f aca="false">(P228/O228)*100</f>
        <v>69.2861641444586</v>
      </c>
      <c r="R228" s="7" t="n">
        <f aca="false">X228-AC228</f>
        <v>16486</v>
      </c>
      <c r="S228" s="8" t="n">
        <f aca="false">(R228/P228)*100</f>
        <v>8.56317719533352</v>
      </c>
      <c r="T228" s="8" t="n">
        <f aca="false">Y228+AD228</f>
        <v>70.2870321313928</v>
      </c>
      <c r="U228" s="7" t="s">
        <v>51</v>
      </c>
      <c r="V228" s="7" t="s">
        <v>65</v>
      </c>
      <c r="W228" s="7" t="s">
        <v>1379</v>
      </c>
      <c r="X228" s="7" t="n">
        <v>75902</v>
      </c>
      <c r="Y228" s="8" t="n">
        <f aca="false">(X228/P228)*100</f>
        <v>39.4251046633632</v>
      </c>
      <c r="Z228" s="7" t="s">
        <v>54</v>
      </c>
      <c r="AA228" s="7" t="s">
        <v>67</v>
      </c>
      <c r="AB228" s="7" t="s">
        <v>1380</v>
      </c>
      <c r="AC228" s="7" t="n">
        <v>59416</v>
      </c>
      <c r="AD228" s="8" t="n">
        <f aca="false">(AC228/P228)*100</f>
        <v>30.8619274680296</v>
      </c>
      <c r="AE228" s="7" t="s">
        <v>59</v>
      </c>
      <c r="AF228" s="7" t="s">
        <v>73</v>
      </c>
      <c r="AG228" s="7" t="s">
        <v>1381</v>
      </c>
      <c r="AH228" s="7" t="n">
        <v>31870</v>
      </c>
      <c r="AI228" s="8" t="n">
        <f aca="false">(AH228/P228)*100</f>
        <v>16.5539522755841</v>
      </c>
      <c r="AJ228" s="7" t="s">
        <v>57</v>
      </c>
      <c r="AK228" s="7" t="s">
        <v>57</v>
      </c>
      <c r="AL228" s="7" t="s">
        <v>1382</v>
      </c>
      <c r="AM228" s="7" t="n">
        <v>17654</v>
      </c>
      <c r="AN228" s="8" t="n">
        <f aca="false">(AM228/P228)*100</f>
        <v>9.1698611067826</v>
      </c>
      <c r="AO228" s="7" t="s">
        <v>62</v>
      </c>
      <c r="AP228" s="7" t="s">
        <v>62</v>
      </c>
      <c r="AQ228" s="7" t="s">
        <v>62</v>
      </c>
      <c r="AR228" s="7" t="n">
        <v>1537</v>
      </c>
      <c r="AS228" s="8" t="n">
        <f aca="false">(AR228/P228)*100</f>
        <v>0.798350318405169</v>
      </c>
    </row>
    <row r="229" customFormat="false" ht="12.8" hidden="false" customHeight="true" outlineLevel="0" collapsed="false">
      <c r="A229" s="6" t="n">
        <v>228</v>
      </c>
      <c r="B229" s="7" t="s">
        <v>1383</v>
      </c>
      <c r="C229" s="7" t="s">
        <v>1360</v>
      </c>
      <c r="D229" s="7" t="s">
        <v>191</v>
      </c>
      <c r="E229" s="7" t="s">
        <v>1361</v>
      </c>
      <c r="F229" s="7" t="s">
        <v>49</v>
      </c>
      <c r="G229" s="7" t="s">
        <v>50</v>
      </c>
      <c r="H229" s="7" t="s">
        <v>50</v>
      </c>
      <c r="I229" s="7" t="s">
        <v>50</v>
      </c>
      <c r="J229" s="7" t="s">
        <v>52</v>
      </c>
      <c r="K229" s="7" t="s">
        <v>50</v>
      </c>
      <c r="L229" s="7" t="s">
        <v>50</v>
      </c>
      <c r="M229" s="7" t="s">
        <v>50</v>
      </c>
      <c r="N229" s="7" t="s">
        <v>50</v>
      </c>
      <c r="O229" s="7" t="n">
        <v>270760</v>
      </c>
      <c r="P229" s="7" t="n">
        <v>187310</v>
      </c>
      <c r="Q229" s="8" t="n">
        <f aca="false">(P229/O229)*100</f>
        <v>69.179347023194</v>
      </c>
      <c r="R229" s="7" t="n">
        <f aca="false">X229-AC229</f>
        <v>5925</v>
      </c>
      <c r="S229" s="8" t="n">
        <f aca="false">(R229/P229)*100</f>
        <v>3.16320538145321</v>
      </c>
      <c r="T229" s="8" t="n">
        <f aca="false">Y229+AD229</f>
        <v>84.7456088836688</v>
      </c>
      <c r="U229" s="7" t="s">
        <v>51</v>
      </c>
      <c r="V229" s="7" t="s">
        <v>52</v>
      </c>
      <c r="W229" s="7" t="s">
        <v>1384</v>
      </c>
      <c r="X229" s="7" t="n">
        <v>82331</v>
      </c>
      <c r="Y229" s="8" t="n">
        <f aca="false">(X229/P229)*100</f>
        <v>43.954407132561</v>
      </c>
      <c r="Z229" s="7" t="s">
        <v>54</v>
      </c>
      <c r="AA229" s="7" t="s">
        <v>67</v>
      </c>
      <c r="AB229" s="7" t="s">
        <v>1385</v>
      </c>
      <c r="AC229" s="7" t="n">
        <v>76406</v>
      </c>
      <c r="AD229" s="8" t="n">
        <f aca="false">(AC229/P229)*100</f>
        <v>40.7912017511078</v>
      </c>
      <c r="AE229" s="7" t="s">
        <v>57</v>
      </c>
      <c r="AF229" s="7" t="s">
        <v>57</v>
      </c>
      <c r="AG229" s="7" t="s">
        <v>1386</v>
      </c>
      <c r="AH229" s="7" t="n">
        <v>19371</v>
      </c>
      <c r="AI229" s="8" t="n">
        <f aca="false">(AH229/P229)*100</f>
        <v>10.3416795686295</v>
      </c>
      <c r="AJ229" s="7" t="s">
        <v>59</v>
      </c>
      <c r="AK229" s="7" t="s">
        <v>60</v>
      </c>
      <c r="AL229" s="7" t="s">
        <v>1387</v>
      </c>
      <c r="AM229" s="7" t="n">
        <v>2432</v>
      </c>
      <c r="AN229" s="8" t="n">
        <f aca="false">(AM229/P229)*100</f>
        <v>1.29838236079227</v>
      </c>
      <c r="AO229" s="7" t="s">
        <v>196</v>
      </c>
      <c r="AP229" s="7" t="s">
        <v>196</v>
      </c>
      <c r="AQ229" s="7" t="s">
        <v>1388</v>
      </c>
      <c r="AR229" s="7" t="n">
        <v>1224</v>
      </c>
      <c r="AS229" s="8" t="n">
        <f aca="false">(AR229/P229)*100</f>
        <v>0.653462175004004</v>
      </c>
    </row>
    <row r="230" customFormat="false" ht="12.8" hidden="false" customHeight="true" outlineLevel="0" collapsed="false">
      <c r="A230" s="6" t="n">
        <v>229</v>
      </c>
      <c r="B230" s="7" t="s">
        <v>1389</v>
      </c>
      <c r="C230" s="7" t="s">
        <v>1389</v>
      </c>
      <c r="D230" s="7" t="s">
        <v>191</v>
      </c>
      <c r="E230" s="7" t="s">
        <v>1361</v>
      </c>
      <c r="F230" s="7" t="s">
        <v>49</v>
      </c>
      <c r="G230" s="7" t="s">
        <v>50</v>
      </c>
      <c r="H230" s="7" t="s">
        <v>525</v>
      </c>
      <c r="I230" s="7" t="s">
        <v>50</v>
      </c>
      <c r="J230" s="7" t="s">
        <v>50</v>
      </c>
      <c r="K230" s="7" t="s">
        <v>50</v>
      </c>
      <c r="L230" s="7" t="s">
        <v>50</v>
      </c>
      <c r="M230" s="7" t="s">
        <v>50</v>
      </c>
      <c r="N230" s="7" t="s">
        <v>50</v>
      </c>
      <c r="O230" s="7" t="n">
        <v>293657</v>
      </c>
      <c r="P230" s="7" t="n">
        <v>225121</v>
      </c>
      <c r="Q230" s="8" t="n">
        <f aca="false">(P230/O230)*100</f>
        <v>76.6612067820621</v>
      </c>
      <c r="R230" s="7" t="n">
        <f aca="false">X230-AC230</f>
        <v>16210</v>
      </c>
      <c r="S230" s="8" t="n">
        <f aca="false">(R230/P230)*100</f>
        <v>7.20057213676201</v>
      </c>
      <c r="T230" s="8" t="n">
        <f aca="false">Y230+AD230</f>
        <v>90.3718444747491</v>
      </c>
      <c r="U230" s="7" t="s">
        <v>54</v>
      </c>
      <c r="V230" s="7" t="s">
        <v>67</v>
      </c>
      <c r="W230" s="7" t="s">
        <v>1390</v>
      </c>
      <c r="X230" s="7" t="n">
        <v>109828</v>
      </c>
      <c r="Y230" s="8" t="n">
        <f aca="false">(X230/P230)*100</f>
        <v>48.7862083057556</v>
      </c>
      <c r="Z230" s="7" t="s">
        <v>51</v>
      </c>
      <c r="AA230" s="7" t="s">
        <v>52</v>
      </c>
      <c r="AB230" s="7" t="s">
        <v>1391</v>
      </c>
      <c r="AC230" s="7" t="n">
        <v>93618</v>
      </c>
      <c r="AD230" s="8" t="n">
        <f aca="false">(AC230/P230)*100</f>
        <v>41.5856361689936</v>
      </c>
      <c r="AE230" s="7" t="s">
        <v>57</v>
      </c>
      <c r="AF230" s="7" t="s">
        <v>57</v>
      </c>
      <c r="AG230" s="7" t="s">
        <v>1392</v>
      </c>
      <c r="AH230" s="7" t="n">
        <v>14197</v>
      </c>
      <c r="AI230" s="8" t="n">
        <f aca="false">(AH230/P230)*100</f>
        <v>6.30638634334425</v>
      </c>
      <c r="AJ230" s="7" t="s">
        <v>70</v>
      </c>
      <c r="AK230" s="7" t="s">
        <v>71</v>
      </c>
      <c r="AL230" s="7" t="s">
        <v>1393</v>
      </c>
      <c r="AM230" s="7" t="n">
        <v>3109</v>
      </c>
      <c r="AN230" s="8" t="n">
        <f aca="false">(AM230/P230)*100</f>
        <v>1.38103508779723</v>
      </c>
      <c r="AO230" s="7" t="s">
        <v>59</v>
      </c>
      <c r="AP230" s="7" t="s">
        <v>73</v>
      </c>
      <c r="AQ230" s="7" t="s">
        <v>1394</v>
      </c>
      <c r="AR230" s="7" t="n">
        <v>1599</v>
      </c>
      <c r="AS230" s="8" t="n">
        <f aca="false">(AR230/P230)*100</f>
        <v>0.710284691343766</v>
      </c>
    </row>
    <row r="231" customFormat="false" ht="12.8" hidden="false" customHeight="true" outlineLevel="0" collapsed="false">
      <c r="A231" s="6" t="n">
        <v>230</v>
      </c>
      <c r="B231" s="7" t="s">
        <v>1395</v>
      </c>
      <c r="C231" s="7" t="s">
        <v>1389</v>
      </c>
      <c r="D231" s="7" t="s">
        <v>191</v>
      </c>
      <c r="E231" s="7" t="s">
        <v>1361</v>
      </c>
      <c r="F231" s="7" t="s">
        <v>87</v>
      </c>
      <c r="G231" s="7" t="s">
        <v>50</v>
      </c>
      <c r="H231" s="7" t="s">
        <v>50</v>
      </c>
      <c r="I231" s="7" t="s">
        <v>50</v>
      </c>
      <c r="J231" s="7" t="s">
        <v>50</v>
      </c>
      <c r="K231" s="7" t="s">
        <v>65</v>
      </c>
      <c r="L231" s="7" t="s">
        <v>50</v>
      </c>
      <c r="M231" s="7" t="s">
        <v>50</v>
      </c>
      <c r="N231" s="7" t="s">
        <v>50</v>
      </c>
      <c r="O231" s="7" t="n">
        <v>270845</v>
      </c>
      <c r="P231" s="7" t="n">
        <v>184185</v>
      </c>
      <c r="Q231" s="8" t="n">
        <f aca="false">(P231/O231)*100</f>
        <v>68.0038398345917</v>
      </c>
      <c r="R231" s="7" t="n">
        <f aca="false">X231-AC231</f>
        <v>11669</v>
      </c>
      <c r="S231" s="8" t="n">
        <f aca="false">(R231/P231)*100</f>
        <v>6.33547791622554</v>
      </c>
      <c r="T231" s="8" t="n">
        <f aca="false">Y231+AD231</f>
        <v>90.0936558351657</v>
      </c>
      <c r="U231" s="7" t="s">
        <v>54</v>
      </c>
      <c r="V231" s="7" t="s">
        <v>170</v>
      </c>
      <c r="W231" s="7" t="s">
        <v>1396</v>
      </c>
      <c r="X231" s="7" t="n">
        <v>88804</v>
      </c>
      <c r="Y231" s="8" t="n">
        <f aca="false">(X231/P231)*100</f>
        <v>48.2145668756956</v>
      </c>
      <c r="Z231" s="7" t="s">
        <v>51</v>
      </c>
      <c r="AA231" s="7" t="s">
        <v>52</v>
      </c>
      <c r="AB231" s="7" t="s">
        <v>1397</v>
      </c>
      <c r="AC231" s="7" t="n">
        <v>77135</v>
      </c>
      <c r="AD231" s="8" t="n">
        <f aca="false">(AC231/P231)*100</f>
        <v>41.8790889594701</v>
      </c>
      <c r="AE231" s="7" t="s">
        <v>57</v>
      </c>
      <c r="AF231" s="7" t="s">
        <v>57</v>
      </c>
      <c r="AG231" s="7" t="s">
        <v>1398</v>
      </c>
      <c r="AH231" s="7" t="n">
        <v>10753</v>
      </c>
      <c r="AI231" s="8" t="n">
        <f aca="false">(AH231/P231)*100</f>
        <v>5.83815185818606</v>
      </c>
      <c r="AJ231" s="7" t="s">
        <v>70</v>
      </c>
      <c r="AK231" s="7" t="s">
        <v>71</v>
      </c>
      <c r="AL231" s="7" t="s">
        <v>1399</v>
      </c>
      <c r="AM231" s="7" t="n">
        <v>4037</v>
      </c>
      <c r="AN231" s="8" t="n">
        <f aca="false">(AM231/P231)*100</f>
        <v>2.19181800906697</v>
      </c>
      <c r="AO231" s="7" t="s">
        <v>59</v>
      </c>
      <c r="AP231" s="7" t="s">
        <v>73</v>
      </c>
      <c r="AQ231" s="7" t="s">
        <v>1400</v>
      </c>
      <c r="AR231" s="7" t="n">
        <v>1094</v>
      </c>
      <c r="AS231" s="8" t="n">
        <f aca="false">(AR231/P231)*100</f>
        <v>0.593968021282949</v>
      </c>
    </row>
    <row r="232" customFormat="false" ht="12.8" hidden="false" customHeight="true" outlineLevel="0" collapsed="false">
      <c r="A232" s="6" t="n">
        <v>231</v>
      </c>
      <c r="B232" s="7" t="s">
        <v>1401</v>
      </c>
      <c r="C232" s="7" t="s">
        <v>1389</v>
      </c>
      <c r="D232" s="7" t="s">
        <v>191</v>
      </c>
      <c r="E232" s="7" t="s">
        <v>1361</v>
      </c>
      <c r="F232" s="7" t="s">
        <v>76</v>
      </c>
      <c r="G232" s="7" t="s">
        <v>50</v>
      </c>
      <c r="H232" s="7" t="s">
        <v>50</v>
      </c>
      <c r="I232" s="7" t="s">
        <v>50</v>
      </c>
      <c r="J232" s="7" t="s">
        <v>65</v>
      </c>
      <c r="K232" s="7" t="s">
        <v>50</v>
      </c>
      <c r="L232" s="7" t="s">
        <v>65</v>
      </c>
      <c r="M232" s="7" t="s">
        <v>50</v>
      </c>
      <c r="N232" s="7" t="s">
        <v>50</v>
      </c>
      <c r="O232" s="7" t="n">
        <v>269287</v>
      </c>
      <c r="P232" s="7" t="n">
        <v>182969</v>
      </c>
      <c r="Q232" s="8" t="n">
        <f aca="false">(P232/O232)*100</f>
        <v>67.945723336069</v>
      </c>
      <c r="R232" s="7" t="n">
        <f aca="false">X232-AC232</f>
        <v>24832</v>
      </c>
      <c r="S232" s="8" t="n">
        <f aca="false">(R232/P232)*100</f>
        <v>13.5716979379021</v>
      </c>
      <c r="T232" s="8" t="n">
        <f aca="false">Y232+AD232</f>
        <v>85.5500112040838</v>
      </c>
      <c r="U232" s="7" t="s">
        <v>51</v>
      </c>
      <c r="V232" s="7" t="s">
        <v>65</v>
      </c>
      <c r="W232" s="7" t="s">
        <v>1402</v>
      </c>
      <c r="X232" s="7" t="n">
        <v>90681</v>
      </c>
      <c r="Y232" s="8" t="n">
        <f aca="false">(X232/P232)*100</f>
        <v>49.5608545709929</v>
      </c>
      <c r="Z232" s="7" t="s">
        <v>54</v>
      </c>
      <c r="AA232" s="7" t="s">
        <v>170</v>
      </c>
      <c r="AB232" s="7" t="s">
        <v>1403</v>
      </c>
      <c r="AC232" s="7" t="n">
        <v>65849</v>
      </c>
      <c r="AD232" s="8" t="n">
        <f aca="false">(AC232/P232)*100</f>
        <v>35.9891566330909</v>
      </c>
      <c r="AE232" s="7" t="s">
        <v>57</v>
      </c>
      <c r="AF232" s="7" t="s">
        <v>57</v>
      </c>
      <c r="AG232" s="7" t="s">
        <v>1404</v>
      </c>
      <c r="AH232" s="7" t="n">
        <v>18202</v>
      </c>
      <c r="AI232" s="8" t="n">
        <f aca="false">(AH232/P232)*100</f>
        <v>9.9481332903388</v>
      </c>
      <c r="AJ232" s="7" t="s">
        <v>70</v>
      </c>
      <c r="AK232" s="7" t="s">
        <v>71</v>
      </c>
      <c r="AL232" s="7" t="s">
        <v>1405</v>
      </c>
      <c r="AM232" s="7" t="n">
        <v>2127</v>
      </c>
      <c r="AN232" s="8" t="n">
        <f aca="false">(AM232/P232)*100</f>
        <v>1.16249200684269</v>
      </c>
      <c r="AO232" s="7" t="s">
        <v>59</v>
      </c>
      <c r="AP232" s="7" t="s">
        <v>60</v>
      </c>
      <c r="AQ232" s="7" t="s">
        <v>1406</v>
      </c>
      <c r="AR232" s="7" t="n">
        <v>1332</v>
      </c>
      <c r="AS232" s="8" t="n">
        <f aca="false">(AR232/P232)*100</f>
        <v>0.727992173537594</v>
      </c>
    </row>
    <row r="233" customFormat="false" ht="12.8" hidden="false" customHeight="true" outlineLevel="0" collapsed="false">
      <c r="A233" s="6" t="n">
        <v>232</v>
      </c>
      <c r="B233" s="7" t="s">
        <v>1407</v>
      </c>
      <c r="C233" s="7" t="s">
        <v>1389</v>
      </c>
      <c r="D233" s="7" t="s">
        <v>191</v>
      </c>
      <c r="E233" s="7" t="s">
        <v>1361</v>
      </c>
      <c r="F233" s="7" t="s">
        <v>76</v>
      </c>
      <c r="G233" s="7" t="s">
        <v>50</v>
      </c>
      <c r="H233" s="7" t="s">
        <v>50</v>
      </c>
      <c r="I233" s="7" t="s">
        <v>50</v>
      </c>
      <c r="J233" s="7" t="s">
        <v>50</v>
      </c>
      <c r="K233" s="7" t="s">
        <v>50</v>
      </c>
      <c r="L233" s="7" t="s">
        <v>52</v>
      </c>
      <c r="M233" s="7" t="s">
        <v>50</v>
      </c>
      <c r="N233" s="7" t="s">
        <v>50</v>
      </c>
      <c r="O233" s="7" t="n">
        <v>240853</v>
      </c>
      <c r="P233" s="7" t="n">
        <v>170156</v>
      </c>
      <c r="Q233" s="8" t="n">
        <f aca="false">(P233/O233)*100</f>
        <v>70.6472412633432</v>
      </c>
      <c r="R233" s="7" t="n">
        <f aca="false">X233-AC233</f>
        <v>26885</v>
      </c>
      <c r="S233" s="8" t="n">
        <f aca="false">(R233/P233)*100</f>
        <v>15.8002068689908</v>
      </c>
      <c r="T233" s="8" t="n">
        <f aca="false">Y233+AD233</f>
        <v>87.3333881849597</v>
      </c>
      <c r="U233" s="7" t="s">
        <v>51</v>
      </c>
      <c r="V233" s="7" t="s">
        <v>52</v>
      </c>
      <c r="W233" s="7" t="s">
        <v>1408</v>
      </c>
      <c r="X233" s="7" t="n">
        <v>87744</v>
      </c>
      <c r="Y233" s="8" t="n">
        <f aca="false">(X233/P233)*100</f>
        <v>51.5667975269753</v>
      </c>
      <c r="Z233" s="7" t="s">
        <v>54</v>
      </c>
      <c r="AA233" s="7" t="s">
        <v>67</v>
      </c>
      <c r="AB233" s="7" t="s">
        <v>1409</v>
      </c>
      <c r="AC233" s="7" t="n">
        <v>60859</v>
      </c>
      <c r="AD233" s="8" t="n">
        <f aca="false">(AC233/P233)*100</f>
        <v>35.7665906579844</v>
      </c>
      <c r="AE233" s="7" t="s">
        <v>57</v>
      </c>
      <c r="AF233" s="7" t="s">
        <v>57</v>
      </c>
      <c r="AG233" s="7" t="s">
        <v>1410</v>
      </c>
      <c r="AH233" s="7" t="n">
        <v>13899</v>
      </c>
      <c r="AI233" s="8" t="n">
        <f aca="false">(AH233/P233)*100</f>
        <v>8.16838665695009</v>
      </c>
      <c r="AJ233" s="7" t="s">
        <v>59</v>
      </c>
      <c r="AK233" s="7" t="s">
        <v>73</v>
      </c>
      <c r="AL233" s="7" t="s">
        <v>1411</v>
      </c>
      <c r="AM233" s="7" t="n">
        <v>3234</v>
      </c>
      <c r="AN233" s="8" t="n">
        <f aca="false">(AM233/P233)*100</f>
        <v>1.90060885305249</v>
      </c>
      <c r="AO233" s="30" t="s">
        <v>84</v>
      </c>
      <c r="AP233" s="30" t="s">
        <v>84</v>
      </c>
      <c r="AQ233" s="7" t="s">
        <v>1412</v>
      </c>
      <c r="AR233" s="7" t="n">
        <v>1272</v>
      </c>
      <c r="AS233" s="8" t="n">
        <f aca="false">(AR233/P233)*100</f>
        <v>0.747549307694116</v>
      </c>
    </row>
    <row r="234" customFormat="false" ht="12.8" hidden="false" customHeight="true" outlineLevel="0" collapsed="false">
      <c r="A234" s="6" t="n">
        <v>233</v>
      </c>
      <c r="B234" s="7" t="s">
        <v>1413</v>
      </c>
      <c r="C234" s="7" t="s">
        <v>1389</v>
      </c>
      <c r="D234" s="7" t="s">
        <v>191</v>
      </c>
      <c r="E234" s="7" t="s">
        <v>1361</v>
      </c>
      <c r="F234" s="7" t="s">
        <v>49</v>
      </c>
      <c r="G234" s="7" t="s">
        <v>50</v>
      </c>
      <c r="H234" s="7" t="s">
        <v>525</v>
      </c>
      <c r="I234" s="7" t="s">
        <v>50</v>
      </c>
      <c r="J234" s="7" t="s">
        <v>65</v>
      </c>
      <c r="K234" s="7" t="s">
        <v>65</v>
      </c>
      <c r="L234" s="7" t="s">
        <v>65</v>
      </c>
      <c r="M234" s="7" t="s">
        <v>50</v>
      </c>
      <c r="N234" s="7" t="s">
        <v>50</v>
      </c>
      <c r="O234" s="7" t="n">
        <v>250065</v>
      </c>
      <c r="P234" s="7" t="n">
        <v>167836</v>
      </c>
      <c r="Q234" s="8" t="n">
        <f aca="false">(P234/O234)*100</f>
        <v>67.1169495931058</v>
      </c>
      <c r="R234" s="7" t="n">
        <f aca="false">X234-AC234</f>
        <v>28669</v>
      </c>
      <c r="S234" s="8" t="n">
        <f aca="false">(R234/P234)*100</f>
        <v>17.0815558044758</v>
      </c>
      <c r="T234" s="8" t="n">
        <f aca="false">Y234+AD234</f>
        <v>87.1547224671703</v>
      </c>
      <c r="U234" s="7" t="s">
        <v>51</v>
      </c>
      <c r="V234" s="7" t="s">
        <v>65</v>
      </c>
      <c r="W234" s="7" t="s">
        <v>1414</v>
      </c>
      <c r="X234" s="7" t="n">
        <v>87473</v>
      </c>
      <c r="Y234" s="8" t="n">
        <f aca="false">(X234/P234)*100</f>
        <v>52.1181391358231</v>
      </c>
      <c r="Z234" s="7" t="s">
        <v>54</v>
      </c>
      <c r="AA234" s="7" t="s">
        <v>170</v>
      </c>
      <c r="AB234" s="7" t="s">
        <v>1415</v>
      </c>
      <c r="AC234" s="7" t="n">
        <v>58804</v>
      </c>
      <c r="AD234" s="8" t="n">
        <f aca="false">(AC234/P234)*100</f>
        <v>35.0365833313473</v>
      </c>
      <c r="AE234" s="7" t="s">
        <v>57</v>
      </c>
      <c r="AF234" s="7" t="s">
        <v>57</v>
      </c>
      <c r="AG234" s="7" t="s">
        <v>1416</v>
      </c>
      <c r="AH234" s="7" t="n">
        <v>12292</v>
      </c>
      <c r="AI234" s="8" t="n">
        <f aca="false">(AH234/P234)*100</f>
        <v>7.32381610619891</v>
      </c>
      <c r="AJ234" s="7" t="s">
        <v>196</v>
      </c>
      <c r="AK234" s="7" t="s">
        <v>196</v>
      </c>
      <c r="AL234" s="7" t="s">
        <v>1417</v>
      </c>
      <c r="AM234" s="7" t="n">
        <v>3541</v>
      </c>
      <c r="AN234" s="8" t="n">
        <f aca="false">(AM234/P234)*100</f>
        <v>2.10979765962011</v>
      </c>
      <c r="AO234" s="7" t="s">
        <v>59</v>
      </c>
      <c r="AP234" s="7" t="s">
        <v>60</v>
      </c>
      <c r="AQ234" s="7" t="s">
        <v>1418</v>
      </c>
      <c r="AR234" s="7" t="n">
        <v>2447</v>
      </c>
      <c r="AS234" s="8" t="n">
        <f aca="false">(AR234/P234)*100</f>
        <v>1.45797087633166</v>
      </c>
    </row>
    <row r="235" customFormat="false" ht="12.8" hidden="false" customHeight="true" outlineLevel="0" collapsed="false">
      <c r="A235" s="6" t="n">
        <v>234</v>
      </c>
      <c r="B235" s="7" t="s">
        <v>1419</v>
      </c>
      <c r="C235" s="7" t="s">
        <v>1389</v>
      </c>
      <c r="D235" s="7" t="s">
        <v>191</v>
      </c>
      <c r="E235" s="7" t="s">
        <v>1361</v>
      </c>
      <c r="F235" s="7" t="s">
        <v>49</v>
      </c>
      <c r="G235" s="7" t="s">
        <v>50</v>
      </c>
      <c r="H235" s="7" t="s">
        <v>50</v>
      </c>
      <c r="I235" s="7" t="s">
        <v>50</v>
      </c>
      <c r="J235" s="7" t="s">
        <v>50</v>
      </c>
      <c r="K235" s="29" t="s">
        <v>1337</v>
      </c>
      <c r="L235" s="7" t="s">
        <v>65</v>
      </c>
      <c r="M235" s="7" t="s">
        <v>50</v>
      </c>
      <c r="N235" s="7" t="s">
        <v>50</v>
      </c>
      <c r="O235" s="7" t="n">
        <v>255347</v>
      </c>
      <c r="P235" s="7" t="n">
        <v>169918</v>
      </c>
      <c r="Q235" s="8" t="n">
        <f aca="false">(P235/O235)*100</f>
        <v>66.5439578299334</v>
      </c>
      <c r="R235" s="7" t="n">
        <f aca="false">X235-AC235</f>
        <v>55400</v>
      </c>
      <c r="S235" s="8" t="n">
        <f aca="false">(R235/P235)*100</f>
        <v>32.6039619110394</v>
      </c>
      <c r="T235" s="8" t="n">
        <f aca="false">Y235+AD235</f>
        <v>86.913687778811</v>
      </c>
      <c r="U235" s="7" t="s">
        <v>51</v>
      </c>
      <c r="V235" s="7" t="s">
        <v>65</v>
      </c>
      <c r="W235" s="7" t="s">
        <v>640</v>
      </c>
      <c r="X235" s="7" t="n">
        <v>101541</v>
      </c>
      <c r="Y235" s="8" t="n">
        <f aca="false">(X235/P235)*100</f>
        <v>59.7588248449252</v>
      </c>
      <c r="Z235" s="7" t="s">
        <v>54</v>
      </c>
      <c r="AA235" s="7" t="s">
        <v>67</v>
      </c>
      <c r="AB235" s="7" t="s">
        <v>1420</v>
      </c>
      <c r="AC235" s="7" t="n">
        <v>46141</v>
      </c>
      <c r="AD235" s="8" t="n">
        <f aca="false">(AC235/P235)*100</f>
        <v>27.1548629338858</v>
      </c>
      <c r="AE235" s="7" t="s">
        <v>57</v>
      </c>
      <c r="AF235" s="7" t="s">
        <v>57</v>
      </c>
      <c r="AG235" s="7" t="s">
        <v>1421</v>
      </c>
      <c r="AH235" s="7" t="n">
        <v>14571</v>
      </c>
      <c r="AI235" s="8" t="n">
        <f aca="false">(AH235/P235)*100</f>
        <v>8.57531279793783</v>
      </c>
      <c r="AJ235" s="11" t="s">
        <v>84</v>
      </c>
      <c r="AK235" s="11" t="s">
        <v>84</v>
      </c>
      <c r="AL235" s="7" t="s">
        <v>1422</v>
      </c>
      <c r="AM235" s="7" t="n">
        <v>1596</v>
      </c>
      <c r="AN235" s="8" t="n">
        <f aca="false">(AM235/P235)*100</f>
        <v>0.939276592238609</v>
      </c>
      <c r="AO235" s="7" t="s">
        <v>196</v>
      </c>
      <c r="AP235" s="7" t="s">
        <v>196</v>
      </c>
      <c r="AQ235" s="7" t="s">
        <v>1423</v>
      </c>
      <c r="AR235" s="7" t="n">
        <v>1444</v>
      </c>
      <c r="AS235" s="8" t="n">
        <f aca="false">(AR235/P235)*100</f>
        <v>0.849821678692075</v>
      </c>
    </row>
  </sheetData>
  <conditionalFormatting sqref="A1:AS1">
    <cfRule type="containsText" priority="2" operator="containsText" aboveAverage="0" equalAverage="0" bottom="0" percent="0" rank="0" text="AIADMK" dxfId="0">
      <formula>NOT(ISERROR(SEARCH("AIADMK",A1)))</formula>
    </cfRule>
    <cfRule type="containsText" priority="3" operator="containsText" aboveAverage="0" equalAverage="0" bottom="0" percent="0" rank="0" text="DMDK" dxfId="1">
      <formula>NOT(ISERROR(SEARCH("DMDK",A1)))</formula>
    </cfRule>
    <cfRule type="containsText" priority="4" operator="containsText" aboveAverage="0" equalAverage="0" bottom="0" percent="0" rank="0" text="MDMK" dxfId="2">
      <formula>NOT(ISERROR(SEARCH("MDMK",A1)))</formula>
    </cfRule>
    <cfRule type="beginsWith" priority="5" operator="beginsWith" aboveAverage="0" equalAverage="0" bottom="0" percent="0" rank="0" text="DMK" dxfId="3">
      <formula>LEFT(A1,LEN("DMK"))="DMK"</formula>
    </cfRule>
    <cfRule type="cellIs" priority="6" operator="equal" aboveAverage="0" equalAverage="0" bottom="0" percent="0" rank="0" text="" dxfId="4">
      <formula>"PMK"</formula>
    </cfRule>
    <cfRule type="cellIs" priority="7" operator="equal" aboveAverage="0" equalAverage="0" bottom="0" percent="0" rank="0" text="" dxfId="5">
      <formula>"VCK"</formula>
    </cfRule>
    <cfRule type="containsText" priority="8" operator="containsText" aboveAverage="0" equalAverage="0" bottom="0" percent="0" rank="0" text="CPI" dxfId="6">
      <formula>NOT(ISERROR(SEARCH("CPI",A1)))</formula>
    </cfRule>
    <cfRule type="cellIs" priority="9" operator="equal" aboveAverage="0" equalAverage="0" bottom="0" percent="0" rank="0" text="" dxfId="7">
      <formula>"NTK"</formula>
    </cfRule>
    <cfRule type="cellIs" priority="10" operator="equal" aboveAverage="0" equalAverage="0" bottom="0" percent="0" rank="0" text="" dxfId="8">
      <formula>"MNK"</formula>
    </cfRule>
    <cfRule type="cellIs" priority="11" operator="equal" aboveAverage="0" equalAverage="0" bottom="0" percent="0" rank="0" text="" dxfId="9">
      <formula>"Independant"</formula>
    </cfRule>
    <cfRule type="cellIs" priority="12" operator="equal" aboveAverage="0" equalAverage="0" bottom="0" percent="0" rank="0" text="" dxfId="10">
      <formula>"NOTA"</formula>
    </cfRule>
    <cfRule type="cellIs" priority="13" operator="equal" aboveAverage="0" equalAverage="0" bottom="0" percent="0" rank="0" text="" dxfId="11">
      <formula>"PFA"</formula>
    </cfRule>
    <cfRule type="cellIs" priority="14" operator="equal" aboveAverage="0" equalAverage="0" bottom="0" percent="0" rank="0" text="" dxfId="12">
      <formula>"BJP"</formula>
    </cfRule>
    <cfRule type="cellIs" priority="15" operator="equal" aboveAverage="0" equalAverage="0" bottom="0" percent="0" rank="0" text="" dxfId="13">
      <formula>"INC"</formula>
    </cfRule>
    <cfRule type="cellIs" priority="16" operator="equal" aboveAverage="0" equalAverage="0" bottom="0" percent="0" rank="0" text="" dxfId="14">
      <formula>"MNM"</formula>
    </cfRule>
    <cfRule type="cellIs" priority="17" operator="equal" aboveAverage="0" equalAverage="0" bottom="0" percent="0" rank="0" text="" dxfId="15">
      <formula>"AMMK"</formula>
    </cfRule>
    <cfRule type="cellIs" priority="18" operator="equal" aboveAverage="0" equalAverage="0" bottom="0" percent="0" rank="0" text="" dxfId="15">
      <formula>"People's Front"</formula>
    </cfRule>
    <cfRule type="cellIs" priority="19" operator="equal" aboveAverage="0" equalAverage="0" bottom="0" percent="0" rank="0" text="" dxfId="15">
      <formula>"PF"</formula>
    </cfRule>
  </conditionalFormatting>
  <conditionalFormatting sqref="T2:AH2 U9:AD235 AS89:AS235 U3:AH8 AJ2:AS8 T3:T235 AE9:AH59 AE61:AH235 AK89:AR90 AN88:AS88 AK9:AS87 AJ9:AJ90 AJ91:AR235 AI2:AI235 A2:S235">
    <cfRule type="containsText" priority="20" operator="containsText" aboveAverage="0" equalAverage="0" bottom="0" percent="0" rank="0" text="AIADMK" dxfId="16">
      <formula>NOT(ISERROR(SEARCH("AIADMK",A2)))</formula>
    </cfRule>
  </conditionalFormatting>
  <conditionalFormatting sqref="T2:AH2 U9:AD235 AS89:AS235 U3:AH8 AJ2:AS8 T3:T235 AE9:AH59 AE61:AH235 AK89:AR90 AN88:AS88 AK9:AS87 AJ9:AJ90 AJ91:AR235 AI2:AI235 A2:S235">
    <cfRule type="containsText" priority="21" operator="containsText" aboveAverage="0" equalAverage="0" bottom="0" percent="0" rank="0" text="DMDK" dxfId="17">
      <formula>NOT(ISERROR(SEARCH("DMDK",A2)))</formula>
    </cfRule>
  </conditionalFormatting>
  <conditionalFormatting sqref="T2:AH2 U9:AD235 AS89:AS235 U3:AH8 AJ2:AS8 T3:T235 AE9:AH59 AE61:AH235 AK89:AR90 AN88:AS88 AK9:AS87 AJ9:AJ90 AJ91:AR235 AI2:AI235 A2:S235">
    <cfRule type="containsText" priority="22" operator="containsText" aboveAverage="0" equalAverage="0" bottom="0" percent="0" rank="0" text="MDMK" dxfId="18">
      <formula>NOT(ISERROR(SEARCH("MDMK",A2)))</formula>
    </cfRule>
  </conditionalFormatting>
  <conditionalFormatting sqref="T2:AH2 U9:AD235 AS89:AS235 U3:AH8 AJ2:AS8 T3:T235 AE9:AH59 AE61:AH235 AK89:AR90 AN88:AS88 AK9:AS87 AJ9:AJ90 AJ91:AR235 AI2:AI235 A2:S235">
    <cfRule type="beginsWith" priority="23" operator="beginsWith" aboveAverage="0" equalAverage="0" bottom="0" percent="0" rank="0" text="DMK" dxfId="19">
      <formula>LEFT(A2,LEN("DMK"))="DMK"</formula>
    </cfRule>
  </conditionalFormatting>
  <conditionalFormatting sqref="T2:AH2 U9:AD235 AS89:AS235 U3:AH8 AJ2:AS8 T3:T235 AE9:AH59 AE61:AH235 AK89:AR90 AN88:AS88 AK9:AS87 AJ9:AJ90 AJ91:AR235 AI2:AI235 A2:S235">
    <cfRule type="cellIs" priority="24" operator="equal" aboveAverage="0" equalAverage="0" bottom="0" percent="0" rank="0" text="" dxfId="20">
      <formula>"PMK"</formula>
    </cfRule>
  </conditionalFormatting>
  <conditionalFormatting sqref="T2:AH2 U9:AD235 AS89:AS235 U3:AH8 AJ2:AS8 T3:T235 AE9:AH59 AE61:AH235 AK89:AR90 AN88:AS88 AK9:AS87 AJ9:AJ90 AJ91:AR235 AI2:AI235 A2:S235">
    <cfRule type="cellIs" priority="25" operator="equal" aboveAverage="0" equalAverage="0" bottom="0" percent="0" rank="0" text="" dxfId="21">
      <formula>"VCK"</formula>
    </cfRule>
  </conditionalFormatting>
  <conditionalFormatting sqref="T2:AH2 U9:AD235 AS89:AS235 U3:AH8 AJ2:AS8 T3:T235 AE9:AH59 AE61:AH235 AK89:AR90 AN88:AS88 AK9:AS87 AJ9:AJ90 AJ91:AR235 AI2:AI235 A2:S235">
    <cfRule type="containsText" priority="26" operator="containsText" aboveAverage="0" equalAverage="0" bottom="0" percent="0" rank="0" text="CPI" dxfId="22">
      <formula>NOT(ISERROR(SEARCH("CPI",A2)))</formula>
    </cfRule>
  </conditionalFormatting>
  <conditionalFormatting sqref="T2:AH2 U9:AD235 AS89:AS235 U3:AH8 AJ2:AS8 T3:T235 AE9:AH59 AE61:AH235 AK89:AR90 AN88:AS88 AK9:AS87 AJ9:AJ90 AJ91:AR235 AI2:AI235 A2:S235">
    <cfRule type="cellIs" priority="27" operator="equal" aboveAverage="0" equalAverage="0" bottom="0" percent="0" rank="0" text="" dxfId="23">
      <formula>"NTK"</formula>
    </cfRule>
  </conditionalFormatting>
  <conditionalFormatting sqref="T2:AH2 U9:AD235 AS89:AS235 U3:AH8 AJ2:AS8 T3:T235 AE9:AH59 AE61:AH235 AK89:AR90 AN88:AS88 AK9:AS87 AJ9:AJ90 AJ91:AR235 AI2:AI235 A2:S235">
    <cfRule type="cellIs" priority="28" operator="equal" aboveAverage="0" equalAverage="0" bottom="0" percent="0" rank="0" text="" dxfId="24">
      <formula>"MNK"</formula>
    </cfRule>
  </conditionalFormatting>
  <conditionalFormatting sqref="T2:AH2 U9:AD235 AS89:AS235 U3:AH8 AJ2:AS8 T3:T235 AE9:AH59 AE61:AH235 AK89:AR90 AN88:AS88 AK9:AS87 AJ9:AJ90 AJ91:AR235 AI2:AI235 A2:S235">
    <cfRule type="cellIs" priority="29" operator="equal" aboveAverage="0" equalAverage="0" bottom="0" percent="0" rank="0" text="" dxfId="25">
      <formula>"Independant"</formula>
    </cfRule>
  </conditionalFormatting>
  <conditionalFormatting sqref="T2:AH2 U9:AD235 AS89:AS235 U3:AH8 AJ2:AS8 T3:T235 AE9:AH59 AE61:AH235 AK89:AR90 AN88:AS88 AK9:AS87 AJ9:AJ90 AJ91:AR235 AI2:AI235 A2:S235">
    <cfRule type="cellIs" priority="30" operator="equal" aboveAverage="0" equalAverage="0" bottom="0" percent="0" rank="0" text="" dxfId="26">
      <formula>"NOTA"</formula>
    </cfRule>
  </conditionalFormatting>
  <conditionalFormatting sqref="T2:AH2 U9:AD235 AS89:AS235 U3:AH8 AJ2:AS8 T3:T235 AE9:AH59 AE61:AH235 AK89:AR90 AN88:AS88 AK9:AS87 AJ9:AJ90 AJ91:AR235 AI2:AI235 A2:S235">
    <cfRule type="cellIs" priority="31" operator="equal" aboveAverage="0" equalAverage="0" bottom="0" percent="0" rank="0" text="" dxfId="27">
      <formula>"PFA"</formula>
    </cfRule>
  </conditionalFormatting>
  <conditionalFormatting sqref="T2:AH2 U9:AD235 AS89:AS235 U3:AH8 AJ2:AS8 T3:T235 AE9:AH59 AE61:AH235 AK89:AR90 AN88:AS88 AK9:AS87 AJ9:AJ90 AJ91:AR235 AI2:AI235 A2:S235">
    <cfRule type="cellIs" priority="32" operator="equal" aboveAverage="0" equalAverage="0" bottom="0" percent="0" rank="0" text="" dxfId="28">
      <formula>"BJP"</formula>
    </cfRule>
  </conditionalFormatting>
  <conditionalFormatting sqref="T2:AH2 U9:AD235 AS89:AS235 U3:AH8 AJ2:AS8 T3:T235 AE9:AH59 AE61:AH235 AK89:AR90 AN88:AS88 AK9:AS87 AJ9:AJ90 AJ91:AR235 AI2:AI235 A2:S235">
    <cfRule type="cellIs" priority="33" operator="equal" aboveAverage="0" equalAverage="0" bottom="0" percent="0" rank="0" text="" dxfId="29">
      <formula>"INC"</formula>
    </cfRule>
  </conditionalFormatting>
  <conditionalFormatting sqref="AI2:AI235 AN60 X9:X12">
    <cfRule type="cellIs" priority="34" operator="equal" aboveAverage="0" equalAverage="0" bottom="0" percent="0" rank="0" text="" dxfId="30">
      <formula>"People's Front"</formula>
    </cfRule>
  </conditionalFormatting>
  <conditionalFormatting sqref="U3:AS8 T2:AS2 T3:T235 U60:AD60 AK89:AS90 AN88:AS88 U9:AI59 U61:AI90 AI60 AJ9:AJ90 U91:AS235 AK9:AS87 AS89:AS235 A2:S235">
    <cfRule type="cellIs" priority="35" operator="equal" aboveAverage="0" equalAverage="0" bottom="0" percent="0" rank="0" text="" dxfId="31">
      <formula>"MNM"</formula>
    </cfRule>
  </conditionalFormatting>
  <conditionalFormatting sqref="U3:AS8 T2:AS2 T3:T235 U60:AD60 AK89:AS90 AN88:AS88 U9:AI59 U61:AI90 AI60 AJ9:AJ90 U91:AS235 AK9:AS87 AS89:AS235 A2:S235">
    <cfRule type="cellIs" priority="36" operator="equal" aboveAverage="0" equalAverage="0" bottom="0" percent="0" rank="0" text="" dxfId="32">
      <formula>"AMMK"</formula>
    </cfRule>
  </conditionalFormatting>
  <conditionalFormatting sqref="U3:AS8 T2:AS2 T3:T235 U60:AD60 AK89:AS90 AN88:AS88 U9:AI59 U61:AI90 AI60 AJ9:AJ90 U91:AS235 AK9:AS87 AS89:AS235 A2:S235">
    <cfRule type="cellIs" priority="37" operator="equal" aboveAverage="0" equalAverage="0" bottom="0" percent="0" rank="0" text="" dxfId="32">
      <formula>"People's Front"</formula>
    </cfRule>
  </conditionalFormatting>
  <conditionalFormatting sqref="A2:AS235">
    <cfRule type="cellIs" priority="38" operator="equal" aboveAverage="0" equalAverage="0" bottom="0" percent="0" rank="0" text="" dxfId="32">
      <formula>"PF"</formula>
    </cfRule>
  </conditionalFormatting>
  <conditionalFormatting sqref="N2:N235">
    <cfRule type="cellIs" priority="39" operator="equal" aboveAverage="0" equalAverage="0" bottom="0" percent="0" rank="0" text="" dxfId="33">
      <formula>"Amma"</formula>
    </cfRule>
  </conditionalFormatting>
  <conditionalFormatting sqref="N2:N235">
    <cfRule type="cellIs" priority="40" operator="equal" aboveAverage="0" equalAverage="0" bottom="0" percent="0" rank="0" text="" dxfId="33">
      <formula>"MGR"</formula>
    </cfRule>
  </conditionalFormatting>
  <conditionalFormatting sqref="N2:N235">
    <cfRule type="cellIs" priority="41" operator="equal" aboveAverage="0" equalAverage="0" bottom="0" percent="0" rank="0" text="" dxfId="34">
      <formula>"Kalignar"</formula>
    </cfRule>
  </conditionalFormatting>
  <conditionalFormatting sqref="N2:N235">
    <cfRule type="cellIs" priority="42" operator="equal" aboveAverage="0" equalAverage="0" bottom="0" percent="0" rank="0" text="" dxfId="34">
      <formula>"Anna"</formula>
    </cfRule>
    <cfRule type="cellIs" priority="43" operator="equal" aboveAverage="0" equalAverage="0" bottom="0" percent="0" rank="0" text="" dxfId="17">
      <formula>"Captain"</formula>
    </cfRule>
    <cfRule type="cellIs" priority="44" operator="equal" aboveAverage="0" equalAverage="0" bottom="0" percent="0" rank="0" text="" dxfId="29">
      <formula>"Kamarajar"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2026-02-10T15:12:46Z</dcterms:created>
  <dc:creator/>
  <dc:description/>
  <dc:language>en-GB</dc:language>
  <cp:lastModifiedBy/>
  <dcterms:modified xsi:type="dcterms:W3CDTF">2026-03-26T18:20:54Z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